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Ex3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liadanilchanka/My disc/Courses/00_Files for projects/01_Work in progress/"/>
    </mc:Choice>
  </mc:AlternateContent>
  <xr:revisionPtr revIDLastSave="0" documentId="13_ncr:11_{2F3232E0-827F-6445-BF37-360E35CDBD21}" xr6:coauthVersionLast="47" xr6:coauthVersionMax="47" xr10:uidLastSave="{00000000-0000-0000-0000-000000000000}"/>
  <bookViews>
    <workbookView xWindow="0" yWindow="500" windowWidth="28800" windowHeight="17500" activeTab="3" xr2:uid="{2C3A2840-CC9F-6345-9B7C-AB1D7D0A11B8}"/>
  </bookViews>
  <sheets>
    <sheet name="data input" sheetId="1" state="hidden" r:id="rId1"/>
    <sheet name="average salary country level" sheetId="2" state="hidden" r:id="rId2"/>
    <sheet name="per profession and gender" sheetId="4" state="hidden" r:id="rId3"/>
    <sheet name="Developers salary" sheetId="5" r:id="rId4"/>
    <sheet name="data validation" sheetId="6" state="hidden" r:id="rId5"/>
    <sheet name="title" sheetId="7" state="hidden" r:id="rId6"/>
    <sheet name="fylke" sheetId="8" state="hidden" r:id="rId7"/>
    <sheet name="experience" sheetId="9" state="hidden" r:id="rId8"/>
    <sheet name="job type" sheetId="10" state="hidden" r:id="rId9"/>
  </sheets>
  <definedNames>
    <definedName name="_xlnm._FilterDatabase" localSheetId="1" hidden="1">'average salary country level'!$B$1:$E$1</definedName>
    <definedName name="_xlnm._FilterDatabase" localSheetId="0" hidden="1">'data input'!$A$1:$L$2683</definedName>
    <definedName name="_xlchart.v5.0" hidden="1">'average salary country level'!#REF!</definedName>
    <definedName name="_xlchart.v5.1" hidden="1">'average salary country level'!$B$20:$B$34</definedName>
    <definedName name="_xlchart.v5.10" hidden="1">fylke!$E$2:$E$16</definedName>
    <definedName name="_xlchart.v5.11" hidden="1">fylke!$D$1</definedName>
    <definedName name="_xlchart.v5.12" hidden="1">fylke!$D$2:$D$16</definedName>
    <definedName name="_xlchart.v5.13" hidden="1">fylke!$E$1</definedName>
    <definedName name="_xlchart.v5.14" hidden="1">fylke!$E$2:$E$16</definedName>
    <definedName name="_xlchart.v5.2" hidden="1">'average salary country level'!$C$20:$C$34</definedName>
    <definedName name="_xlchart.v5.3" hidden="1">fylke!$D$1</definedName>
    <definedName name="_xlchart.v5.4" hidden="1">fylke!$D$2:$D$16</definedName>
    <definedName name="_xlchart.v5.5" hidden="1">fylke!$E$1</definedName>
    <definedName name="_xlchart.v5.6" hidden="1">fylke!$E$2:$E$16</definedName>
    <definedName name="_xlchart.v5.7" hidden="1">fylke!$D$1</definedName>
    <definedName name="_xlchart.v5.8" hidden="1">fylke!$D$2:$D$16</definedName>
    <definedName name="_xlchart.v5.9" hidden="1">fylke!$E$1</definedName>
    <definedName name="Developer_Salaries___Norway_2024" localSheetId="0">'data input'!$A$1:$A$2683</definedName>
    <definedName name="experience">'Developers salary'!$L$4</definedName>
    <definedName name="fylke">'Developers salary'!$J$4</definedName>
    <definedName name="title">'Developers salary'!$D$4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8" l="1" a="1"/>
  <c r="B2" i="8" s="1"/>
  <c r="A2" i="10" a="1"/>
  <c r="A2" i="10" s="1"/>
  <c r="B2" i="10" s="1" a="1"/>
  <c r="B2" i="10" s="1"/>
  <c r="L2" i="1"/>
  <c r="M2" i="6" a="1"/>
  <c r="M2" i="6" s="1"/>
  <c r="A2" i="6" a="1"/>
  <c r="A2" i="6" s="1"/>
  <c r="B2" i="6" s="1"/>
  <c r="I2" i="6" a="1"/>
  <c r="I2" i="6" s="1"/>
  <c r="A2" i="8" s="1" a="1"/>
  <c r="A49" i="4" a="1"/>
  <c r="D50" i="4" s="1"/>
  <c r="A27" i="4" a="1"/>
  <c r="A27" i="4" s="1"/>
  <c r="E27" i="4" s="1"/>
  <c r="N4" i="4"/>
  <c r="N3" i="4"/>
  <c r="N2" i="4"/>
  <c r="L4" i="1"/>
  <c r="L3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B7" i="8" l="1" a="1"/>
  <c r="B7" i="8" s="1"/>
  <c r="E6" i="8" s="1"/>
  <c r="B3" i="10" a="1"/>
  <c r="B3" i="10" s="1"/>
  <c r="B8" i="8" a="1"/>
  <c r="B8" i="8" s="1"/>
  <c r="E7" i="8" s="1"/>
  <c r="B5" i="10" a="1"/>
  <c r="B5" i="10" s="1"/>
  <c r="B4" i="10" a="1"/>
  <c r="B4" i="10" s="1"/>
  <c r="B6" i="8" a="1"/>
  <c r="B6" i="8" s="1"/>
  <c r="B13" i="8" a="1"/>
  <c r="B13" i="8" s="1"/>
  <c r="E9" i="8" s="1"/>
  <c r="B5" i="8" a="1"/>
  <c r="B5" i="8" s="1"/>
  <c r="E5" i="8" s="1"/>
  <c r="B12" i="8" a="1"/>
  <c r="B12" i="8" s="1"/>
  <c r="D10" i="8" s="1"/>
  <c r="B4" i="8" a="1"/>
  <c r="B4" i="8" s="1"/>
  <c r="E4" i="8" s="1"/>
  <c r="B11" i="8" a="1"/>
  <c r="B11" i="8" s="1"/>
  <c r="E17" i="8" s="1"/>
  <c r="B3" i="8" a="1"/>
  <c r="B3" i="8" s="1"/>
  <c r="E3" i="8" s="1"/>
  <c r="B10" i="8" a="1"/>
  <c r="B10" i="8" s="1"/>
  <c r="E8" i="8" s="1"/>
  <c r="B9" i="8" a="1"/>
  <c r="B9" i="8" s="1"/>
  <c r="O2" i="6" a="1"/>
  <c r="O2" i="6" s="1"/>
  <c r="Q2" i="6" s="1" a="1"/>
  <c r="Q2" i="6" s="1"/>
  <c r="A1" i="9" s="1" a="1"/>
  <c r="A1" i="9" s="1"/>
  <c r="A2" i="8"/>
  <c r="E2" i="8" s="1"/>
  <c r="J2" i="6" a="1"/>
  <c r="J2" i="6" s="1"/>
  <c r="B4" i="6"/>
  <c r="D5" i="8"/>
  <c r="D7" i="8"/>
  <c r="D4" i="8"/>
  <c r="D8" i="8"/>
  <c r="D17" i="8"/>
  <c r="D3" i="8"/>
  <c r="B18" i="6"/>
  <c r="B10" i="6"/>
  <c r="B17" i="6"/>
  <c r="B9" i="6"/>
  <c r="B8" i="6"/>
  <c r="B16" i="6"/>
  <c r="B15" i="6"/>
  <c r="B7" i="6"/>
  <c r="B14" i="6"/>
  <c r="B6" i="6"/>
  <c r="B13" i="6"/>
  <c r="B5" i="6"/>
  <c r="B12" i="6"/>
  <c r="B11" i="6"/>
  <c r="B3" i="6"/>
  <c r="G42" i="4"/>
  <c r="E40" i="4"/>
  <c r="F37" i="4"/>
  <c r="F29" i="4"/>
  <c r="E32" i="4"/>
  <c r="E29" i="4"/>
  <c r="E42" i="4"/>
  <c r="F39" i="4"/>
  <c r="G36" i="4"/>
  <c r="E34" i="4"/>
  <c r="F31" i="4"/>
  <c r="G28" i="4"/>
  <c r="G41" i="4"/>
  <c r="E39" i="4"/>
  <c r="F36" i="4"/>
  <c r="G33" i="4"/>
  <c r="E31" i="4"/>
  <c r="F28" i="4"/>
  <c r="G34" i="4"/>
  <c r="E28" i="4"/>
  <c r="F41" i="4"/>
  <c r="G38" i="4"/>
  <c r="G30" i="4"/>
  <c r="G43" i="4"/>
  <c r="E41" i="4"/>
  <c r="F38" i="4"/>
  <c r="G35" i="4"/>
  <c r="E33" i="4"/>
  <c r="F30" i="4"/>
  <c r="G27" i="4"/>
  <c r="F42" i="4"/>
  <c r="G39" i="4"/>
  <c r="E37" i="4"/>
  <c r="G31" i="4"/>
  <c r="E36" i="4"/>
  <c r="F43" i="4"/>
  <c r="G40" i="4"/>
  <c r="E38" i="4"/>
  <c r="F35" i="4"/>
  <c r="G32" i="4"/>
  <c r="E30" i="4"/>
  <c r="F27" i="4"/>
  <c r="F34" i="4"/>
  <c r="F33" i="4"/>
  <c r="E43" i="4"/>
  <c r="F40" i="4"/>
  <c r="G37" i="4"/>
  <c r="E35" i="4"/>
  <c r="F32" i="4"/>
  <c r="G29" i="4"/>
  <c r="B62" i="4"/>
  <c r="B54" i="4"/>
  <c r="C63" i="4"/>
  <c r="C55" i="4"/>
  <c r="D64" i="4"/>
  <c r="D56" i="4"/>
  <c r="B61" i="4"/>
  <c r="B53" i="4"/>
  <c r="C62" i="4"/>
  <c r="C54" i="4"/>
  <c r="D63" i="4"/>
  <c r="D55" i="4"/>
  <c r="C64" i="4"/>
  <c r="D57" i="4"/>
  <c r="D54" i="4"/>
  <c r="B63" i="4"/>
  <c r="B55" i="4"/>
  <c r="D65" i="4"/>
  <c r="D53" i="4"/>
  <c r="C56" i="4"/>
  <c r="B60" i="4"/>
  <c r="B52" i="4"/>
  <c r="C61" i="4"/>
  <c r="C53" i="4"/>
  <c r="D62" i="4"/>
  <c r="B59" i="4"/>
  <c r="B51" i="4"/>
  <c r="C60" i="4"/>
  <c r="D61" i="4"/>
  <c r="B58" i="4"/>
  <c r="B50" i="4"/>
  <c r="C59" i="4"/>
  <c r="C51" i="4"/>
  <c r="D52" i="4"/>
  <c r="B65" i="4"/>
  <c r="B57" i="4"/>
  <c r="C58" i="4"/>
  <c r="D59" i="4"/>
  <c r="D51" i="4"/>
  <c r="C52" i="4"/>
  <c r="D60" i="4"/>
  <c r="C50" i="4"/>
  <c r="B64" i="4"/>
  <c r="B56" i="4"/>
  <c r="C65" i="4"/>
  <c r="C57" i="4"/>
  <c r="D58" i="4"/>
  <c r="B39" i="4"/>
  <c r="B31" i="4"/>
  <c r="C42" i="4"/>
  <c r="C38" i="4"/>
  <c r="C34" i="4"/>
  <c r="C30" i="4"/>
  <c r="B27" i="4"/>
  <c r="B38" i="4"/>
  <c r="B30" i="4"/>
  <c r="D41" i="4"/>
  <c r="D37" i="4"/>
  <c r="D33" i="4"/>
  <c r="D29" i="4"/>
  <c r="D38" i="4"/>
  <c r="B37" i="4"/>
  <c r="C41" i="4"/>
  <c r="C37" i="4"/>
  <c r="C33" i="4"/>
  <c r="C29" i="4"/>
  <c r="B29" i="4"/>
  <c r="B28" i="4"/>
  <c r="B36" i="4"/>
  <c r="C27" i="4"/>
  <c r="D40" i="4"/>
  <c r="D36" i="4"/>
  <c r="D32" i="4"/>
  <c r="D28" i="4"/>
  <c r="D42" i="4"/>
  <c r="C36" i="4"/>
  <c r="C32" i="4"/>
  <c r="C28" i="4"/>
  <c r="B40" i="4"/>
  <c r="D34" i="4"/>
  <c r="B35" i="4"/>
  <c r="D27" i="4"/>
  <c r="B42" i="4"/>
  <c r="B34" i="4"/>
  <c r="D43" i="4"/>
  <c r="D39" i="4"/>
  <c r="D35" i="4"/>
  <c r="D31" i="4"/>
  <c r="B32" i="4"/>
  <c r="D30" i="4"/>
  <c r="B43" i="4"/>
  <c r="C40" i="4"/>
  <c r="B41" i="4"/>
  <c r="B33" i="4"/>
  <c r="C43" i="4"/>
  <c r="C39" i="4"/>
  <c r="C35" i="4"/>
  <c r="C31" i="4"/>
  <c r="A49" i="4"/>
  <c r="B7" i="10" l="1"/>
  <c r="D2" i="10" a="1"/>
  <c r="B5" i="9" a="1"/>
  <c r="B5" i="9" s="1"/>
  <c r="C5" i="9" s="1"/>
  <c r="B2" i="9" a="1"/>
  <c r="B2" i="9" s="1"/>
  <c r="C2" i="9" s="1"/>
  <c r="B4" i="9" a="1"/>
  <c r="B4" i="9" s="1"/>
  <c r="C4" i="9" s="1"/>
  <c r="B3" i="9" a="1"/>
  <c r="B3" i="9" s="1"/>
  <c r="D3" i="9" s="1"/>
  <c r="D2" i="8"/>
  <c r="E45" i="4"/>
  <c r="E11" i="8"/>
  <c r="E10" i="8"/>
  <c r="D11" i="8"/>
  <c r="E13" i="8"/>
  <c r="E12" i="8"/>
  <c r="D13" i="8"/>
  <c r="D12" i="8"/>
  <c r="E16" i="8"/>
  <c r="E14" i="8"/>
  <c r="D16" i="8"/>
  <c r="E15" i="8"/>
  <c r="D15" i="8"/>
  <c r="D14" i="8"/>
  <c r="B22" i="6"/>
  <c r="E2" i="6" a="1"/>
  <c r="E2" i="6" s="1"/>
  <c r="A1" i="7" s="1" a="1"/>
  <c r="G45" i="4"/>
  <c r="D45" i="4"/>
  <c r="F45" i="4"/>
  <c r="C45" i="4"/>
  <c r="B45" i="4"/>
  <c r="D49" i="4"/>
  <c r="C49" i="4"/>
  <c r="B49" i="4"/>
  <c r="A2" i="4" a="1"/>
  <c r="A2" i="2" a="1"/>
  <c r="A2" i="2" s="1"/>
  <c r="B2" i="2" a="1"/>
  <c r="D2" i="9" l="1"/>
  <c r="D5" i="9"/>
  <c r="D2" i="10"/>
  <c r="F3" i="10"/>
  <c r="F4" i="10"/>
  <c r="F5" i="10"/>
  <c r="D4" i="9"/>
  <c r="F2" i="9" a="1"/>
  <c r="J5" i="9" s="1"/>
  <c r="C3" i="9"/>
  <c r="B12" i="7" a="1"/>
  <c r="B12" i="7" s="1"/>
  <c r="B4" i="7" a="1"/>
  <c r="B4" i="7" s="1"/>
  <c r="B18" i="7" a="1"/>
  <c r="B18" i="7" s="1"/>
  <c r="B10" i="7" a="1"/>
  <c r="B10" i="7" s="1"/>
  <c r="B2" i="7" a="1"/>
  <c r="B2" i="7" s="1"/>
  <c r="B11" i="7" a="1"/>
  <c r="B11" i="7" s="1"/>
  <c r="B3" i="7" a="1"/>
  <c r="B3" i="7" s="1"/>
  <c r="B17" i="7" a="1"/>
  <c r="B17" i="7" s="1"/>
  <c r="B9" i="7" a="1"/>
  <c r="B9" i="7" s="1"/>
  <c r="B16" i="7" a="1"/>
  <c r="B16" i="7" s="1"/>
  <c r="B8" i="7" a="1"/>
  <c r="B8" i="7" s="1"/>
  <c r="B15" i="7" a="1"/>
  <c r="B15" i="7" s="1"/>
  <c r="B7" i="7" a="1"/>
  <c r="B7" i="7" s="1"/>
  <c r="B14" i="7" a="1"/>
  <c r="B14" i="7" s="1"/>
  <c r="B6" i="7" a="1"/>
  <c r="B6" i="7" s="1"/>
  <c r="B13" i="7" a="1"/>
  <c r="B13" i="7" s="1"/>
  <c r="B5" i="7" a="1"/>
  <c r="B5" i="7" s="1"/>
  <c r="A1" i="7"/>
  <c r="A2" i="4"/>
  <c r="D4" i="4"/>
  <c r="D8" i="4"/>
  <c r="D12" i="4"/>
  <c r="D16" i="4"/>
  <c r="B4" i="4"/>
  <c r="B12" i="4"/>
  <c r="C5" i="4"/>
  <c r="C9" i="4"/>
  <c r="C13" i="4"/>
  <c r="C17" i="4"/>
  <c r="B5" i="4"/>
  <c r="B13" i="4"/>
  <c r="D5" i="4"/>
  <c r="D9" i="4"/>
  <c r="D13" i="4"/>
  <c r="D17" i="4"/>
  <c r="B6" i="4"/>
  <c r="B14" i="4"/>
  <c r="C6" i="4"/>
  <c r="C10" i="4"/>
  <c r="C14" i="4"/>
  <c r="C18" i="4"/>
  <c r="B7" i="4"/>
  <c r="B15" i="4"/>
  <c r="D6" i="4"/>
  <c r="D10" i="4"/>
  <c r="D14" i="4"/>
  <c r="D18" i="4"/>
  <c r="B8" i="4"/>
  <c r="B16" i="4"/>
  <c r="C3" i="4"/>
  <c r="C7" i="4"/>
  <c r="C11" i="4"/>
  <c r="C15" i="4"/>
  <c r="B9" i="4"/>
  <c r="B17" i="4"/>
  <c r="D3" i="4"/>
  <c r="D7" i="4"/>
  <c r="D11" i="4"/>
  <c r="D15" i="4"/>
  <c r="B10" i="4"/>
  <c r="B18" i="4"/>
  <c r="C4" i="4"/>
  <c r="C8" i="4"/>
  <c r="C12" i="4"/>
  <c r="C16" i="4"/>
  <c r="B3" i="4"/>
  <c r="B11" i="4"/>
  <c r="E3" i="2"/>
  <c r="E11" i="2"/>
  <c r="D7" i="2"/>
  <c r="C3" i="2"/>
  <c r="C11" i="2"/>
  <c r="E12" i="2"/>
  <c r="C32" i="2" s="1"/>
  <c r="D9" i="2"/>
  <c r="E4" i="2"/>
  <c r="D8" i="2"/>
  <c r="C4" i="2"/>
  <c r="C12" i="2"/>
  <c r="C5" i="2"/>
  <c r="E5" i="2"/>
  <c r="C31" i="2" s="1"/>
  <c r="E6" i="2"/>
  <c r="D10" i="2"/>
  <c r="C6" i="2"/>
  <c r="E7" i="2"/>
  <c r="C28" i="2" s="1"/>
  <c r="D11" i="2"/>
  <c r="C7" i="2"/>
  <c r="D4" i="2"/>
  <c r="D12" i="2"/>
  <c r="C8" i="2"/>
  <c r="D3" i="2"/>
  <c r="E8" i="2"/>
  <c r="C25" i="2" s="1"/>
  <c r="E9" i="2"/>
  <c r="C22" i="2" s="1"/>
  <c r="D5" i="2"/>
  <c r="D13" i="2"/>
  <c r="C9" i="2"/>
  <c r="E10" i="2"/>
  <c r="D6" i="2"/>
  <c r="C10" i="2"/>
  <c r="E13" i="2"/>
  <c r="C13" i="2"/>
  <c r="B2" i="2"/>
  <c r="F2" i="10" l="1"/>
  <c r="H2" i="10" s="1"/>
  <c r="J4" i="9"/>
  <c r="J3" i="9"/>
  <c r="I5" i="9"/>
  <c r="F2" i="9"/>
  <c r="J2" i="9" s="1"/>
  <c r="I4" i="9"/>
  <c r="I3" i="9"/>
  <c r="E2" i="7" a="1"/>
  <c r="D2" i="4"/>
  <c r="C2" i="4"/>
  <c r="B2" i="4"/>
  <c r="C23" i="2"/>
  <c r="C33" i="2"/>
  <c r="C30" i="2"/>
  <c r="E2" i="2"/>
  <c r="C21" i="2" s="1"/>
  <c r="C2" i="2"/>
  <c r="D2" i="2"/>
  <c r="I2" i="9" l="1"/>
  <c r="E2" i="7"/>
  <c r="A24" i="7" s="1"/>
  <c r="I10" i="7"/>
  <c r="I18" i="7"/>
  <c r="H9" i="7"/>
  <c r="H17" i="7"/>
  <c r="I3" i="7"/>
  <c r="I11" i="7"/>
  <c r="H10" i="7"/>
  <c r="H18" i="7"/>
  <c r="I4" i="7"/>
  <c r="I12" i="7"/>
  <c r="H3" i="7"/>
  <c r="H11" i="7"/>
  <c r="I5" i="7"/>
  <c r="I13" i="7"/>
  <c r="H4" i="7"/>
  <c r="H12" i="7"/>
  <c r="I6" i="7"/>
  <c r="I14" i="7"/>
  <c r="H5" i="7"/>
  <c r="H13" i="7"/>
  <c r="I7" i="7"/>
  <c r="I15" i="7"/>
  <c r="H6" i="7"/>
  <c r="H14" i="7"/>
  <c r="I8" i="7"/>
  <c r="I16" i="7"/>
  <c r="H7" i="7"/>
  <c r="H15" i="7"/>
  <c r="I9" i="7"/>
  <c r="I17" i="7"/>
  <c r="H8" i="7"/>
  <c r="H16" i="7"/>
  <c r="I2" i="7" l="1"/>
  <c r="H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56E723-2E0E-5E4E-8CE7-2C415102C2CB}" name="Developer Salaries - Norway 2024" type="6" refreshedVersion="8" background="1" saveData="1">
    <textPr codePage="65001" sourceFile="/Users/natalliadanilchanka/My disc/Courses/00_Files for projects/Developer Salaries - Norway 2024.csv" decimal="," thousands=" ">
      <textFields>
        <textField/>
      </textFields>
    </textPr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<sst xmlns="http://schemas.openxmlformats.org/spreadsheetml/2006/main" count="18876" uniqueCount="553">
  <si>
    <t>arbeidssituasjon</t>
  </si>
  <si>
    <t>arbeidssted</t>
  </si>
  <si>
    <t>min</t>
  </si>
  <si>
    <t>max</t>
  </si>
  <si>
    <t>average salary</t>
  </si>
  <si>
    <t>min salary</t>
  </si>
  <si>
    <t>max salary</t>
  </si>
  <si>
    <t>Lønn, numbers</t>
  </si>
  <si>
    <t>Agder</t>
  </si>
  <si>
    <t>Nordland</t>
  </si>
  <si>
    <t>Oslo</t>
  </si>
  <si>
    <t>Rogaland</t>
  </si>
  <si>
    <t>Troms og Finnmark</t>
  </si>
  <si>
    <t>Trøndelag</t>
  </si>
  <si>
    <t>Vestland</t>
  </si>
  <si>
    <t>Viken</t>
  </si>
  <si>
    <t>Innlandet</t>
  </si>
  <si>
    <t>utlandet</t>
  </si>
  <si>
    <t>Vestfold og Telemark</t>
  </si>
  <si>
    <t>Møre og Romsdal</t>
  </si>
  <si>
    <t>Akershus</t>
  </si>
  <si>
    <t>Buskerud</t>
  </si>
  <si>
    <t>Vestfold</t>
  </si>
  <si>
    <t>Finnmark</t>
  </si>
  <si>
    <t>More og Romsdal</t>
  </si>
  <si>
    <t>Ostfold</t>
  </si>
  <si>
    <t>Telemark</t>
  </si>
  <si>
    <t>Troms</t>
  </si>
  <si>
    <t>Trondelag</t>
  </si>
  <si>
    <t>https://www.kode24.no/artikkel/her-er-lonnstallene-for-norske-utviklere-2024/203888</t>
  </si>
  <si>
    <t>kvinne</t>
  </si>
  <si>
    <t>mann</t>
  </si>
  <si>
    <t>annet / ønsker ikke oppgi</t>
  </si>
  <si>
    <t>kjønn</t>
  </si>
  <si>
    <t>count</t>
  </si>
  <si>
    <t>average</t>
  </si>
  <si>
    <t>Job title</t>
  </si>
  <si>
    <t>years of experience</t>
  </si>
  <si>
    <t xml:space="preserve">bracket </t>
  </si>
  <si>
    <t>9 - 14</t>
  </si>
  <si>
    <t>jun</t>
  </si>
  <si>
    <t>mid</t>
  </si>
  <si>
    <t>intemid</t>
  </si>
  <si>
    <t>seniour</t>
  </si>
  <si>
    <t>utdanning</t>
  </si>
  <si>
    <t>erfaring</t>
  </si>
  <si>
    <t>fag</t>
  </si>
  <si>
    <t>lønn</t>
  </si>
  <si>
    <t>bonus?</t>
  </si>
  <si>
    <t>4</t>
  </si>
  <si>
    <t>7</t>
  </si>
  <si>
    <t>"in-house: privat sektor"</t>
  </si>
  <si>
    <t>AI / maskinlæring</t>
  </si>
  <si>
    <t>865000</t>
  </si>
  <si>
    <t>Nei</t>
  </si>
  <si>
    <t>5</t>
  </si>
  <si>
    <t>2</t>
  </si>
  <si>
    <t>"in-house: offentlig/kommunal sektor"</t>
  </si>
  <si>
    <t>756000</t>
  </si>
  <si>
    <t>konsulent</t>
  </si>
  <si>
    <t>1500000</t>
  </si>
  <si>
    <t>1200000</t>
  </si>
  <si>
    <t>9</t>
  </si>
  <si>
    <t>18</t>
  </si>
  <si>
    <t>14</t>
  </si>
  <si>
    <t>839000</t>
  </si>
  <si>
    <t>Ja</t>
  </si>
  <si>
    <t>6</t>
  </si>
  <si>
    <t>980000</t>
  </si>
  <si>
    <t>750000</t>
  </si>
  <si>
    <t>910000</t>
  </si>
  <si>
    <t>820000</t>
  </si>
  <si>
    <t>850000</t>
  </si>
  <si>
    <t>3</t>
  </si>
  <si>
    <t>730000</t>
  </si>
  <si>
    <t>710000</t>
  </si>
  <si>
    <t>894000</t>
  </si>
  <si>
    <t>0</t>
  </si>
  <si>
    <t>732000</t>
  </si>
  <si>
    <t>900000</t>
  </si>
  <si>
    <t>1</t>
  </si>
  <si>
    <t>640000</t>
  </si>
  <si>
    <t>1152000</t>
  </si>
  <si>
    <t>810000</t>
  </si>
  <si>
    <t>797000</t>
  </si>
  <si>
    <t>650000</t>
  </si>
  <si>
    <t>595000</t>
  </si>
  <si>
    <t>525000</t>
  </si>
  <si>
    <t>17</t>
  </si>
  <si>
    <t>1950000</t>
  </si>
  <si>
    <t>660000</t>
  </si>
  <si>
    <t>8</t>
  </si>
  <si>
    <t>annet</t>
  </si>
  <si>
    <t>460000</t>
  </si>
  <si>
    <t>550000</t>
  </si>
  <si>
    <t>10</t>
  </si>
  <si>
    <t>780000</t>
  </si>
  <si>
    <t>1800000</t>
  </si>
  <si>
    <t>920000</t>
  </si>
  <si>
    <t>1326000</t>
  </si>
  <si>
    <t>1370000</t>
  </si>
  <si>
    <t>20</t>
  </si>
  <si>
    <t>19</t>
  </si>
  <si>
    <t>1170000</t>
  </si>
  <si>
    <t>1300000</t>
  </si>
  <si>
    <t>16</t>
  </si>
  <si>
    <t>1100000</t>
  </si>
  <si>
    <t>1210000</t>
  </si>
  <si>
    <t>700000</t>
  </si>
  <si>
    <t>1025000</t>
  </si>
  <si>
    <t>1000000</t>
  </si>
  <si>
    <t>870000</t>
  </si>
  <si>
    <t>560000</t>
  </si>
  <si>
    <t>590000</t>
  </si>
  <si>
    <t>685000</t>
  </si>
  <si>
    <t>715000</t>
  </si>
  <si>
    <t>800000</t>
  </si>
  <si>
    <t>2400000</t>
  </si>
  <si>
    <t>570000</t>
  </si>
  <si>
    <t>630000</t>
  </si>
  <si>
    <t>740000</t>
  </si>
  <si>
    <t>15</t>
  </si>
  <si>
    <t>930000</t>
  </si>
  <si>
    <t>580000</t>
  </si>
  <si>
    <t>515000</t>
  </si>
  <si>
    <t>13</t>
  </si>
  <si>
    <t>925000</t>
  </si>
  <si>
    <t>frilans / selvstendig næringsdrivende</t>
  </si>
  <si>
    <t>1014000</t>
  </si>
  <si>
    <t>1150000</t>
  </si>
  <si>
    <t>950000</t>
  </si>
  <si>
    <t>485000</t>
  </si>
  <si>
    <t>12</t>
  </si>
  <si>
    <t>960000</t>
  </si>
  <si>
    <t>1650000</t>
  </si>
  <si>
    <t>840000</t>
  </si>
  <si>
    <t>310000</t>
  </si>
  <si>
    <t>683000</t>
  </si>
  <si>
    <t>app</t>
  </si>
  <si>
    <t>600000</t>
  </si>
  <si>
    <t>735000</t>
  </si>
  <si>
    <t>940000</t>
  </si>
  <si>
    <t>1135000</t>
  </si>
  <si>
    <t>969000</t>
  </si>
  <si>
    <t>970000</t>
  </si>
  <si>
    <t>1115000</t>
  </si>
  <si>
    <t>1090000</t>
  </si>
  <si>
    <t>840099</t>
  </si>
  <si>
    <t>1050000</t>
  </si>
  <si>
    <t>1015000</t>
  </si>
  <si>
    <t>930318</t>
  </si>
  <si>
    <t>690000</t>
  </si>
  <si>
    <t>758000</t>
  </si>
  <si>
    <t>835000</t>
  </si>
  <si>
    <t>875000</t>
  </si>
  <si>
    <t>1750000</t>
  </si>
  <si>
    <t>770000</t>
  </si>
  <si>
    <t>625000</t>
  </si>
  <si>
    <t>510000</t>
  </si>
  <si>
    <t>680000</t>
  </si>
  <si>
    <t>903000</t>
  </si>
  <si>
    <t>765000</t>
  </si>
  <si>
    <t>726000</t>
  </si>
  <si>
    <t>774201</t>
  </si>
  <si>
    <t>887000</t>
  </si>
  <si>
    <t>720000</t>
  </si>
  <si>
    <t>890000</t>
  </si>
  <si>
    <t>860000</t>
  </si>
  <si>
    <t>880000</t>
  </si>
  <si>
    <t>11</t>
  </si>
  <si>
    <t>556000</t>
  </si>
  <si>
    <t>arkitektur</t>
  </si>
  <si>
    <t>775000</t>
  </si>
  <si>
    <t>1250000</t>
  </si>
  <si>
    <t>1265000</t>
  </si>
  <si>
    <t>1400000</t>
  </si>
  <si>
    <t>1005000</t>
  </si>
  <si>
    <t>1360000</t>
  </si>
  <si>
    <t>1138300</t>
  </si>
  <si>
    <t>1230000</t>
  </si>
  <si>
    <t>1290000</t>
  </si>
  <si>
    <t>1030000</t>
  </si>
  <si>
    <t>1450000</t>
  </si>
  <si>
    <t>1627000</t>
  </si>
  <si>
    <t>1350000</t>
  </si>
  <si>
    <t>1240000</t>
  </si>
  <si>
    <t>1271000</t>
  </si>
  <si>
    <t>1900000</t>
  </si>
  <si>
    <t>1467000</t>
  </si>
  <si>
    <t>955000</t>
  </si>
  <si>
    <t>920501</t>
  </si>
  <si>
    <t>530000</t>
  </si>
  <si>
    <t>1600000</t>
  </si>
  <si>
    <t>990000</t>
  </si>
  <si>
    <t>1016000</t>
  </si>
  <si>
    <t>2000000</t>
  </si>
  <si>
    <t>1700000</t>
  </si>
  <si>
    <t>1182000</t>
  </si>
  <si>
    <t>1000010</t>
  </si>
  <si>
    <t>862000</t>
  </si>
  <si>
    <t>845000</t>
  </si>
  <si>
    <t>968000</t>
  </si>
  <si>
    <t>1040000</t>
  </si>
  <si>
    <t>1071293</t>
  </si>
  <si>
    <t>2450000</t>
  </si>
  <si>
    <t>2500000</t>
  </si>
  <si>
    <t>540000</t>
  </si>
  <si>
    <t>automatisering</t>
  </si>
  <si>
    <t>664000</t>
  </si>
  <si>
    <t>1010000</t>
  </si>
  <si>
    <t>874000</t>
  </si>
  <si>
    <t>1060000</t>
  </si>
  <si>
    <t>573000</t>
  </si>
  <si>
    <t>620000</t>
  </si>
  <si>
    <t>614000</t>
  </si>
  <si>
    <t>350000</t>
  </si>
  <si>
    <t>568000</t>
  </si>
  <si>
    <t>backend</t>
  </si>
  <si>
    <t>1136000</t>
  </si>
  <si>
    <t>1140000</t>
  </si>
  <si>
    <t>760000</t>
  </si>
  <si>
    <t>1006000</t>
  </si>
  <si>
    <t>670000</t>
  </si>
  <si>
    <t>790000</t>
  </si>
  <si>
    <t>725900</t>
  </si>
  <si>
    <t>766000</t>
  </si>
  <si>
    <t>585000</t>
  </si>
  <si>
    <t>605000</t>
  </si>
  <si>
    <t>843000</t>
  </si>
  <si>
    <t>786290</t>
  </si>
  <si>
    <t>667500</t>
  </si>
  <si>
    <t>917000</t>
  </si>
  <si>
    <t>1630000</t>
  </si>
  <si>
    <t>830000</t>
  </si>
  <si>
    <t>905000</t>
  </si>
  <si>
    <t>1020000</t>
  </si>
  <si>
    <t>1190000</t>
  </si>
  <si>
    <t>1260000</t>
  </si>
  <si>
    <t>1000108</t>
  </si>
  <si>
    <t>1080000</t>
  </si>
  <si>
    <t>911939</t>
  </si>
  <si>
    <t>1035000</t>
  </si>
  <si>
    <t>1550000</t>
  </si>
  <si>
    <t>1155000</t>
  </si>
  <si>
    <t>1245000</t>
  </si>
  <si>
    <t>1052000</t>
  </si>
  <si>
    <t>882000</t>
  </si>
  <si>
    <t>885000</t>
  </si>
  <si>
    <t>1123000</t>
  </si>
  <si>
    <t>1144000</t>
  </si>
  <si>
    <t>795000</t>
  </si>
  <si>
    <t>1037000</t>
  </si>
  <si>
    <t>703500</t>
  </si>
  <si>
    <t>787000</t>
  </si>
  <si>
    <t>708000</t>
  </si>
  <si>
    <t>796000</t>
  </si>
  <si>
    <t>825000</t>
  </si>
  <si>
    <t>915000</t>
  </si>
  <si>
    <t>927000</t>
  </si>
  <si>
    <t>767000</t>
  </si>
  <si>
    <t>945000</t>
  </si>
  <si>
    <t>732300</t>
  </si>
  <si>
    <t>834000</t>
  </si>
  <si>
    <t>897000</t>
  </si>
  <si>
    <t>921106</t>
  </si>
  <si>
    <t>635000</t>
  </si>
  <si>
    <t>675000</t>
  </si>
  <si>
    <t>745000</t>
  </si>
  <si>
    <t>624000</t>
  </si>
  <si>
    <t>754000</t>
  </si>
  <si>
    <t>817000</t>
  </si>
  <si>
    <t>695000</t>
  </si>
  <si>
    <t>705000</t>
  </si>
  <si>
    <t>724000</t>
  </si>
  <si>
    <t>725000</t>
  </si>
  <si>
    <t>755000</t>
  </si>
  <si>
    <t>858000</t>
  </si>
  <si>
    <t>437000</t>
  </si>
  <si>
    <t>429000</t>
  </si>
  <si>
    <t>575000</t>
  </si>
  <si>
    <t>592000</t>
  </si>
  <si>
    <t>610000</t>
  </si>
  <si>
    <t>730125</t>
  </si>
  <si>
    <t>1092000</t>
  </si>
  <si>
    <t>853000</t>
  </si>
  <si>
    <t>1087350</t>
  </si>
  <si>
    <t>815000</t>
  </si>
  <si>
    <t>844000</t>
  </si>
  <si>
    <t>584500</t>
  </si>
  <si>
    <t>936000</t>
  </si>
  <si>
    <t>881000</t>
  </si>
  <si>
    <t>727000</t>
  </si>
  <si>
    <t>701829</t>
  </si>
  <si>
    <t>615000</t>
  </si>
  <si>
    <t>665000</t>
  </si>
  <si>
    <t>857000</t>
  </si>
  <si>
    <t>704000</t>
  </si>
  <si>
    <t>818193</t>
  </si>
  <si>
    <t>975000</t>
  </si>
  <si>
    <t>1280000</t>
  </si>
  <si>
    <t>1148000</t>
  </si>
  <si>
    <t>1017500</t>
  </si>
  <si>
    <t>1078329</t>
  </si>
  <si>
    <t>958000</t>
  </si>
  <si>
    <t>1105000</t>
  </si>
  <si>
    <t>735200</t>
  </si>
  <si>
    <t>785000</t>
  </si>
  <si>
    <t>645000</t>
  </si>
  <si>
    <t>673000</t>
  </si>
  <si>
    <t>701000</t>
  </si>
  <si>
    <t>480000</t>
  </si>
  <si>
    <t>786000</t>
  </si>
  <si>
    <t>996000</t>
  </si>
  <si>
    <t>2250000</t>
  </si>
  <si>
    <t>987000</t>
  </si>
  <si>
    <t>1024000</t>
  </si>
  <si>
    <t>895000</t>
  </si>
  <si>
    <t>1087000</t>
  </si>
  <si>
    <t>1116600</t>
  </si>
  <si>
    <t>654400</t>
  </si>
  <si>
    <t>data science</t>
  </si>
  <si>
    <t>721000</t>
  </si>
  <si>
    <t>823000</t>
  </si>
  <si>
    <t>704400</t>
  </si>
  <si>
    <t>935000</t>
  </si>
  <si>
    <t>1046000</t>
  </si>
  <si>
    <t>databaser</t>
  </si>
  <si>
    <t>devops / drift</t>
  </si>
  <si>
    <t>934000</t>
  </si>
  <si>
    <t>2200000</t>
  </si>
  <si>
    <t>966000</t>
  </si>
  <si>
    <t>1254100</t>
  </si>
  <si>
    <t>1128877</t>
  </si>
  <si>
    <t>691000</t>
  </si>
  <si>
    <t>1078000</t>
  </si>
  <si>
    <t>1125000</t>
  </si>
  <si>
    <t>985000</t>
  </si>
  <si>
    <t>624500</t>
  </si>
  <si>
    <t>1620000</t>
  </si>
  <si>
    <t>500000</t>
  </si>
  <si>
    <t>2100000</t>
  </si>
  <si>
    <t>450000</t>
  </si>
  <si>
    <t>655000</t>
  </si>
  <si>
    <t>972000</t>
  </si>
  <si>
    <t>embedded / IOT / maskinvare</t>
  </si>
  <si>
    <t>987090</t>
  </si>
  <si>
    <t>1075000</t>
  </si>
  <si>
    <t>1125375</t>
  </si>
  <si>
    <t>2600000</t>
  </si>
  <si>
    <t>1295000</t>
  </si>
  <si>
    <t>703000</t>
  </si>
  <si>
    <t>frontend</t>
  </si>
  <si>
    <t>836000</t>
  </si>
  <si>
    <t>912000</t>
  </si>
  <si>
    <t>520000</t>
  </si>
  <si>
    <t>565900</t>
  </si>
  <si>
    <t>490000</t>
  </si>
  <si>
    <t>502400</t>
  </si>
  <si>
    <t>1235000</t>
  </si>
  <si>
    <t>1059000</t>
  </si>
  <si>
    <t>1070000</t>
  </si>
  <si>
    <t>1073700</t>
  </si>
  <si>
    <t>1307520</t>
  </si>
  <si>
    <t>812000</t>
  </si>
  <si>
    <t>866000</t>
  </si>
  <si>
    <t>779000</t>
  </si>
  <si>
    <t>744000</t>
  </si>
  <si>
    <t>574000</t>
  </si>
  <si>
    <t>670200</t>
  </si>
  <si>
    <t>773000</t>
  </si>
  <si>
    <t>849000</t>
  </si>
  <si>
    <t>774500</t>
  </si>
  <si>
    <t>671000</t>
  </si>
  <si>
    <t>738000</t>
  </si>
  <si>
    <t>635200</t>
  </si>
  <si>
    <t>741200</t>
  </si>
  <si>
    <t>555000</t>
  </si>
  <si>
    <t>634000</t>
  </si>
  <si>
    <t>430000</t>
  </si>
  <si>
    <t>567000</t>
  </si>
  <si>
    <t>773800</t>
  </si>
  <si>
    <t>766500</t>
  </si>
  <si>
    <t>635833</t>
  </si>
  <si>
    <t>1178000</t>
  </si>
  <si>
    <t>941000</t>
  </si>
  <si>
    <t>819000</t>
  </si>
  <si>
    <t>593000</t>
  </si>
  <si>
    <t>1152500</t>
  </si>
  <si>
    <t>1320000</t>
  </si>
  <si>
    <t>1029000</t>
  </si>
  <si>
    <t>729000</t>
  </si>
  <si>
    <t>1034000</t>
  </si>
  <si>
    <t>798000</t>
  </si>
  <si>
    <t>692000</t>
  </si>
  <si>
    <t>370000</t>
  </si>
  <si>
    <t>642000</t>
  </si>
  <si>
    <t>548600</t>
  </si>
  <si>
    <t>fullstack</t>
  </si>
  <si>
    <t>795500</t>
  </si>
  <si>
    <t>557100</t>
  </si>
  <si>
    <t>906000</t>
  </si>
  <si>
    <t>300000</t>
  </si>
  <si>
    <t>1270000</t>
  </si>
  <si>
    <t>879000</t>
  </si>
  <si>
    <t>647500</t>
  </si>
  <si>
    <t>581000</t>
  </si>
  <si>
    <t>579000</t>
  </si>
  <si>
    <t>528000</t>
  </si>
  <si>
    <t>2300000</t>
  </si>
  <si>
    <t>1021000</t>
  </si>
  <si>
    <t>928000</t>
  </si>
  <si>
    <t>1380000</t>
  </si>
  <si>
    <t>890700</t>
  </si>
  <si>
    <t>1145000</t>
  </si>
  <si>
    <t>1165000</t>
  </si>
  <si>
    <t>1180000</t>
  </si>
  <si>
    <t>2700000</t>
  </si>
  <si>
    <t>1120000</t>
  </si>
  <si>
    <t>1220000</t>
  </si>
  <si>
    <t>1264650</t>
  </si>
  <si>
    <t>1130000</t>
  </si>
  <si>
    <t>937000</t>
  </si>
  <si>
    <t>678000</t>
  </si>
  <si>
    <t>674000</t>
  </si>
  <si>
    <t>802000</t>
  </si>
  <si>
    <t>751000</t>
  </si>
  <si>
    <t>759000</t>
  </si>
  <si>
    <t>893000</t>
  </si>
  <si>
    <t>949000</t>
  </si>
  <si>
    <t>1004000</t>
  </si>
  <si>
    <t>747000</t>
  </si>
  <si>
    <t>709000</t>
  </si>
  <si>
    <t>741155</t>
  </si>
  <si>
    <t>626000</t>
  </si>
  <si>
    <t>712000</t>
  </si>
  <si>
    <t>593500</t>
  </si>
  <si>
    <t>604000</t>
  </si>
  <si>
    <t>652000</t>
  </si>
  <si>
    <t>694000</t>
  </si>
  <si>
    <t>805000</t>
  </si>
  <si>
    <t>667000</t>
  </si>
  <si>
    <t>456000</t>
  </si>
  <si>
    <t>542000</t>
  </si>
  <si>
    <t>576000</t>
  </si>
  <si>
    <t>628000</t>
  </si>
  <si>
    <t>657000</t>
  </si>
  <si>
    <t>604900</t>
  </si>
  <si>
    <t>1175000</t>
  </si>
  <si>
    <t>684000</t>
  </si>
  <si>
    <t>811000</t>
  </si>
  <si>
    <t>892000</t>
  </si>
  <si>
    <t>810942</t>
  </si>
  <si>
    <t>1160000</t>
  </si>
  <si>
    <t>716000</t>
  </si>
  <si>
    <t>1050119</t>
  </si>
  <si>
    <t>792000</t>
  </si>
  <si>
    <t>609500</t>
  </si>
  <si>
    <t>588000</t>
  </si>
  <si>
    <t>605500</t>
  </si>
  <si>
    <t>868000</t>
  </si>
  <si>
    <t>936886</t>
  </si>
  <si>
    <t>955149</t>
  </si>
  <si>
    <t>546000</t>
  </si>
  <si>
    <t>916000</t>
  </si>
  <si>
    <t>752000</t>
  </si>
  <si>
    <t>565451</t>
  </si>
  <si>
    <t>831000</t>
  </si>
  <si>
    <t>976000</t>
  </si>
  <si>
    <t>782000</t>
  </si>
  <si>
    <t>782408</t>
  </si>
  <si>
    <t>565000</t>
  </si>
  <si>
    <t>905625</t>
  </si>
  <si>
    <t>816000</t>
  </si>
  <si>
    <t>693000</t>
  </si>
  <si>
    <t>742100</t>
  </si>
  <si>
    <t>1063000</t>
  </si>
  <si>
    <t>420000</t>
  </si>
  <si>
    <t>564000</t>
  </si>
  <si>
    <t>512000</t>
  </si>
  <si>
    <t>ledelse/administrativt</t>
  </si>
  <si>
    <t>886200</t>
  </si>
  <si>
    <t>1465000</t>
  </si>
  <si>
    <t>1205000</t>
  </si>
  <si>
    <t>1095000</t>
  </si>
  <si>
    <t>1460000</t>
  </si>
  <si>
    <t>1390000</t>
  </si>
  <si>
    <t>1310000</t>
  </si>
  <si>
    <t>1364000</t>
  </si>
  <si>
    <t>978000</t>
  </si>
  <si>
    <t>950009</t>
  </si>
  <si>
    <t>742000</t>
  </si>
  <si>
    <t>1166000</t>
  </si>
  <si>
    <t>1070742</t>
  </si>
  <si>
    <t>826000</t>
  </si>
  <si>
    <t>1066200</t>
  </si>
  <si>
    <t>627000</t>
  </si>
  <si>
    <t>1475000</t>
  </si>
  <si>
    <t>1065000</t>
  </si>
  <si>
    <t>611000</t>
  </si>
  <si>
    <t>806000</t>
  </si>
  <si>
    <t>programvare</t>
  </si>
  <si>
    <t>1122000</t>
  </si>
  <si>
    <t>876000</t>
  </si>
  <si>
    <t>965000</t>
  </si>
  <si>
    <t>1057762</t>
  </si>
  <si>
    <t>998000</t>
  </si>
  <si>
    <t>2206000</t>
  </si>
  <si>
    <t>1023000</t>
  </si>
  <si>
    <t>636000</t>
  </si>
  <si>
    <t>sikkerhet</t>
  </si>
  <si>
    <t>415000</t>
  </si>
  <si>
    <t>899000</t>
  </si>
  <si>
    <t>807000</t>
  </si>
  <si>
    <t>838000</t>
  </si>
  <si>
    <t>827000</t>
  </si>
  <si>
    <t>468000</t>
  </si>
  <si>
    <t>622000</t>
  </si>
  <si>
    <t>526300</t>
  </si>
  <si>
    <t>testing</t>
  </si>
  <si>
    <t>1001000</t>
  </si>
  <si>
    <t>UX / design</t>
  </si>
  <si>
    <t>692500</t>
  </si>
  <si>
    <t>1089000</t>
  </si>
  <si>
    <t>597000</t>
  </si>
  <si>
    <t>0 - 4</t>
  </si>
  <si>
    <t>experience buckets</t>
  </si>
  <si>
    <t>Job Title</t>
  </si>
  <si>
    <t>job_title_short</t>
  </si>
  <si>
    <t>Total:</t>
  </si>
  <si>
    <t>n of job positions</t>
  </si>
  <si>
    <t>job_title_short_sorted</t>
  </si>
  <si>
    <t>n of posit</t>
  </si>
  <si>
    <t>median salary based on title</t>
  </si>
  <si>
    <t xml:space="preserve">Title sorted </t>
  </si>
  <si>
    <t>median salary</t>
  </si>
  <si>
    <t>Arbeidssted</t>
  </si>
  <si>
    <t>work places</t>
  </si>
  <si>
    <t>work places sorted</t>
  </si>
  <si>
    <t>15 +</t>
  </si>
  <si>
    <t>Fylke</t>
  </si>
  <si>
    <t>med_salary</t>
  </si>
  <si>
    <t>Nye fylke(etter 2024)</t>
  </si>
  <si>
    <t>values for plotting</t>
  </si>
  <si>
    <t>experience buckets_sorted</t>
  </si>
  <si>
    <t>5  - 8</t>
  </si>
  <si>
    <t>help to sort</t>
  </si>
  <si>
    <t>median salary
per fylke and job type</t>
  </si>
  <si>
    <t>sorted by salary</t>
  </si>
  <si>
    <t>Job types</t>
  </si>
  <si>
    <t>Number of jobs perspecialization</t>
  </si>
  <si>
    <t>Most popular type</t>
  </si>
  <si>
    <t>Experience</t>
  </si>
  <si>
    <t>Developers salary in Norway,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</si>
</sst>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NOK&quot;\ * #,##0_-;\-&quot;NOK&quot;\ * #,##0_-;_-&quot;NOK&quot;\ * &quot;-&quot;_-;_-@_-"/>
    <numFmt numFmtId="44" formatCode="_-&quot;NOK&quot;\ * #,##0.00_-;\-&quot;NOK&quot;\ * #,##0.00_-;_-&quot;NOK&quot;\ * &quot;-&quot;??_-;_-@_-"/>
  </numFmts>
  <fonts count="1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5"/>
      <color theme="3"/>
      <name val="Aptos Narrow"/>
      <family val="2"/>
      <scheme val="minor"/>
    </font>
    <font>
      <sz val="18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28"/>
      <color theme="1"/>
      <name val="Adelle Sans Devanagari Regular"/>
    </font>
    <font>
      <sz val="12"/>
      <color theme="1"/>
      <name val="Adelle Sans Devanagari Regula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6" fillId="0" borderId="6" applyNumberFormat="0" applyFill="0" applyAlignment="0" applyProtection="0"/>
  </cellStyleXfs>
  <cellXfs count="51">
    <xf numFmtId="0" fontId="0" fillId="0" borderId="0" xfId="0"/>
    <xf numFmtId="0" fontId="0" fillId="2" borderId="0" xfId="0" applyFill="1"/>
    <xf numFmtId="0" fontId="0" fillId="3" borderId="0" xfId="0" applyFill="1"/>
    <xf numFmtId="2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3" fillId="0" borderId="0" xfId="2"/>
    <xf numFmtId="0" fontId="2" fillId="6" borderId="0" xfId="0" applyFont="1" applyFill="1"/>
    <xf numFmtId="0" fontId="0" fillId="6" borderId="0" xfId="0" applyFill="1"/>
    <xf numFmtId="3" fontId="0" fillId="0" borderId="0" xfId="0" applyNumberFormat="1" applyAlignment="1">
      <alignment horizontal="center"/>
    </xf>
    <xf numFmtId="3" fontId="0" fillId="0" borderId="0" xfId="0" applyNumberFormat="1"/>
    <xf numFmtId="49" fontId="0" fillId="0" borderId="1" xfId="0" applyNumberFormat="1" applyBorder="1"/>
    <xf numFmtId="0" fontId="0" fillId="3" borderId="1" xfId="0" applyFill="1" applyBorder="1"/>
    <xf numFmtId="49" fontId="0" fillId="0" borderId="1" xfId="1" applyNumberFormat="1" applyFont="1" applyBorder="1"/>
    <xf numFmtId="1" fontId="0" fillId="0" borderId="1" xfId="0" applyNumberFormat="1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7" borderId="5" xfId="0" applyFill="1" applyBorder="1"/>
    <xf numFmtId="0" fontId="0" fillId="7" borderId="3" xfId="0" applyFill="1" applyBorder="1"/>
    <xf numFmtId="0" fontId="0" fillId="7" borderId="2" xfId="0" applyFill="1" applyBorder="1"/>
    <xf numFmtId="0" fontId="4" fillId="0" borderId="0" xfId="0" applyFont="1"/>
    <xf numFmtId="42" fontId="0" fillId="0" borderId="0" xfId="1" applyNumberFormat="1" applyFont="1"/>
    <xf numFmtId="0" fontId="4" fillId="8" borderId="0" xfId="0" applyFont="1" applyFill="1"/>
    <xf numFmtId="0" fontId="0" fillId="8" borderId="0" xfId="0" applyFill="1"/>
    <xf numFmtId="3" fontId="2" fillId="0" borderId="0" xfId="0" applyNumberFormat="1" applyFont="1"/>
    <xf numFmtId="0" fontId="5" fillId="0" borderId="0" xfId="0" applyFont="1"/>
    <xf numFmtId="0" fontId="5" fillId="9" borderId="0" xfId="0" applyFont="1" applyFill="1"/>
    <xf numFmtId="0" fontId="5" fillId="2" borderId="0" xfId="0" applyFont="1" applyFill="1"/>
    <xf numFmtId="0" fontId="5" fillId="10" borderId="0" xfId="0" applyFont="1" applyFill="1"/>
    <xf numFmtId="0" fontId="5" fillId="11" borderId="0" xfId="0" applyFont="1" applyFill="1"/>
    <xf numFmtId="4" fontId="0" fillId="3" borderId="0" xfId="0" applyNumberFormat="1" applyFill="1"/>
    <xf numFmtId="4" fontId="0" fillId="0" borderId="0" xfId="0" applyNumberFormat="1"/>
    <xf numFmtId="0" fontId="0" fillId="3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4" fillId="11" borderId="0" xfId="0" applyFont="1" applyFill="1" applyAlignment="1">
      <alignment vertical="center" wrapText="1"/>
    </xf>
    <xf numFmtId="0" fontId="0" fillId="7" borderId="2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11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8" fillId="13" borderId="0" xfId="0" applyFont="1" applyFill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12" borderId="6" xfId="3" applyFill="1" applyProtection="1">
      <protection locked="0"/>
    </xf>
  </cellXfs>
  <cellStyles count="4">
    <cellStyle name="Currency" xfId="1" builtinId="4"/>
    <cellStyle name="Heading 1" xfId="3" builtinId="1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salary country level'!$C$1</c:f>
              <c:strCache>
                <c:ptCount val="1"/>
                <c:pt idx="0">
                  <c:v>min salary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cat>
            <c:strRef>
              <c:f>'average salary country level'!$B$2:$B$13</c:f>
              <c:strCache>
                <c:ptCount val="12"/>
                <c:pt idx="0">
                  <c:v>Agder</c:v>
                </c:pt>
                <c:pt idx="1">
                  <c:v>Nordland</c:v>
                </c:pt>
                <c:pt idx="2">
                  <c:v>Oslo</c:v>
                </c:pt>
                <c:pt idx="3">
                  <c:v>Rogaland</c:v>
                </c:pt>
                <c:pt idx="4">
                  <c:v>Troms og Finnmark</c:v>
                </c:pt>
                <c:pt idx="5">
                  <c:v>Trøndelag</c:v>
                </c:pt>
                <c:pt idx="6">
                  <c:v>Vestland</c:v>
                </c:pt>
                <c:pt idx="7">
                  <c:v>Viken</c:v>
                </c:pt>
                <c:pt idx="8">
                  <c:v>Innlandet</c:v>
                </c:pt>
                <c:pt idx="9">
                  <c:v>utlandet</c:v>
                </c:pt>
                <c:pt idx="10">
                  <c:v>Vestfold og Telemark</c:v>
                </c:pt>
                <c:pt idx="11">
                  <c:v>Møre og Romsdal</c:v>
                </c:pt>
              </c:strCache>
            </c:strRef>
          </c:cat>
          <c:val>
            <c:numRef>
              <c:f>'average salary country level'!$C$2:$C$13</c:f>
              <c:numCache>
                <c:formatCode>#,##0</c:formatCode>
                <c:ptCount val="12"/>
                <c:pt idx="0">
                  <c:v>300000</c:v>
                </c:pt>
                <c:pt idx="1">
                  <c:v>480000</c:v>
                </c:pt>
                <c:pt idx="2">
                  <c:v>429000</c:v>
                </c:pt>
                <c:pt idx="3">
                  <c:v>430000</c:v>
                </c:pt>
                <c:pt idx="4">
                  <c:v>540000</c:v>
                </c:pt>
                <c:pt idx="5">
                  <c:v>500000</c:v>
                </c:pt>
                <c:pt idx="6">
                  <c:v>310000</c:v>
                </c:pt>
                <c:pt idx="7">
                  <c:v>420000</c:v>
                </c:pt>
                <c:pt idx="8">
                  <c:v>415000</c:v>
                </c:pt>
                <c:pt idx="9">
                  <c:v>500000</c:v>
                </c:pt>
                <c:pt idx="10">
                  <c:v>450000</c:v>
                </c:pt>
                <c:pt idx="11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4-3241-A2EC-4F43C05F378A}"/>
            </c:ext>
          </c:extLst>
        </c:ser>
        <c:ser>
          <c:idx val="1"/>
          <c:order val="1"/>
          <c:tx>
            <c:strRef>
              <c:f>'average salary country level'!$D$1</c:f>
              <c:strCache>
                <c:ptCount val="1"/>
                <c:pt idx="0">
                  <c:v>max salary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'average salary country level'!$B$2:$B$13</c:f>
              <c:strCache>
                <c:ptCount val="12"/>
                <c:pt idx="0">
                  <c:v>Agder</c:v>
                </c:pt>
                <c:pt idx="1">
                  <c:v>Nordland</c:v>
                </c:pt>
                <c:pt idx="2">
                  <c:v>Oslo</c:v>
                </c:pt>
                <c:pt idx="3">
                  <c:v>Rogaland</c:v>
                </c:pt>
                <c:pt idx="4">
                  <c:v>Troms og Finnmark</c:v>
                </c:pt>
                <c:pt idx="5">
                  <c:v>Trøndelag</c:v>
                </c:pt>
                <c:pt idx="6">
                  <c:v>Vestland</c:v>
                </c:pt>
                <c:pt idx="7">
                  <c:v>Viken</c:v>
                </c:pt>
                <c:pt idx="8">
                  <c:v>Innlandet</c:v>
                </c:pt>
                <c:pt idx="9">
                  <c:v>utlandet</c:v>
                </c:pt>
                <c:pt idx="10">
                  <c:v>Vestfold og Telemark</c:v>
                </c:pt>
                <c:pt idx="11">
                  <c:v>Møre og Romsdal</c:v>
                </c:pt>
              </c:strCache>
            </c:strRef>
          </c:cat>
          <c:val>
            <c:numRef>
              <c:f>'average salary country level'!$D$2:$D$13</c:f>
              <c:numCache>
                <c:formatCode>#,##0</c:formatCode>
                <c:ptCount val="12"/>
                <c:pt idx="0">
                  <c:v>1500000</c:v>
                </c:pt>
                <c:pt idx="1">
                  <c:v>2400000</c:v>
                </c:pt>
                <c:pt idx="2">
                  <c:v>2700000</c:v>
                </c:pt>
                <c:pt idx="3">
                  <c:v>2400000</c:v>
                </c:pt>
                <c:pt idx="4">
                  <c:v>1650000</c:v>
                </c:pt>
                <c:pt idx="5">
                  <c:v>2100000</c:v>
                </c:pt>
                <c:pt idx="6">
                  <c:v>2500000</c:v>
                </c:pt>
                <c:pt idx="7">
                  <c:v>2600000</c:v>
                </c:pt>
                <c:pt idx="8">
                  <c:v>1600000</c:v>
                </c:pt>
                <c:pt idx="9">
                  <c:v>2206000</c:v>
                </c:pt>
                <c:pt idx="10">
                  <c:v>1700000</c:v>
                </c:pt>
                <c:pt idx="11">
                  <c:v>1200000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24-3241-A2EC-4F43C05F378A}"/>
            </c:ext>
          </c:extLst>
        </c:ser>
        <c:ser>
          <c:idx val="2"/>
          <c:order val="2"/>
          <c:tx>
            <c:strRef>
              <c:f>'average salary country level'!$E$1</c:f>
              <c:strCache>
                <c:ptCount val="1"/>
                <c:pt idx="0">
                  <c:v>average salary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salary country level'!$B$2:$B$13</c:f>
              <c:strCache>
                <c:ptCount val="12"/>
                <c:pt idx="0">
                  <c:v>Agder</c:v>
                </c:pt>
                <c:pt idx="1">
                  <c:v>Nordland</c:v>
                </c:pt>
                <c:pt idx="2">
                  <c:v>Oslo</c:v>
                </c:pt>
                <c:pt idx="3">
                  <c:v>Rogaland</c:v>
                </c:pt>
                <c:pt idx="4">
                  <c:v>Troms og Finnmark</c:v>
                </c:pt>
                <c:pt idx="5">
                  <c:v>Trøndelag</c:v>
                </c:pt>
                <c:pt idx="6">
                  <c:v>Vestland</c:v>
                </c:pt>
                <c:pt idx="7">
                  <c:v>Viken</c:v>
                </c:pt>
                <c:pt idx="8">
                  <c:v>Innlandet</c:v>
                </c:pt>
                <c:pt idx="9">
                  <c:v>utlandet</c:v>
                </c:pt>
                <c:pt idx="10">
                  <c:v>Vestfold og Telemark</c:v>
                </c:pt>
                <c:pt idx="11">
                  <c:v>Møre og Romsdal</c:v>
                </c:pt>
              </c:strCache>
            </c:strRef>
          </c:cat>
          <c:val>
            <c:numRef>
              <c:f>'average salary country level'!$E$2:$E$13</c:f>
              <c:numCache>
                <c:formatCode>#,##0</c:formatCode>
                <c:ptCount val="12"/>
                <c:pt idx="0">
                  <c:v>794608.51063829788</c:v>
                </c:pt>
                <c:pt idx="1">
                  <c:v>816131.11111111112</c:v>
                </c:pt>
                <c:pt idx="2">
                  <c:v>921618.72647257952</c:v>
                </c:pt>
                <c:pt idx="3">
                  <c:v>910580.93827160494</c:v>
                </c:pt>
                <c:pt idx="4">
                  <c:v>808402.77777777775</c:v>
                </c:pt>
                <c:pt idx="5">
                  <c:v>848503.61224489799</c:v>
                </c:pt>
                <c:pt idx="6">
                  <c:v>857949.79844961246</c:v>
                </c:pt>
                <c:pt idx="7">
                  <c:v>940998.1481481482</c:v>
                </c:pt>
                <c:pt idx="8">
                  <c:v>870460.60606060608</c:v>
                </c:pt>
                <c:pt idx="9">
                  <c:v>1129829.857142857</c:v>
                </c:pt>
                <c:pt idx="10">
                  <c:v>830742.80180180178</c:v>
                </c:pt>
                <c:pt idx="11">
                  <c:v>806157.02127659577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24-3241-A2EC-4F43C05F3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1012391135"/>
        <c:axId val="1012473599"/>
      </c:barChart>
      <c:catAx>
        <c:axId val="1012391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012473599"/>
        <c:crosses val="autoZero"/>
        <c:auto val="1"/>
        <c:lblAlgn val="ctr"/>
        <c:lblOffset val="100"/>
        <c:noMultiLvlLbl val="0"/>
      </c:catAx>
      <c:valAx>
        <c:axId val="101247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01239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Salary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 profession and gender'!$B$1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 profession and gender'!$A$2:$A$18</c:f>
              <c:strCache>
                <c:ptCount val="17"/>
                <c:pt idx="0">
                  <c:v>AI / maskinlæring</c:v>
                </c:pt>
                <c:pt idx="1">
                  <c:v>annet</c:v>
                </c:pt>
                <c:pt idx="2">
                  <c:v>app</c:v>
                </c:pt>
                <c:pt idx="3">
                  <c:v>arkitektur</c:v>
                </c:pt>
                <c:pt idx="4">
                  <c:v>automatisering</c:v>
                </c:pt>
                <c:pt idx="5">
                  <c:v>backend</c:v>
                </c:pt>
                <c:pt idx="6">
                  <c:v>data science</c:v>
                </c:pt>
                <c:pt idx="7">
                  <c:v>databaser</c:v>
                </c:pt>
                <c:pt idx="8">
                  <c:v>devops / drift</c:v>
                </c:pt>
                <c:pt idx="9">
                  <c:v>embedded / IOT / maskinvare</c:v>
                </c:pt>
                <c:pt idx="10">
                  <c:v>frontend</c:v>
                </c:pt>
                <c:pt idx="11">
                  <c:v>fullstack</c:v>
                </c:pt>
                <c:pt idx="12">
                  <c:v>ledelse/administrativt</c:v>
                </c:pt>
                <c:pt idx="13">
                  <c:v>programvare</c:v>
                </c:pt>
                <c:pt idx="14">
                  <c:v>sikkerhet</c:v>
                </c:pt>
                <c:pt idx="15">
                  <c:v>testing</c:v>
                </c:pt>
                <c:pt idx="16">
                  <c:v>UX / design</c:v>
                </c:pt>
              </c:strCache>
            </c:strRef>
          </c:cat>
          <c:val>
            <c:numRef>
              <c:f>'per profession and gender'!$B$2:$B$18</c:f>
              <c:numCache>
                <c:formatCode>#,##0</c:formatCode>
                <c:ptCount val="17"/>
                <c:pt idx="0">
                  <c:v>525000</c:v>
                </c:pt>
                <c:pt idx="1">
                  <c:v>310000</c:v>
                </c:pt>
                <c:pt idx="2">
                  <c:v>510000</c:v>
                </c:pt>
                <c:pt idx="3">
                  <c:v>530000</c:v>
                </c:pt>
                <c:pt idx="4">
                  <c:v>350000</c:v>
                </c:pt>
                <c:pt idx="5">
                  <c:v>429000</c:v>
                </c:pt>
                <c:pt idx="6">
                  <c:v>530000</c:v>
                </c:pt>
                <c:pt idx="7">
                  <c:v>568000</c:v>
                </c:pt>
                <c:pt idx="8">
                  <c:v>450000</c:v>
                </c:pt>
                <c:pt idx="9">
                  <c:v>585000</c:v>
                </c:pt>
                <c:pt idx="10">
                  <c:v>370000</c:v>
                </c:pt>
                <c:pt idx="11">
                  <c:v>300000</c:v>
                </c:pt>
                <c:pt idx="12">
                  <c:v>500000</c:v>
                </c:pt>
                <c:pt idx="13">
                  <c:v>520000</c:v>
                </c:pt>
                <c:pt idx="14">
                  <c:v>415000</c:v>
                </c:pt>
                <c:pt idx="15">
                  <c:v>430000</c:v>
                </c:pt>
                <c:pt idx="16">
                  <c:v>570000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D-9B42-ACCD-FE1070D4A96D}"/>
            </c:ext>
          </c:extLst>
        </c:ser>
        <c:ser>
          <c:idx val="1"/>
          <c:order val="1"/>
          <c:tx>
            <c:strRef>
              <c:f>'per profession and gender'!$C$1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'per profession and gender'!$A$2:$A$18</c:f>
              <c:strCache>
                <c:ptCount val="17"/>
                <c:pt idx="0">
                  <c:v>AI / maskinlæring</c:v>
                </c:pt>
                <c:pt idx="1">
                  <c:v>annet</c:v>
                </c:pt>
                <c:pt idx="2">
                  <c:v>app</c:v>
                </c:pt>
                <c:pt idx="3">
                  <c:v>arkitektur</c:v>
                </c:pt>
                <c:pt idx="4">
                  <c:v>automatisering</c:v>
                </c:pt>
                <c:pt idx="5">
                  <c:v>backend</c:v>
                </c:pt>
                <c:pt idx="6">
                  <c:v>data science</c:v>
                </c:pt>
                <c:pt idx="7">
                  <c:v>databaser</c:v>
                </c:pt>
                <c:pt idx="8">
                  <c:v>devops / drift</c:v>
                </c:pt>
                <c:pt idx="9">
                  <c:v>embedded / IOT / maskinvare</c:v>
                </c:pt>
                <c:pt idx="10">
                  <c:v>frontend</c:v>
                </c:pt>
                <c:pt idx="11">
                  <c:v>fullstack</c:v>
                </c:pt>
                <c:pt idx="12">
                  <c:v>ledelse/administrativt</c:v>
                </c:pt>
                <c:pt idx="13">
                  <c:v>programvare</c:v>
                </c:pt>
                <c:pt idx="14">
                  <c:v>sikkerhet</c:v>
                </c:pt>
                <c:pt idx="15">
                  <c:v>testing</c:v>
                </c:pt>
                <c:pt idx="16">
                  <c:v>UX / design</c:v>
                </c:pt>
              </c:strCache>
            </c:strRef>
          </c:cat>
          <c:val>
            <c:numRef>
              <c:f>'per profession and gender'!$C$2:$C$18</c:f>
              <c:numCache>
                <c:formatCode>#,##0</c:formatCode>
                <c:ptCount val="17"/>
                <c:pt idx="0">
                  <c:v>1950000</c:v>
                </c:pt>
                <c:pt idx="1">
                  <c:v>2400000</c:v>
                </c:pt>
                <c:pt idx="2">
                  <c:v>1750000</c:v>
                </c:pt>
                <c:pt idx="3">
                  <c:v>2500000</c:v>
                </c:pt>
                <c:pt idx="4">
                  <c:v>1800000</c:v>
                </c:pt>
                <c:pt idx="5">
                  <c:v>2500000</c:v>
                </c:pt>
                <c:pt idx="6">
                  <c:v>1550000</c:v>
                </c:pt>
                <c:pt idx="7">
                  <c:v>1300000</c:v>
                </c:pt>
                <c:pt idx="8">
                  <c:v>2200000</c:v>
                </c:pt>
                <c:pt idx="9">
                  <c:v>2600000</c:v>
                </c:pt>
                <c:pt idx="10">
                  <c:v>2200000</c:v>
                </c:pt>
                <c:pt idx="11">
                  <c:v>2700000</c:v>
                </c:pt>
                <c:pt idx="12">
                  <c:v>2500000</c:v>
                </c:pt>
                <c:pt idx="13">
                  <c:v>2500000</c:v>
                </c:pt>
                <c:pt idx="14">
                  <c:v>2200000</c:v>
                </c:pt>
                <c:pt idx="15">
                  <c:v>2000000</c:v>
                </c:pt>
                <c:pt idx="16">
                  <c:v>1550000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DD-9B42-ACCD-FE1070D4A96D}"/>
            </c:ext>
          </c:extLst>
        </c:ser>
        <c:ser>
          <c:idx val="2"/>
          <c:order val="2"/>
          <c:tx>
            <c:strRef>
              <c:f>'per profession and gender'!$D$1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'per profession and gender'!$A$2:$A$18</c:f>
              <c:strCache>
                <c:ptCount val="17"/>
                <c:pt idx="0">
                  <c:v>AI / maskinlæring</c:v>
                </c:pt>
                <c:pt idx="1">
                  <c:v>annet</c:v>
                </c:pt>
                <c:pt idx="2">
                  <c:v>app</c:v>
                </c:pt>
                <c:pt idx="3">
                  <c:v>arkitektur</c:v>
                </c:pt>
                <c:pt idx="4">
                  <c:v>automatisering</c:v>
                </c:pt>
                <c:pt idx="5">
                  <c:v>backend</c:v>
                </c:pt>
                <c:pt idx="6">
                  <c:v>data science</c:v>
                </c:pt>
                <c:pt idx="7">
                  <c:v>databaser</c:v>
                </c:pt>
                <c:pt idx="8">
                  <c:v>devops / drift</c:v>
                </c:pt>
                <c:pt idx="9">
                  <c:v>embedded / IOT / maskinvare</c:v>
                </c:pt>
                <c:pt idx="10">
                  <c:v>frontend</c:v>
                </c:pt>
                <c:pt idx="11">
                  <c:v>fullstack</c:v>
                </c:pt>
                <c:pt idx="12">
                  <c:v>ledelse/administrativt</c:v>
                </c:pt>
                <c:pt idx="13">
                  <c:v>programvare</c:v>
                </c:pt>
                <c:pt idx="14">
                  <c:v>sikkerhet</c:v>
                </c:pt>
                <c:pt idx="15">
                  <c:v>testing</c:v>
                </c:pt>
                <c:pt idx="16">
                  <c:v>UX / design</c:v>
                </c:pt>
              </c:strCache>
            </c:strRef>
          </c:cat>
          <c:val>
            <c:numRef>
              <c:f>'per profession and gender'!$D$2:$D$18</c:f>
              <c:numCache>
                <c:formatCode>#,##0</c:formatCode>
                <c:ptCount val="17"/>
                <c:pt idx="0">
                  <c:v>897413.79310344823</c:v>
                </c:pt>
                <c:pt idx="1">
                  <c:v>943600</c:v>
                </c:pt>
                <c:pt idx="2">
                  <c:v>844980.8055555555</c:v>
                </c:pt>
                <c:pt idx="3">
                  <c:v>1135868.1769911505</c:v>
                </c:pt>
                <c:pt idx="4">
                  <c:v>915718.75</c:v>
                </c:pt>
                <c:pt idx="5">
                  <c:v>904643.0391791045</c:v>
                </c:pt>
                <c:pt idx="6">
                  <c:v>848137.03703703708</c:v>
                </c:pt>
                <c:pt idx="7">
                  <c:v>815361.11111111112</c:v>
                </c:pt>
                <c:pt idx="8">
                  <c:v>912234.90298507467</c:v>
                </c:pt>
                <c:pt idx="9">
                  <c:v>956107.17391304346</c:v>
                </c:pt>
                <c:pt idx="10">
                  <c:v>806002.58383233531</c:v>
                </c:pt>
                <c:pt idx="11">
                  <c:v>875207.3740201568</c:v>
                </c:pt>
                <c:pt idx="12">
                  <c:v>1072832.1013513512</c:v>
                </c:pt>
                <c:pt idx="13">
                  <c:v>917038.36111111112</c:v>
                </c:pt>
                <c:pt idx="14">
                  <c:v>927034.32835820899</c:v>
                </c:pt>
                <c:pt idx="15">
                  <c:v>908241.37931034481</c:v>
                </c:pt>
                <c:pt idx="16">
                  <c:v>797154.54545454541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DD-9B42-ACCD-FE1070D4A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1650976"/>
        <c:axId val="441652688"/>
      </c:barChart>
      <c:catAx>
        <c:axId val="441650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441652688"/>
        <c:crosses val="autoZero"/>
        <c:auto val="1"/>
        <c:lblAlgn val="ctr"/>
        <c:lblOffset val="100"/>
        <c:noMultiLvlLbl val="0"/>
      </c:catAx>
      <c:valAx>
        <c:axId val="4416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44165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Gender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6F-9442-BFAA-A24B29BA224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6F-9442-BFAA-A24B29BA2248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6F-9442-BFAA-A24B29BA2248}"/>
              </c:ext>
            </c:extLst>
          </c:dPt>
          <c:dLbls>
            <c:dLbl>
              <c:idx val="0"/>
              <c:layout>
                <c:manualLayout>
                  <c:x val="-7.0564986645959629E-2"/>
                  <c:y val="0.17328297574383283"/>
                </c:manualLayout>
              </c:layout>
              <c:tx>
                <c:rich>
                  <a:bodyPr/>
                  <a:lstStyle/>
                  <a:p>
                    <a:fld id="{2939D067-7675-4746-A41A-689B28DF9FA3}" type="CATEGORYNAME">
                      <a:rPr lang="en-US"/>
                      <a:pPr/>
                      <a:t>[CATEGORY NAME]</a:t>
                    </a:fld>
                    <a:r>
                      <a:rPr lang="en-US"/>
                      <a:t>
</a:t>
                    </a:r>
                    <a:fld id="{7BAF6256-D866-0847-8D1C-676591CF94F6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D6F-9442-BFAA-A24B29BA2248}"/>
                </c:ext>
              </c:extLst>
            </c:dLbl>
            <c:dLbl>
              <c:idx val="2"/>
              <c:layout>
                <c:manualLayout>
                  <c:x val="-0.25637004716881695"/>
                  <c:y val="0.1183216106821753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6F-9442-BFAA-A24B29BA22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O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 profession and gender'!$M$2:$M$4</c:f>
              <c:strCache>
                <c:ptCount val="3"/>
                <c:pt idx="0">
                  <c:v>kvinne</c:v>
                </c:pt>
                <c:pt idx="1">
                  <c:v>mann</c:v>
                </c:pt>
                <c:pt idx="2">
                  <c:v>annet / ønsker ikke oppgi</c:v>
                </c:pt>
              </c:strCache>
            </c:strRef>
          </c:cat>
          <c:val>
            <c:numRef>
              <c:f>'per profession and gender'!$N$2:$N$4</c:f>
              <c:numCache>
                <c:formatCode>General</c:formatCode>
                <c:ptCount val="3"/>
                <c:pt idx="0">
                  <c:v>368</c:v>
                </c:pt>
                <c:pt idx="1">
                  <c:v>2295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6F-9442-BFAA-A24B29BA2248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 profession and gender'!$B$25:$B$26</c:f>
              <c:strCache>
                <c:ptCount val="2"/>
                <c:pt idx="0">
                  <c:v>kvinne</c:v>
                </c:pt>
                <c:pt idx="1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 profession and gender'!$A$27:$A$43</c:f>
              <c:strCache>
                <c:ptCount val="17"/>
                <c:pt idx="0">
                  <c:v>AI / maskinlæring</c:v>
                </c:pt>
                <c:pt idx="1">
                  <c:v>annet</c:v>
                </c:pt>
                <c:pt idx="2">
                  <c:v>app</c:v>
                </c:pt>
                <c:pt idx="3">
                  <c:v>arkitektur</c:v>
                </c:pt>
                <c:pt idx="4">
                  <c:v>automatisering</c:v>
                </c:pt>
                <c:pt idx="5">
                  <c:v>backend</c:v>
                </c:pt>
                <c:pt idx="6">
                  <c:v>data science</c:v>
                </c:pt>
                <c:pt idx="7">
                  <c:v>databaser</c:v>
                </c:pt>
                <c:pt idx="8">
                  <c:v>devops / drift</c:v>
                </c:pt>
                <c:pt idx="9">
                  <c:v>embedded / IOT / maskinvare</c:v>
                </c:pt>
                <c:pt idx="10">
                  <c:v>frontend</c:v>
                </c:pt>
                <c:pt idx="11">
                  <c:v>fullstack</c:v>
                </c:pt>
                <c:pt idx="12">
                  <c:v>ledelse/administrativt</c:v>
                </c:pt>
                <c:pt idx="13">
                  <c:v>programvare</c:v>
                </c:pt>
                <c:pt idx="14">
                  <c:v>sikkerhet</c:v>
                </c:pt>
                <c:pt idx="15">
                  <c:v>testing</c:v>
                </c:pt>
                <c:pt idx="16">
                  <c:v>UX / design</c:v>
                </c:pt>
              </c:strCache>
            </c:strRef>
          </c:cat>
          <c:val>
            <c:numRef>
              <c:f>'per profession and gender'!$B$27:$B$43</c:f>
              <c:numCache>
                <c:formatCode>#,##0</c:formatCode>
                <c:ptCount val="17"/>
                <c:pt idx="0">
                  <c:v>732000</c:v>
                </c:pt>
                <c:pt idx="1">
                  <c:v>850000</c:v>
                </c:pt>
                <c:pt idx="2">
                  <c:v>590000</c:v>
                </c:pt>
                <c:pt idx="3">
                  <c:v>680000</c:v>
                </c:pt>
                <c:pt idx="4">
                  <c:v>568000</c:v>
                </c:pt>
                <c:pt idx="5">
                  <c:v>437000</c:v>
                </c:pt>
                <c:pt idx="6">
                  <c:v>530000</c:v>
                </c:pt>
                <c:pt idx="7">
                  <c:v>595000</c:v>
                </c:pt>
                <c:pt idx="8">
                  <c:v>480000</c:v>
                </c:pt>
                <c:pt idx="9">
                  <c:v>585000</c:v>
                </c:pt>
                <c:pt idx="10">
                  <c:v>490000</c:v>
                </c:pt>
                <c:pt idx="11">
                  <c:v>450000</c:v>
                </c:pt>
                <c:pt idx="12">
                  <c:v>627000</c:v>
                </c:pt>
                <c:pt idx="13">
                  <c:v>600000</c:v>
                </c:pt>
                <c:pt idx="14">
                  <c:v>610000</c:v>
                </c:pt>
                <c:pt idx="15">
                  <c:v>600000</c:v>
                </c:pt>
                <c:pt idx="16">
                  <c:v>570000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0-6A4D-891F-CCE5DDC9703C}"/>
            </c:ext>
          </c:extLst>
        </c:ser>
        <c:ser>
          <c:idx val="1"/>
          <c:order val="1"/>
          <c:tx>
            <c:strRef>
              <c:f>'per profession and gender'!$C$25:$C$26</c:f>
              <c:strCache>
                <c:ptCount val="2"/>
                <c:pt idx="0">
                  <c:v>kvinne</c:v>
                </c:pt>
                <c:pt idx="1">
                  <c:v>max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'per profession and gender'!$A$27:$A$43</c:f>
              <c:strCache>
                <c:ptCount val="17"/>
                <c:pt idx="0">
                  <c:v>AI / maskinlæring</c:v>
                </c:pt>
                <c:pt idx="1">
                  <c:v>annet</c:v>
                </c:pt>
                <c:pt idx="2">
                  <c:v>app</c:v>
                </c:pt>
                <c:pt idx="3">
                  <c:v>arkitektur</c:v>
                </c:pt>
                <c:pt idx="4">
                  <c:v>automatisering</c:v>
                </c:pt>
                <c:pt idx="5">
                  <c:v>backend</c:v>
                </c:pt>
                <c:pt idx="6">
                  <c:v>data science</c:v>
                </c:pt>
                <c:pt idx="7">
                  <c:v>databaser</c:v>
                </c:pt>
                <c:pt idx="8">
                  <c:v>devops / drift</c:v>
                </c:pt>
                <c:pt idx="9">
                  <c:v>embedded / IOT / maskinvare</c:v>
                </c:pt>
                <c:pt idx="10">
                  <c:v>frontend</c:v>
                </c:pt>
                <c:pt idx="11">
                  <c:v>fullstack</c:v>
                </c:pt>
                <c:pt idx="12">
                  <c:v>ledelse/administrativt</c:v>
                </c:pt>
                <c:pt idx="13">
                  <c:v>programvare</c:v>
                </c:pt>
                <c:pt idx="14">
                  <c:v>sikkerhet</c:v>
                </c:pt>
                <c:pt idx="15">
                  <c:v>testing</c:v>
                </c:pt>
                <c:pt idx="16">
                  <c:v>UX / design</c:v>
                </c:pt>
              </c:strCache>
            </c:strRef>
          </c:cat>
          <c:val>
            <c:numRef>
              <c:f>'per profession and gender'!$C$27:$C$43</c:f>
              <c:numCache>
                <c:formatCode>#,##0</c:formatCode>
                <c:ptCount val="17"/>
                <c:pt idx="0">
                  <c:v>1200000</c:v>
                </c:pt>
                <c:pt idx="1">
                  <c:v>1500000</c:v>
                </c:pt>
                <c:pt idx="2">
                  <c:v>1115000</c:v>
                </c:pt>
                <c:pt idx="3">
                  <c:v>1240000</c:v>
                </c:pt>
                <c:pt idx="4">
                  <c:v>1800000</c:v>
                </c:pt>
                <c:pt idx="5">
                  <c:v>1200000</c:v>
                </c:pt>
                <c:pt idx="6">
                  <c:v>780000</c:v>
                </c:pt>
                <c:pt idx="7">
                  <c:v>1200000</c:v>
                </c:pt>
                <c:pt idx="8">
                  <c:v>900000</c:v>
                </c:pt>
                <c:pt idx="9">
                  <c:v>950000</c:v>
                </c:pt>
                <c:pt idx="10">
                  <c:v>1200000</c:v>
                </c:pt>
                <c:pt idx="11">
                  <c:v>1400000</c:v>
                </c:pt>
                <c:pt idx="12">
                  <c:v>1364000</c:v>
                </c:pt>
                <c:pt idx="13">
                  <c:v>1023000</c:v>
                </c:pt>
                <c:pt idx="14">
                  <c:v>1200000</c:v>
                </c:pt>
                <c:pt idx="15">
                  <c:v>1260000</c:v>
                </c:pt>
                <c:pt idx="16">
                  <c:v>920000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E0-6A4D-891F-CCE5DDC9703C}"/>
            </c:ext>
          </c:extLst>
        </c:ser>
        <c:ser>
          <c:idx val="2"/>
          <c:order val="2"/>
          <c:tx>
            <c:strRef>
              <c:f>'per profession and gender'!$D$25:$D$26</c:f>
              <c:strCache>
                <c:ptCount val="2"/>
                <c:pt idx="0">
                  <c:v>kvinne</c:v>
                </c:pt>
                <c:pt idx="1">
                  <c:v>average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'per profession and gender'!$A$27:$A$43</c:f>
              <c:strCache>
                <c:ptCount val="17"/>
                <c:pt idx="0">
                  <c:v>AI / maskinlæring</c:v>
                </c:pt>
                <c:pt idx="1">
                  <c:v>annet</c:v>
                </c:pt>
                <c:pt idx="2">
                  <c:v>app</c:v>
                </c:pt>
                <c:pt idx="3">
                  <c:v>arkitektur</c:v>
                </c:pt>
                <c:pt idx="4">
                  <c:v>automatisering</c:v>
                </c:pt>
                <c:pt idx="5">
                  <c:v>backend</c:v>
                </c:pt>
                <c:pt idx="6">
                  <c:v>data science</c:v>
                </c:pt>
                <c:pt idx="7">
                  <c:v>databaser</c:v>
                </c:pt>
                <c:pt idx="8">
                  <c:v>devops / drift</c:v>
                </c:pt>
                <c:pt idx="9">
                  <c:v>embedded / IOT / maskinvare</c:v>
                </c:pt>
                <c:pt idx="10">
                  <c:v>frontend</c:v>
                </c:pt>
                <c:pt idx="11">
                  <c:v>fullstack</c:v>
                </c:pt>
                <c:pt idx="12">
                  <c:v>ledelse/administrativt</c:v>
                </c:pt>
                <c:pt idx="13">
                  <c:v>programvare</c:v>
                </c:pt>
                <c:pt idx="14">
                  <c:v>sikkerhet</c:v>
                </c:pt>
                <c:pt idx="15">
                  <c:v>testing</c:v>
                </c:pt>
                <c:pt idx="16">
                  <c:v>UX / design</c:v>
                </c:pt>
              </c:strCache>
            </c:strRef>
          </c:cat>
          <c:val>
            <c:numRef>
              <c:f>'per profession and gender'!$D$27:$D$43</c:f>
              <c:numCache>
                <c:formatCode>#,##0</c:formatCode>
                <c:ptCount val="17"/>
                <c:pt idx="0">
                  <c:v>966000</c:v>
                </c:pt>
                <c:pt idx="1">
                  <c:v>1155000</c:v>
                </c:pt>
                <c:pt idx="2">
                  <c:v>784954.53333333333</c:v>
                </c:pt>
                <c:pt idx="3">
                  <c:v>981000</c:v>
                </c:pt>
                <c:pt idx="4">
                  <c:v>888857.14285714284</c:v>
                </c:pt>
                <c:pt idx="5">
                  <c:v>852112.24489795917</c:v>
                </c:pt>
                <c:pt idx="6">
                  <c:v>660833.33333333337</c:v>
                </c:pt>
                <c:pt idx="7">
                  <c:v>848461.5384615385</c:v>
                </c:pt>
                <c:pt idx="8">
                  <c:v>679166.66666666663</c:v>
                </c:pt>
                <c:pt idx="9">
                  <c:v>767500</c:v>
                </c:pt>
                <c:pt idx="10">
                  <c:v>742819.90909090906</c:v>
                </c:pt>
                <c:pt idx="11">
                  <c:v>793761.62790697673</c:v>
                </c:pt>
                <c:pt idx="12">
                  <c:v>972733.33333333337</c:v>
                </c:pt>
                <c:pt idx="13">
                  <c:v>798545.45454545459</c:v>
                </c:pt>
                <c:pt idx="14">
                  <c:v>781000</c:v>
                </c:pt>
                <c:pt idx="15">
                  <c:v>856769.23076923075</c:v>
                </c:pt>
                <c:pt idx="16">
                  <c:v>711078.125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E0-6A4D-891F-CCE5DDC9703C}"/>
            </c:ext>
          </c:extLst>
        </c:ser>
        <c:ser>
          <c:idx val="3"/>
          <c:order val="3"/>
          <c:tx>
            <c:strRef>
              <c:f>'per profession and gender'!$E$25:$E$26</c:f>
              <c:strCache>
                <c:ptCount val="2"/>
                <c:pt idx="0">
                  <c:v>mann</c:v>
                </c:pt>
                <c:pt idx="1">
                  <c:v>min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'per profession and gender'!$A$27:$A$43</c:f>
              <c:strCache>
                <c:ptCount val="17"/>
                <c:pt idx="0">
                  <c:v>AI / maskinlæring</c:v>
                </c:pt>
                <c:pt idx="1">
                  <c:v>annet</c:v>
                </c:pt>
                <c:pt idx="2">
                  <c:v>app</c:v>
                </c:pt>
                <c:pt idx="3">
                  <c:v>arkitektur</c:v>
                </c:pt>
                <c:pt idx="4">
                  <c:v>automatisering</c:v>
                </c:pt>
                <c:pt idx="5">
                  <c:v>backend</c:v>
                </c:pt>
                <c:pt idx="6">
                  <c:v>data science</c:v>
                </c:pt>
                <c:pt idx="7">
                  <c:v>databaser</c:v>
                </c:pt>
                <c:pt idx="8">
                  <c:v>devops / drift</c:v>
                </c:pt>
                <c:pt idx="9">
                  <c:v>embedded / IOT / maskinvare</c:v>
                </c:pt>
                <c:pt idx="10">
                  <c:v>frontend</c:v>
                </c:pt>
                <c:pt idx="11">
                  <c:v>fullstack</c:v>
                </c:pt>
                <c:pt idx="12">
                  <c:v>ledelse/administrativt</c:v>
                </c:pt>
                <c:pt idx="13">
                  <c:v>programvare</c:v>
                </c:pt>
                <c:pt idx="14">
                  <c:v>sikkerhet</c:v>
                </c:pt>
                <c:pt idx="15">
                  <c:v>testing</c:v>
                </c:pt>
                <c:pt idx="16">
                  <c:v>UX / design</c:v>
                </c:pt>
              </c:strCache>
            </c:strRef>
          </c:cat>
          <c:val>
            <c:numRef>
              <c:f>'per profession and gender'!$E$27:$E$43</c:f>
              <c:numCache>
                <c:formatCode>#,##0</c:formatCode>
                <c:ptCount val="17"/>
                <c:pt idx="0">
                  <c:v>525000</c:v>
                </c:pt>
                <c:pt idx="1">
                  <c:v>310000</c:v>
                </c:pt>
                <c:pt idx="2">
                  <c:v>510000</c:v>
                </c:pt>
                <c:pt idx="3">
                  <c:v>530000</c:v>
                </c:pt>
                <c:pt idx="4">
                  <c:v>350000</c:v>
                </c:pt>
                <c:pt idx="5">
                  <c:v>429000</c:v>
                </c:pt>
                <c:pt idx="6">
                  <c:v>560000</c:v>
                </c:pt>
                <c:pt idx="7">
                  <c:v>568000</c:v>
                </c:pt>
                <c:pt idx="8">
                  <c:v>450000</c:v>
                </c:pt>
                <c:pt idx="9">
                  <c:v>630000</c:v>
                </c:pt>
                <c:pt idx="10">
                  <c:v>370000</c:v>
                </c:pt>
                <c:pt idx="11">
                  <c:v>300000</c:v>
                </c:pt>
                <c:pt idx="12">
                  <c:v>500000</c:v>
                </c:pt>
                <c:pt idx="13">
                  <c:v>550000</c:v>
                </c:pt>
                <c:pt idx="14">
                  <c:v>468000</c:v>
                </c:pt>
                <c:pt idx="15">
                  <c:v>430000</c:v>
                </c:pt>
                <c:pt idx="16">
                  <c:v>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E0-6A4D-891F-CCE5DDC9703C}"/>
            </c:ext>
          </c:extLst>
        </c:ser>
        <c:ser>
          <c:idx val="4"/>
          <c:order val="4"/>
          <c:tx>
            <c:strRef>
              <c:f>'per profession and gender'!$F$25:$F$26</c:f>
              <c:strCache>
                <c:ptCount val="2"/>
                <c:pt idx="0">
                  <c:v>mann</c:v>
                </c:pt>
                <c:pt idx="1">
                  <c:v>max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'per profession and gender'!$A$27:$A$43</c:f>
              <c:strCache>
                <c:ptCount val="17"/>
                <c:pt idx="0">
                  <c:v>AI / maskinlæring</c:v>
                </c:pt>
                <c:pt idx="1">
                  <c:v>annet</c:v>
                </c:pt>
                <c:pt idx="2">
                  <c:v>app</c:v>
                </c:pt>
                <c:pt idx="3">
                  <c:v>arkitektur</c:v>
                </c:pt>
                <c:pt idx="4">
                  <c:v>automatisering</c:v>
                </c:pt>
                <c:pt idx="5">
                  <c:v>backend</c:v>
                </c:pt>
                <c:pt idx="6">
                  <c:v>data science</c:v>
                </c:pt>
                <c:pt idx="7">
                  <c:v>databaser</c:v>
                </c:pt>
                <c:pt idx="8">
                  <c:v>devops / drift</c:v>
                </c:pt>
                <c:pt idx="9">
                  <c:v>embedded / IOT / maskinvare</c:v>
                </c:pt>
                <c:pt idx="10">
                  <c:v>frontend</c:v>
                </c:pt>
                <c:pt idx="11">
                  <c:v>fullstack</c:v>
                </c:pt>
                <c:pt idx="12">
                  <c:v>ledelse/administrativt</c:v>
                </c:pt>
                <c:pt idx="13">
                  <c:v>programvare</c:v>
                </c:pt>
                <c:pt idx="14">
                  <c:v>sikkerhet</c:v>
                </c:pt>
                <c:pt idx="15">
                  <c:v>testing</c:v>
                </c:pt>
                <c:pt idx="16">
                  <c:v>UX / design</c:v>
                </c:pt>
              </c:strCache>
            </c:strRef>
          </c:cat>
          <c:val>
            <c:numRef>
              <c:f>'per profession and gender'!$F$27:$F$43</c:f>
              <c:numCache>
                <c:formatCode>#,##0</c:formatCode>
                <c:ptCount val="17"/>
                <c:pt idx="0">
                  <c:v>1950000</c:v>
                </c:pt>
                <c:pt idx="1">
                  <c:v>2400000</c:v>
                </c:pt>
                <c:pt idx="2">
                  <c:v>1750000</c:v>
                </c:pt>
                <c:pt idx="3">
                  <c:v>2500000</c:v>
                </c:pt>
                <c:pt idx="4">
                  <c:v>1800000</c:v>
                </c:pt>
                <c:pt idx="5">
                  <c:v>2500000</c:v>
                </c:pt>
                <c:pt idx="6">
                  <c:v>1550000</c:v>
                </c:pt>
                <c:pt idx="7">
                  <c:v>1300000</c:v>
                </c:pt>
                <c:pt idx="8">
                  <c:v>2200000</c:v>
                </c:pt>
                <c:pt idx="9">
                  <c:v>2600000</c:v>
                </c:pt>
                <c:pt idx="10">
                  <c:v>2200000</c:v>
                </c:pt>
                <c:pt idx="11">
                  <c:v>2700000</c:v>
                </c:pt>
                <c:pt idx="12">
                  <c:v>2500000</c:v>
                </c:pt>
                <c:pt idx="13">
                  <c:v>2500000</c:v>
                </c:pt>
                <c:pt idx="14">
                  <c:v>2200000</c:v>
                </c:pt>
                <c:pt idx="15">
                  <c:v>2000000</c:v>
                </c:pt>
                <c:pt idx="16">
                  <c:v>1550000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E0-6A4D-891F-CCE5DDC9703C}"/>
            </c:ext>
          </c:extLst>
        </c:ser>
        <c:ser>
          <c:idx val="5"/>
          <c:order val="5"/>
          <c:tx>
            <c:strRef>
              <c:f>'per profession and gender'!$G$25:$G$26</c:f>
              <c:strCache>
                <c:ptCount val="2"/>
                <c:pt idx="0">
                  <c:v>mann</c:v>
                </c:pt>
                <c:pt idx="1">
                  <c:v>average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'per profession and gender'!$A$27:$A$43</c:f>
              <c:strCache>
                <c:ptCount val="17"/>
                <c:pt idx="0">
                  <c:v>AI / maskinlæring</c:v>
                </c:pt>
                <c:pt idx="1">
                  <c:v>annet</c:v>
                </c:pt>
                <c:pt idx="2">
                  <c:v>app</c:v>
                </c:pt>
                <c:pt idx="3">
                  <c:v>arkitektur</c:v>
                </c:pt>
                <c:pt idx="4">
                  <c:v>automatisering</c:v>
                </c:pt>
                <c:pt idx="5">
                  <c:v>backend</c:v>
                </c:pt>
                <c:pt idx="6">
                  <c:v>data science</c:v>
                </c:pt>
                <c:pt idx="7">
                  <c:v>databaser</c:v>
                </c:pt>
                <c:pt idx="8">
                  <c:v>devops / drift</c:v>
                </c:pt>
                <c:pt idx="9">
                  <c:v>embedded / IOT / maskinvare</c:v>
                </c:pt>
                <c:pt idx="10">
                  <c:v>frontend</c:v>
                </c:pt>
                <c:pt idx="11">
                  <c:v>fullstack</c:v>
                </c:pt>
                <c:pt idx="12">
                  <c:v>ledelse/administrativt</c:v>
                </c:pt>
                <c:pt idx="13">
                  <c:v>programvare</c:v>
                </c:pt>
                <c:pt idx="14">
                  <c:v>sikkerhet</c:v>
                </c:pt>
                <c:pt idx="15">
                  <c:v>testing</c:v>
                </c:pt>
                <c:pt idx="16">
                  <c:v>UX / design</c:v>
                </c:pt>
              </c:strCache>
            </c:strRef>
          </c:cat>
          <c:val>
            <c:numRef>
              <c:f>'per profession and gender'!$G$27:$G$43</c:f>
              <c:numCache>
                <c:formatCode>#,##0</c:formatCode>
                <c:ptCount val="17"/>
                <c:pt idx="0">
                  <c:v>897807.69230769225</c:v>
                </c:pt>
                <c:pt idx="1">
                  <c:v>927019.60784313723</c:v>
                </c:pt>
                <c:pt idx="2">
                  <c:v>866219.64285714284</c:v>
                </c:pt>
                <c:pt idx="3">
                  <c:v>1150921.8217821782</c:v>
                </c:pt>
                <c:pt idx="4">
                  <c:v>923240</c:v>
                </c:pt>
                <c:pt idx="5">
                  <c:v>910526.1216494845</c:v>
                </c:pt>
                <c:pt idx="6">
                  <c:v>871550</c:v>
                </c:pt>
                <c:pt idx="7">
                  <c:v>796652.17391304346</c:v>
                </c:pt>
                <c:pt idx="8">
                  <c:v>923159.9765625</c:v>
                </c:pt>
                <c:pt idx="9">
                  <c:v>988273.25</c:v>
                </c:pt>
                <c:pt idx="10">
                  <c:v>825733.3203125</c:v>
                </c:pt>
                <c:pt idx="11">
                  <c:v>883327.12951432134</c:v>
                </c:pt>
                <c:pt idx="12">
                  <c:v>1100830.3504273505</c:v>
                </c:pt>
                <c:pt idx="13">
                  <c:v>945301.05084745761</c:v>
                </c:pt>
                <c:pt idx="14">
                  <c:v>950688.33333333337</c:v>
                </c:pt>
                <c:pt idx="15">
                  <c:v>950062.5</c:v>
                </c:pt>
                <c:pt idx="16">
                  <c:v>945666.66666666663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E0-6A4D-891F-CCE5DDC97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7574640"/>
        <c:axId val="528832079"/>
      </c:barChart>
      <c:catAx>
        <c:axId val="307574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528832079"/>
        <c:crosses val="autoZero"/>
        <c:auto val="1"/>
        <c:lblAlgn val="ctr"/>
        <c:lblOffset val="100"/>
        <c:noMultiLvlLbl val="0"/>
      </c:catAx>
      <c:valAx>
        <c:axId val="52883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30757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Min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 profession and gender'!$B$25:$B$26</c:f>
              <c:strCache>
                <c:ptCount val="2"/>
                <c:pt idx="0">
                  <c:v>kvinne</c:v>
                </c:pt>
                <c:pt idx="1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 profession and gender'!$A$27:$A$43</c:f>
              <c:strCache>
                <c:ptCount val="17"/>
                <c:pt idx="0">
                  <c:v>AI / maskinlæring</c:v>
                </c:pt>
                <c:pt idx="1">
                  <c:v>annet</c:v>
                </c:pt>
                <c:pt idx="2">
                  <c:v>app</c:v>
                </c:pt>
                <c:pt idx="3">
                  <c:v>arkitektur</c:v>
                </c:pt>
                <c:pt idx="4">
                  <c:v>automatisering</c:v>
                </c:pt>
                <c:pt idx="5">
                  <c:v>backend</c:v>
                </c:pt>
                <c:pt idx="6">
                  <c:v>data science</c:v>
                </c:pt>
                <c:pt idx="7">
                  <c:v>databaser</c:v>
                </c:pt>
                <c:pt idx="8">
                  <c:v>devops / drift</c:v>
                </c:pt>
                <c:pt idx="9">
                  <c:v>embedded / IOT / maskinvare</c:v>
                </c:pt>
                <c:pt idx="10">
                  <c:v>frontend</c:v>
                </c:pt>
                <c:pt idx="11">
                  <c:v>fullstack</c:v>
                </c:pt>
                <c:pt idx="12">
                  <c:v>ledelse/administrativt</c:v>
                </c:pt>
                <c:pt idx="13">
                  <c:v>programvare</c:v>
                </c:pt>
                <c:pt idx="14">
                  <c:v>sikkerhet</c:v>
                </c:pt>
                <c:pt idx="15">
                  <c:v>testing</c:v>
                </c:pt>
                <c:pt idx="16">
                  <c:v>UX / design</c:v>
                </c:pt>
              </c:strCache>
            </c:strRef>
          </c:cat>
          <c:val>
            <c:numRef>
              <c:f>'per profession and gender'!$B$27:$B$43</c:f>
              <c:numCache>
                <c:formatCode>#,##0</c:formatCode>
                <c:ptCount val="17"/>
                <c:pt idx="0">
                  <c:v>732000</c:v>
                </c:pt>
                <c:pt idx="1">
                  <c:v>850000</c:v>
                </c:pt>
                <c:pt idx="2">
                  <c:v>590000</c:v>
                </c:pt>
                <c:pt idx="3">
                  <c:v>680000</c:v>
                </c:pt>
                <c:pt idx="4">
                  <c:v>568000</c:v>
                </c:pt>
                <c:pt idx="5">
                  <c:v>437000</c:v>
                </c:pt>
                <c:pt idx="6">
                  <c:v>530000</c:v>
                </c:pt>
                <c:pt idx="7">
                  <c:v>595000</c:v>
                </c:pt>
                <c:pt idx="8">
                  <c:v>480000</c:v>
                </c:pt>
                <c:pt idx="9">
                  <c:v>585000</c:v>
                </c:pt>
                <c:pt idx="10">
                  <c:v>490000</c:v>
                </c:pt>
                <c:pt idx="11">
                  <c:v>450000</c:v>
                </c:pt>
                <c:pt idx="12">
                  <c:v>627000</c:v>
                </c:pt>
                <c:pt idx="13">
                  <c:v>600000</c:v>
                </c:pt>
                <c:pt idx="14">
                  <c:v>610000</c:v>
                </c:pt>
                <c:pt idx="15">
                  <c:v>600000</c:v>
                </c:pt>
                <c:pt idx="16">
                  <c:v>570000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5-4D40-8F9B-FF69EF617484}"/>
            </c:ext>
          </c:extLst>
        </c:ser>
        <c:ser>
          <c:idx val="1"/>
          <c:order val="1"/>
          <c:tx>
            <c:strRef>
              <c:f>'per profession and gender'!$E$25:$E$26</c:f>
              <c:strCache>
                <c:ptCount val="2"/>
                <c:pt idx="0">
                  <c:v>mann</c:v>
                </c:pt>
                <c:pt idx="1">
                  <c:v>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'per profession and gender'!$A$27:$A$43</c:f>
              <c:strCache>
                <c:ptCount val="17"/>
                <c:pt idx="0">
                  <c:v>AI / maskinlæring</c:v>
                </c:pt>
                <c:pt idx="1">
                  <c:v>annet</c:v>
                </c:pt>
                <c:pt idx="2">
                  <c:v>app</c:v>
                </c:pt>
                <c:pt idx="3">
                  <c:v>arkitektur</c:v>
                </c:pt>
                <c:pt idx="4">
                  <c:v>automatisering</c:v>
                </c:pt>
                <c:pt idx="5">
                  <c:v>backend</c:v>
                </c:pt>
                <c:pt idx="6">
                  <c:v>data science</c:v>
                </c:pt>
                <c:pt idx="7">
                  <c:v>databaser</c:v>
                </c:pt>
                <c:pt idx="8">
                  <c:v>devops / drift</c:v>
                </c:pt>
                <c:pt idx="9">
                  <c:v>embedded / IOT / maskinvare</c:v>
                </c:pt>
                <c:pt idx="10">
                  <c:v>frontend</c:v>
                </c:pt>
                <c:pt idx="11">
                  <c:v>fullstack</c:v>
                </c:pt>
                <c:pt idx="12">
                  <c:v>ledelse/administrativt</c:v>
                </c:pt>
                <c:pt idx="13">
                  <c:v>programvare</c:v>
                </c:pt>
                <c:pt idx="14">
                  <c:v>sikkerhet</c:v>
                </c:pt>
                <c:pt idx="15">
                  <c:v>testing</c:v>
                </c:pt>
                <c:pt idx="16">
                  <c:v>UX / design</c:v>
                </c:pt>
              </c:strCache>
            </c:strRef>
          </c:cat>
          <c:val>
            <c:numRef>
              <c:f>'per profession and gender'!$E$27:$E$43</c:f>
              <c:numCache>
                <c:formatCode>#,##0</c:formatCode>
                <c:ptCount val="17"/>
                <c:pt idx="0">
                  <c:v>525000</c:v>
                </c:pt>
                <c:pt idx="1">
                  <c:v>310000</c:v>
                </c:pt>
                <c:pt idx="2">
                  <c:v>510000</c:v>
                </c:pt>
                <c:pt idx="3">
                  <c:v>530000</c:v>
                </c:pt>
                <c:pt idx="4">
                  <c:v>350000</c:v>
                </c:pt>
                <c:pt idx="5">
                  <c:v>429000</c:v>
                </c:pt>
                <c:pt idx="6">
                  <c:v>560000</c:v>
                </c:pt>
                <c:pt idx="7">
                  <c:v>568000</c:v>
                </c:pt>
                <c:pt idx="8">
                  <c:v>450000</c:v>
                </c:pt>
                <c:pt idx="9">
                  <c:v>630000</c:v>
                </c:pt>
                <c:pt idx="10">
                  <c:v>370000</c:v>
                </c:pt>
                <c:pt idx="11">
                  <c:v>300000</c:v>
                </c:pt>
                <c:pt idx="12">
                  <c:v>500000</c:v>
                </c:pt>
                <c:pt idx="13">
                  <c:v>550000</c:v>
                </c:pt>
                <c:pt idx="14">
                  <c:v>468000</c:v>
                </c:pt>
                <c:pt idx="15">
                  <c:v>430000</c:v>
                </c:pt>
                <c:pt idx="16">
                  <c:v>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25-4D40-8F9B-FF69EF617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5642351"/>
        <c:axId val="884958991"/>
      </c:barChart>
      <c:catAx>
        <c:axId val="82564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884958991"/>
        <c:crosses val="autoZero"/>
        <c:auto val="1"/>
        <c:lblAlgn val="ctr"/>
        <c:lblOffset val="100"/>
        <c:noMultiLvlLbl val="0"/>
      </c:catAx>
      <c:valAx>
        <c:axId val="88495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82564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 profession and gender'!$D$25:$D$26</c:f>
              <c:strCache>
                <c:ptCount val="2"/>
                <c:pt idx="0">
                  <c:v>kvinne</c:v>
                </c:pt>
                <c:pt idx="1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 profession and gender'!$A$27:$A$43</c:f>
              <c:strCache>
                <c:ptCount val="17"/>
                <c:pt idx="0">
                  <c:v>AI / maskinlæring</c:v>
                </c:pt>
                <c:pt idx="1">
                  <c:v>annet</c:v>
                </c:pt>
                <c:pt idx="2">
                  <c:v>app</c:v>
                </c:pt>
                <c:pt idx="3">
                  <c:v>arkitektur</c:v>
                </c:pt>
                <c:pt idx="4">
                  <c:v>automatisering</c:v>
                </c:pt>
                <c:pt idx="5">
                  <c:v>backend</c:v>
                </c:pt>
                <c:pt idx="6">
                  <c:v>data science</c:v>
                </c:pt>
                <c:pt idx="7">
                  <c:v>databaser</c:v>
                </c:pt>
                <c:pt idx="8">
                  <c:v>devops / drift</c:v>
                </c:pt>
                <c:pt idx="9">
                  <c:v>embedded / IOT / maskinvare</c:v>
                </c:pt>
                <c:pt idx="10">
                  <c:v>frontend</c:v>
                </c:pt>
                <c:pt idx="11">
                  <c:v>fullstack</c:v>
                </c:pt>
                <c:pt idx="12">
                  <c:v>ledelse/administrativt</c:v>
                </c:pt>
                <c:pt idx="13">
                  <c:v>programvare</c:v>
                </c:pt>
                <c:pt idx="14">
                  <c:v>sikkerhet</c:v>
                </c:pt>
                <c:pt idx="15">
                  <c:v>testing</c:v>
                </c:pt>
                <c:pt idx="16">
                  <c:v>UX / design</c:v>
                </c:pt>
              </c:strCache>
            </c:strRef>
          </c:cat>
          <c:val>
            <c:numRef>
              <c:f>'per profession and gender'!$D$27:$D$43</c:f>
              <c:numCache>
                <c:formatCode>#,##0</c:formatCode>
                <c:ptCount val="17"/>
                <c:pt idx="0">
                  <c:v>966000</c:v>
                </c:pt>
                <c:pt idx="1">
                  <c:v>1155000</c:v>
                </c:pt>
                <c:pt idx="2">
                  <c:v>784954.53333333333</c:v>
                </c:pt>
                <c:pt idx="3">
                  <c:v>981000</c:v>
                </c:pt>
                <c:pt idx="4">
                  <c:v>888857.14285714284</c:v>
                </c:pt>
                <c:pt idx="5">
                  <c:v>852112.24489795917</c:v>
                </c:pt>
                <c:pt idx="6">
                  <c:v>660833.33333333337</c:v>
                </c:pt>
                <c:pt idx="7">
                  <c:v>848461.5384615385</c:v>
                </c:pt>
                <c:pt idx="8">
                  <c:v>679166.66666666663</c:v>
                </c:pt>
                <c:pt idx="9">
                  <c:v>767500</c:v>
                </c:pt>
                <c:pt idx="10">
                  <c:v>742819.90909090906</c:v>
                </c:pt>
                <c:pt idx="11">
                  <c:v>793761.62790697673</c:v>
                </c:pt>
                <c:pt idx="12">
                  <c:v>972733.33333333337</c:v>
                </c:pt>
                <c:pt idx="13">
                  <c:v>798545.45454545459</c:v>
                </c:pt>
                <c:pt idx="14">
                  <c:v>781000</c:v>
                </c:pt>
                <c:pt idx="15">
                  <c:v>856769.23076923075</c:v>
                </c:pt>
                <c:pt idx="16">
                  <c:v>711078.125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3-DF4A-9CBE-EE68021D9989}"/>
            </c:ext>
          </c:extLst>
        </c:ser>
        <c:ser>
          <c:idx val="1"/>
          <c:order val="1"/>
          <c:tx>
            <c:strRef>
              <c:f>'per profession and gender'!$G$25:$G$26</c:f>
              <c:strCache>
                <c:ptCount val="2"/>
                <c:pt idx="0">
                  <c:v>mann</c:v>
                </c:pt>
                <c:pt idx="1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'per profession and gender'!$A$27:$A$43</c:f>
              <c:strCache>
                <c:ptCount val="17"/>
                <c:pt idx="0">
                  <c:v>AI / maskinlæring</c:v>
                </c:pt>
                <c:pt idx="1">
                  <c:v>annet</c:v>
                </c:pt>
                <c:pt idx="2">
                  <c:v>app</c:v>
                </c:pt>
                <c:pt idx="3">
                  <c:v>arkitektur</c:v>
                </c:pt>
                <c:pt idx="4">
                  <c:v>automatisering</c:v>
                </c:pt>
                <c:pt idx="5">
                  <c:v>backend</c:v>
                </c:pt>
                <c:pt idx="6">
                  <c:v>data science</c:v>
                </c:pt>
                <c:pt idx="7">
                  <c:v>databaser</c:v>
                </c:pt>
                <c:pt idx="8">
                  <c:v>devops / drift</c:v>
                </c:pt>
                <c:pt idx="9">
                  <c:v>embedded / IOT / maskinvare</c:v>
                </c:pt>
                <c:pt idx="10">
                  <c:v>frontend</c:v>
                </c:pt>
                <c:pt idx="11">
                  <c:v>fullstack</c:v>
                </c:pt>
                <c:pt idx="12">
                  <c:v>ledelse/administrativt</c:v>
                </c:pt>
                <c:pt idx="13">
                  <c:v>programvare</c:v>
                </c:pt>
                <c:pt idx="14">
                  <c:v>sikkerhet</c:v>
                </c:pt>
                <c:pt idx="15">
                  <c:v>testing</c:v>
                </c:pt>
                <c:pt idx="16">
                  <c:v>UX / design</c:v>
                </c:pt>
              </c:strCache>
            </c:strRef>
          </c:cat>
          <c:val>
            <c:numRef>
              <c:f>'per profession and gender'!$G$27:$G$43</c:f>
              <c:numCache>
                <c:formatCode>#,##0</c:formatCode>
                <c:ptCount val="17"/>
                <c:pt idx="0">
                  <c:v>897807.69230769225</c:v>
                </c:pt>
                <c:pt idx="1">
                  <c:v>927019.60784313723</c:v>
                </c:pt>
                <c:pt idx="2">
                  <c:v>866219.64285714284</c:v>
                </c:pt>
                <c:pt idx="3">
                  <c:v>1150921.8217821782</c:v>
                </c:pt>
                <c:pt idx="4">
                  <c:v>923240</c:v>
                </c:pt>
                <c:pt idx="5">
                  <c:v>910526.1216494845</c:v>
                </c:pt>
                <c:pt idx="6">
                  <c:v>871550</c:v>
                </c:pt>
                <c:pt idx="7">
                  <c:v>796652.17391304346</c:v>
                </c:pt>
                <c:pt idx="8">
                  <c:v>923159.9765625</c:v>
                </c:pt>
                <c:pt idx="9">
                  <c:v>988273.25</c:v>
                </c:pt>
                <c:pt idx="10">
                  <c:v>825733.3203125</c:v>
                </c:pt>
                <c:pt idx="11">
                  <c:v>883327.12951432134</c:v>
                </c:pt>
                <c:pt idx="12">
                  <c:v>1100830.3504273505</c:v>
                </c:pt>
                <c:pt idx="13">
                  <c:v>945301.05084745761</c:v>
                </c:pt>
                <c:pt idx="14">
                  <c:v>950688.33333333337</c:v>
                </c:pt>
                <c:pt idx="15">
                  <c:v>950062.5</c:v>
                </c:pt>
                <c:pt idx="16">
                  <c:v>945666.66666666663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A3-DF4A-9CBE-EE68021D9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0430544"/>
        <c:axId val="726317311"/>
      </c:barChart>
      <c:catAx>
        <c:axId val="30043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726317311"/>
        <c:crosses val="autoZero"/>
        <c:auto val="1"/>
        <c:lblAlgn val="ctr"/>
        <c:lblOffset val="100"/>
        <c:noMultiLvlLbl val="0"/>
      </c:catAx>
      <c:valAx>
        <c:axId val="72631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30043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204322589193987"/>
          <c:y val="0.14071318436721139"/>
          <c:w val="0.64491719855806617"/>
          <c:h val="0.74162900570706347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title!$E$2:$E$18</c:f>
              <c:strCache>
                <c:ptCount val="17"/>
                <c:pt idx="0">
                  <c:v>sikkerhet</c:v>
                </c:pt>
                <c:pt idx="1">
                  <c:v>arkitektur</c:v>
                </c:pt>
                <c:pt idx="2">
                  <c:v>testing</c:v>
                </c:pt>
                <c:pt idx="3">
                  <c:v>ledelse/administrativt</c:v>
                </c:pt>
                <c:pt idx="4">
                  <c:v>fullstack</c:v>
                </c:pt>
                <c:pt idx="5">
                  <c:v>backend</c:v>
                </c:pt>
                <c:pt idx="6">
                  <c:v>data science</c:v>
                </c:pt>
                <c:pt idx="7">
                  <c:v>automatisering</c:v>
                </c:pt>
                <c:pt idx="8">
                  <c:v>devops / drift</c:v>
                </c:pt>
                <c:pt idx="9">
                  <c:v>embedded / IOT / maskinvare</c:v>
                </c:pt>
                <c:pt idx="10">
                  <c:v>app</c:v>
                </c:pt>
                <c:pt idx="11">
                  <c:v>programvare</c:v>
                </c:pt>
                <c:pt idx="12">
                  <c:v>AI / maskinlæring</c:v>
                </c:pt>
                <c:pt idx="13">
                  <c:v>annet</c:v>
                </c:pt>
                <c:pt idx="14">
                  <c:v>frontend</c:v>
                </c:pt>
                <c:pt idx="15">
                  <c:v>databaser</c:v>
                </c:pt>
                <c:pt idx="16">
                  <c:v>UX / design</c:v>
                </c:pt>
              </c:strCache>
            </c:strRef>
          </c:cat>
          <c:val>
            <c:numRef>
              <c:f>title!$H$2:$H$18</c:f>
              <c:numCache>
                <c:formatCode>General</c:formatCode>
                <c:ptCount val="17"/>
                <c:pt idx="0">
                  <c:v>1350000</c:v>
                </c:pt>
                <c:pt idx="1">
                  <c:v>1300000</c:v>
                </c:pt>
                <c:pt idx="2">
                  <c:v>1100000</c:v>
                </c:pt>
                <c:pt idx="3">
                  <c:v>1085371</c:v>
                </c:pt>
                <c:pt idx="4">
                  <c:v>#N/A</c:v>
                </c:pt>
                <c:pt idx="5">
                  <c:v>1052000</c:v>
                </c:pt>
                <c:pt idx="6">
                  <c:v>1045000</c:v>
                </c:pt>
                <c:pt idx="7">
                  <c:v>1037000</c:v>
                </c:pt>
                <c:pt idx="8">
                  <c:v>1000000</c:v>
                </c:pt>
                <c:pt idx="9">
                  <c:v>987500</c:v>
                </c:pt>
                <c:pt idx="10">
                  <c:v>985000</c:v>
                </c:pt>
                <c:pt idx="11">
                  <c:v>980000</c:v>
                </c:pt>
                <c:pt idx="12">
                  <c:v>980000</c:v>
                </c:pt>
                <c:pt idx="13">
                  <c:v>960000</c:v>
                </c:pt>
                <c:pt idx="14">
                  <c:v>950000</c:v>
                </c:pt>
                <c:pt idx="15">
                  <c:v>922500</c:v>
                </c:pt>
                <c:pt idx="16">
                  <c:v>880000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E-274A-8EA5-65D9303EE3B5}"/>
            </c:ext>
          </c:extLst>
        </c:ser>
        <c:ser>
          <c:idx val="1"/>
          <c:order val="1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title!$E$2:$E$18</c:f>
              <c:strCache>
                <c:ptCount val="17"/>
                <c:pt idx="0">
                  <c:v>sikkerhet</c:v>
                </c:pt>
                <c:pt idx="1">
                  <c:v>arkitektur</c:v>
                </c:pt>
                <c:pt idx="2">
                  <c:v>testing</c:v>
                </c:pt>
                <c:pt idx="3">
                  <c:v>ledelse/administrativt</c:v>
                </c:pt>
                <c:pt idx="4">
                  <c:v>fullstack</c:v>
                </c:pt>
                <c:pt idx="5">
                  <c:v>backend</c:v>
                </c:pt>
                <c:pt idx="6">
                  <c:v>data science</c:v>
                </c:pt>
                <c:pt idx="7">
                  <c:v>automatisering</c:v>
                </c:pt>
                <c:pt idx="8">
                  <c:v>devops / drift</c:v>
                </c:pt>
                <c:pt idx="9">
                  <c:v>embedded / IOT / maskinvare</c:v>
                </c:pt>
                <c:pt idx="10">
                  <c:v>app</c:v>
                </c:pt>
                <c:pt idx="11">
                  <c:v>programvare</c:v>
                </c:pt>
                <c:pt idx="12">
                  <c:v>AI / maskinlæring</c:v>
                </c:pt>
                <c:pt idx="13">
                  <c:v>annet</c:v>
                </c:pt>
                <c:pt idx="14">
                  <c:v>frontend</c:v>
                </c:pt>
                <c:pt idx="15">
                  <c:v>databaser</c:v>
                </c:pt>
                <c:pt idx="16">
                  <c:v>UX / design</c:v>
                </c:pt>
              </c:strCache>
            </c:strRef>
          </c:cat>
          <c:val>
            <c:numRef>
              <c:f>title!$I$2:$I$18</c:f>
              <c:numCache>
                <c:formatCode>General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1075000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4E-274A-8EA5-65D9303EE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6436016"/>
        <c:axId val="1656437728"/>
      </c:barChart>
      <c:catAx>
        <c:axId val="1656436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656437728"/>
        <c:crosses val="autoZero"/>
        <c:auto val="1"/>
        <c:lblAlgn val="ctr"/>
        <c:lblOffset val="100"/>
        <c:noMultiLvlLbl val="0"/>
      </c:catAx>
      <c:valAx>
        <c:axId val="165643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656436016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0.8025324861903157"/>
                <c:y val="0.94255932128008213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Thousands, NOK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experience!$A$2:$A$5</c:f>
              <c:strCache>
                <c:ptCount val="4"/>
                <c:pt idx="0">
                  <c:v>15 +</c:v>
                </c:pt>
                <c:pt idx="1">
                  <c:v>9 - 14</c:v>
                </c:pt>
                <c:pt idx="2">
                  <c:v>5  - 8</c:v>
                </c:pt>
                <c:pt idx="3">
                  <c:v>0 - 4</c:v>
                </c:pt>
              </c:strCache>
            </c:strRef>
          </c:cat>
          <c:val>
            <c:numRef>
              <c:f>experience!$C$2:$C$5</c:f>
              <c:numCache>
                <c:formatCode>General</c:formatCode>
                <c:ptCount val="4"/>
                <c:pt idx="0">
                  <c:v>1045000</c:v>
                </c:pt>
                <c:pt idx="1">
                  <c:v>#N/A</c:v>
                </c:pt>
                <c:pt idx="2">
                  <c:v>930000</c:v>
                </c:pt>
                <c:pt idx="3">
                  <c:v>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E-3048-96EE-C165AF0F81DA}"/>
            </c:ext>
          </c:extLst>
        </c:ser>
        <c:ser>
          <c:idx val="1"/>
          <c:order val="1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experience!$A$2:$A$5</c:f>
              <c:strCache>
                <c:ptCount val="4"/>
                <c:pt idx="0">
                  <c:v>15 +</c:v>
                </c:pt>
                <c:pt idx="1">
                  <c:v>9 - 14</c:v>
                </c:pt>
                <c:pt idx="2">
                  <c:v>5  - 8</c:v>
                </c:pt>
                <c:pt idx="3">
                  <c:v>0 - 4</c:v>
                </c:pt>
              </c:strCache>
            </c:strRef>
          </c:cat>
          <c:val>
            <c:numRef>
              <c:f>experience!$D$2:$D$5</c:f>
              <c:numCache>
                <c:formatCode>General</c:formatCode>
                <c:ptCount val="4"/>
                <c:pt idx="0">
                  <c:v>#N/A</c:v>
                </c:pt>
                <c:pt idx="1">
                  <c:v>1075000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0E-3048-96EE-C165AF0F8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5257936"/>
        <c:axId val="585240192"/>
      </c:barChart>
      <c:catAx>
        <c:axId val="585257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585240192"/>
        <c:crosses val="autoZero"/>
        <c:auto val="1"/>
        <c:lblAlgn val="ctr"/>
        <c:lblOffset val="100"/>
        <c:noMultiLvlLbl val="0"/>
      </c:catAx>
      <c:valAx>
        <c:axId val="58524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585257936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0.74637510936132978"/>
                <c:y val="0.88333333333333353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Thousands, NOK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title!$E$2:$E$18</c:f>
              <c:strCache>
                <c:ptCount val="17"/>
                <c:pt idx="0">
                  <c:v>sikkerhet</c:v>
                </c:pt>
                <c:pt idx="1">
                  <c:v>arkitektur</c:v>
                </c:pt>
                <c:pt idx="2">
                  <c:v>testing</c:v>
                </c:pt>
                <c:pt idx="3">
                  <c:v>ledelse/administrativt</c:v>
                </c:pt>
                <c:pt idx="4">
                  <c:v>fullstack</c:v>
                </c:pt>
                <c:pt idx="5">
                  <c:v>backend</c:v>
                </c:pt>
                <c:pt idx="6">
                  <c:v>data science</c:v>
                </c:pt>
                <c:pt idx="7">
                  <c:v>automatisering</c:v>
                </c:pt>
                <c:pt idx="8">
                  <c:v>devops / drift</c:v>
                </c:pt>
                <c:pt idx="9">
                  <c:v>embedded / IOT / maskinvare</c:v>
                </c:pt>
                <c:pt idx="10">
                  <c:v>app</c:v>
                </c:pt>
                <c:pt idx="11">
                  <c:v>programvare</c:v>
                </c:pt>
                <c:pt idx="12">
                  <c:v>AI / maskinlæring</c:v>
                </c:pt>
                <c:pt idx="13">
                  <c:v>annet</c:v>
                </c:pt>
                <c:pt idx="14">
                  <c:v>frontend</c:v>
                </c:pt>
                <c:pt idx="15">
                  <c:v>databaser</c:v>
                </c:pt>
                <c:pt idx="16">
                  <c:v>UX / design</c:v>
                </c:pt>
              </c:strCache>
            </c:strRef>
          </c:cat>
          <c:val>
            <c:numRef>
              <c:f>title!$H$2:$H$18</c:f>
              <c:numCache>
                <c:formatCode>General</c:formatCode>
                <c:ptCount val="17"/>
                <c:pt idx="0">
                  <c:v>1350000</c:v>
                </c:pt>
                <c:pt idx="1">
                  <c:v>1300000</c:v>
                </c:pt>
                <c:pt idx="2">
                  <c:v>1100000</c:v>
                </c:pt>
                <c:pt idx="3">
                  <c:v>1085371</c:v>
                </c:pt>
                <c:pt idx="4">
                  <c:v>#N/A</c:v>
                </c:pt>
                <c:pt idx="5">
                  <c:v>1052000</c:v>
                </c:pt>
                <c:pt idx="6">
                  <c:v>1045000</c:v>
                </c:pt>
                <c:pt idx="7">
                  <c:v>1037000</c:v>
                </c:pt>
                <c:pt idx="8">
                  <c:v>1000000</c:v>
                </c:pt>
                <c:pt idx="9">
                  <c:v>987500</c:v>
                </c:pt>
                <c:pt idx="10">
                  <c:v>985000</c:v>
                </c:pt>
                <c:pt idx="11">
                  <c:v>980000</c:v>
                </c:pt>
                <c:pt idx="12">
                  <c:v>980000</c:v>
                </c:pt>
                <c:pt idx="13">
                  <c:v>960000</c:v>
                </c:pt>
                <c:pt idx="14">
                  <c:v>950000</c:v>
                </c:pt>
                <c:pt idx="15">
                  <c:v>922500</c:v>
                </c:pt>
                <c:pt idx="16">
                  <c:v>880000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F-DB44-BC21-4D6628FC34BD}"/>
            </c:ext>
          </c:extLst>
        </c:ser>
        <c:ser>
          <c:idx val="1"/>
          <c:order val="1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title!$E$2:$E$18</c:f>
              <c:strCache>
                <c:ptCount val="17"/>
                <c:pt idx="0">
                  <c:v>sikkerhet</c:v>
                </c:pt>
                <c:pt idx="1">
                  <c:v>arkitektur</c:v>
                </c:pt>
                <c:pt idx="2">
                  <c:v>testing</c:v>
                </c:pt>
                <c:pt idx="3">
                  <c:v>ledelse/administrativt</c:v>
                </c:pt>
                <c:pt idx="4">
                  <c:v>fullstack</c:v>
                </c:pt>
                <c:pt idx="5">
                  <c:v>backend</c:v>
                </c:pt>
                <c:pt idx="6">
                  <c:v>data science</c:v>
                </c:pt>
                <c:pt idx="7">
                  <c:v>automatisering</c:v>
                </c:pt>
                <c:pt idx="8">
                  <c:v>devops / drift</c:v>
                </c:pt>
                <c:pt idx="9">
                  <c:v>embedded / IOT / maskinvare</c:v>
                </c:pt>
                <c:pt idx="10">
                  <c:v>app</c:v>
                </c:pt>
                <c:pt idx="11">
                  <c:v>programvare</c:v>
                </c:pt>
                <c:pt idx="12">
                  <c:v>AI / maskinlæring</c:v>
                </c:pt>
                <c:pt idx="13">
                  <c:v>annet</c:v>
                </c:pt>
                <c:pt idx="14">
                  <c:v>frontend</c:v>
                </c:pt>
                <c:pt idx="15">
                  <c:v>databaser</c:v>
                </c:pt>
                <c:pt idx="16">
                  <c:v>UX / design</c:v>
                </c:pt>
              </c:strCache>
            </c:strRef>
          </c:cat>
          <c:val>
            <c:numRef>
              <c:f>title!$I$2:$I$18</c:f>
              <c:numCache>
                <c:formatCode>General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1075000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FF-DB44-BC21-4D6628FC3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6436016"/>
        <c:axId val="1656437728"/>
      </c:barChart>
      <c:catAx>
        <c:axId val="1656436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656437728"/>
        <c:crosses val="autoZero"/>
        <c:auto val="1"/>
        <c:lblAlgn val="ctr"/>
        <c:lblOffset val="100"/>
        <c:noMultiLvlLbl val="0"/>
      </c:catAx>
      <c:valAx>
        <c:axId val="165643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65643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experience!$F$2:$F$5</c:f>
              <c:strCache>
                <c:ptCount val="4"/>
                <c:pt idx="0">
                  <c:v>9 - 14</c:v>
                </c:pt>
                <c:pt idx="1">
                  <c:v>15 +</c:v>
                </c:pt>
                <c:pt idx="2">
                  <c:v>5  - 8</c:v>
                </c:pt>
                <c:pt idx="3">
                  <c:v>0 - 4</c:v>
                </c:pt>
              </c:strCache>
            </c:strRef>
          </c:cat>
          <c:val>
            <c:numRef>
              <c:f>experience!$I$2:$I$5</c:f>
              <c:numCache>
                <c:formatCode>General</c:formatCode>
                <c:ptCount val="4"/>
                <c:pt idx="0">
                  <c:v>#N/A</c:v>
                </c:pt>
                <c:pt idx="1">
                  <c:v>1045000</c:v>
                </c:pt>
                <c:pt idx="2">
                  <c:v>930000</c:v>
                </c:pt>
                <c:pt idx="3">
                  <c:v>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D-1444-87AB-6DEC175E3B9D}"/>
            </c:ext>
          </c:extLst>
        </c:ser>
        <c:ser>
          <c:idx val="1"/>
          <c:order val="1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experience!$F$2:$F$5</c:f>
              <c:strCache>
                <c:ptCount val="4"/>
                <c:pt idx="0">
                  <c:v>9 - 14</c:v>
                </c:pt>
                <c:pt idx="1">
                  <c:v>15 +</c:v>
                </c:pt>
                <c:pt idx="2">
                  <c:v>5  - 8</c:v>
                </c:pt>
                <c:pt idx="3">
                  <c:v>0 - 4</c:v>
                </c:pt>
              </c:strCache>
            </c:strRef>
          </c:cat>
          <c:val>
            <c:numRef>
              <c:f>experience!$J$2:$J$5</c:f>
              <c:numCache>
                <c:formatCode>General</c:formatCode>
                <c:ptCount val="4"/>
                <c:pt idx="0">
                  <c:v>1075000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3D-1444-87AB-6DEC175E3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6393391"/>
        <c:axId val="656395103"/>
      </c:barChart>
      <c:catAx>
        <c:axId val="656393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656395103"/>
        <c:crosses val="autoZero"/>
        <c:auto val="1"/>
        <c:lblAlgn val="ctr"/>
        <c:lblOffset val="100"/>
        <c:noMultiLvlLbl val="0"/>
      </c:catAx>
      <c:valAx>
        <c:axId val="656395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65639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experience!$A$2:$A$5</c:f>
              <c:strCache>
                <c:ptCount val="4"/>
                <c:pt idx="0">
                  <c:v>15 +</c:v>
                </c:pt>
                <c:pt idx="1">
                  <c:v>9 - 14</c:v>
                </c:pt>
                <c:pt idx="2">
                  <c:v>5  - 8</c:v>
                </c:pt>
                <c:pt idx="3">
                  <c:v>0 - 4</c:v>
                </c:pt>
              </c:strCache>
            </c:strRef>
          </c:cat>
          <c:val>
            <c:numRef>
              <c:f>experience!$I$2:$I$5</c:f>
              <c:numCache>
                <c:formatCode>General</c:formatCode>
                <c:ptCount val="4"/>
                <c:pt idx="0">
                  <c:v>#N/A</c:v>
                </c:pt>
                <c:pt idx="1">
                  <c:v>1045000</c:v>
                </c:pt>
                <c:pt idx="2">
                  <c:v>930000</c:v>
                </c:pt>
                <c:pt idx="3">
                  <c:v>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9-494E-BAD9-7E7619C70C18}"/>
            </c:ext>
          </c:extLst>
        </c:ser>
        <c:ser>
          <c:idx val="1"/>
          <c:order val="1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experience!$A$2:$A$5</c:f>
              <c:strCache>
                <c:ptCount val="4"/>
                <c:pt idx="0">
                  <c:v>15 +</c:v>
                </c:pt>
                <c:pt idx="1">
                  <c:v>9 - 14</c:v>
                </c:pt>
                <c:pt idx="2">
                  <c:v>5  - 8</c:v>
                </c:pt>
                <c:pt idx="3">
                  <c:v>0 - 4</c:v>
                </c:pt>
              </c:strCache>
            </c:strRef>
          </c:cat>
          <c:val>
            <c:numRef>
              <c:f>experience!$J$2:$J$5</c:f>
              <c:numCache>
                <c:formatCode>General</c:formatCode>
                <c:ptCount val="4"/>
                <c:pt idx="0">
                  <c:v>1075000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49-494E-BAD9-7E7619C70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9368336"/>
        <c:axId val="811907103"/>
      </c:barChart>
      <c:catAx>
        <c:axId val="1669368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811907103"/>
        <c:crosses val="autoZero"/>
        <c:auto val="1"/>
        <c:lblAlgn val="ctr"/>
        <c:lblOffset val="100"/>
        <c:noMultiLvlLbl val="0"/>
      </c:catAx>
      <c:valAx>
        <c:axId val="81190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66936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experience!$A$2:$A$5</c:f>
              <c:strCache>
                <c:ptCount val="4"/>
                <c:pt idx="0">
                  <c:v>15 +</c:v>
                </c:pt>
                <c:pt idx="1">
                  <c:v>9 - 14</c:v>
                </c:pt>
                <c:pt idx="2">
                  <c:v>5  - 8</c:v>
                </c:pt>
                <c:pt idx="3">
                  <c:v>0 - 4</c:v>
                </c:pt>
              </c:strCache>
            </c:strRef>
          </c:cat>
          <c:val>
            <c:numRef>
              <c:f>experience!$C$2:$C$5</c:f>
              <c:numCache>
                <c:formatCode>General</c:formatCode>
                <c:ptCount val="4"/>
                <c:pt idx="0">
                  <c:v>1045000</c:v>
                </c:pt>
                <c:pt idx="1">
                  <c:v>#N/A</c:v>
                </c:pt>
                <c:pt idx="2">
                  <c:v>930000</c:v>
                </c:pt>
                <c:pt idx="3">
                  <c:v>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8-8348-86D2-F5026D52BCED}"/>
            </c:ext>
          </c:extLst>
        </c:ser>
        <c:ser>
          <c:idx val="1"/>
          <c:order val="1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experience!$A$2:$A$5</c:f>
              <c:strCache>
                <c:ptCount val="4"/>
                <c:pt idx="0">
                  <c:v>15 +</c:v>
                </c:pt>
                <c:pt idx="1">
                  <c:v>9 - 14</c:v>
                </c:pt>
                <c:pt idx="2">
                  <c:v>5  - 8</c:v>
                </c:pt>
                <c:pt idx="3">
                  <c:v>0 - 4</c:v>
                </c:pt>
              </c:strCache>
            </c:strRef>
          </c:cat>
          <c:val>
            <c:numRef>
              <c:f>experience!$D$2:$D$5</c:f>
              <c:numCache>
                <c:formatCode>General</c:formatCode>
                <c:ptCount val="4"/>
                <c:pt idx="0">
                  <c:v>#N/A</c:v>
                </c:pt>
                <c:pt idx="1">
                  <c:v>1075000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78-8348-86D2-F5026D52B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5257936"/>
        <c:axId val="585240192"/>
      </c:barChart>
      <c:catAx>
        <c:axId val="585257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585240192"/>
        <c:crosses val="autoZero"/>
        <c:auto val="1"/>
        <c:lblAlgn val="ctr"/>
        <c:lblOffset val="100"/>
        <c:noMultiLvlLbl val="0"/>
      </c:catAx>
      <c:valAx>
        <c:axId val="58524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585257936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0.74637510936132978"/>
                <c:y val="0.88333333333333353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Thousands, NOK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_xlchart.v5.2</cx:f>
        <cx:nf>_xlchart.v5.0</cx:nf>
      </cx:numDim>
    </cx:data>
  </cx:chartData>
  <cx:chart>
    <cx:title pos="t" align="ctr" overlay="0">
      <cx:tx>
        <cx:txData>
          <cx:v>Average salary per region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0B0004020202020204" pitchFamily="34" charset="0"/>
              <a:ea typeface="Aptos Narrow" panose="020B0004020202020204" pitchFamily="34" charset="0"/>
              <a:cs typeface="Aptos Narrow" panose="020B0004020202020204" pitchFamily="34" charset="0"/>
            </a:defRPr>
          </a:pPr>
          <a:r>
            <a:rPr lang="en-GB">
              <a:solidFill>
                <a:sysClr val="windowText" lastClr="000000">
                  <a:lumMod val="65000"/>
                  <a:lumOff val="35000"/>
                </a:sysClr>
              </a:solidFill>
            </a:rPr>
            <a:t>Average salary per region</a:t>
          </a:r>
        </a:p>
      </cx:txPr>
    </cx:title>
    <cx:plotArea>
      <cx:plotAreaRegion>
        <cx:series layoutId="regionMap" uniqueId="{57519D44-9629-3640-AECA-FFFDB7A87A36}">
          <cx:dataPt idx="1"/>
          <cx:dataPt idx="3"/>
          <cx:dataPt idx="4"/>
          <cx:dataPt idx="5"/>
          <cx:dataPt idx="7"/>
          <cx:dataPt idx="12"/>
          <cx:dataId val="0"/>
          <cx:layoutPr>
            <cx:geography cultureLanguage="en-GB" cultureRegion="NO" attribution="Powered by Bing">
              <cx:geoCache provider="{E9337A44-BEBE-4D9F-B70C-5C5E7DAFC167}">
                <cx:binary>1HzrktRIku6rYPxe0XFXxNj0mm1IyqwsiuIOTf+RFVDoFgpJEbqFnmQfZf/vix1P6OqhshjKhulz
7JBYg3WmFOFyD3f//HPP/PuH9W8fzPWVe7C2xvq/fVh/fViOY/+3X37xH8rr9so/aqsPrvPdp/HR
h679pfv0qfpw/ctHd7VUtviFIMx++VBeufF6ffiff4fViuvuovtwNVadfT5du/Di2k9m9N/57Jsf
PfjQTXY83l7ASr8+vOzcchUePri2YzWGV6G//vXhrUsePvjldKE7mz4wINc4fYR7uXqkMKUUIYk+
v/DDB6azxR8fY/QoplIJJW+2vLxq4bb7xfgsxNXHj+7a+wd//PuP+26J/I+3K98lX5436Y7SXT79
/Di/3Nbnf/795A14wJN3vlL5qTbu+wiEbSubVn501YcR//rwzbUfP3Xm440Gvij91lX/utKJiGPK
OFGfX6Dd20pnYI4Yc3Kz5xet30jyHw++pf/bEn1b/3dXuHXX1w/7M5noletaf6Orf98+Qj0SHAvK
CPniFPy2feQjxbnkktCbPb/Y57MYP26ck9tPLPPHM/5MZnnRFVfmyv6VngOqF0oJIdUXy4CHfOU5
HKIVlhiC2Re/UvFtA90I9OM2urvCiZluLnj4zyL3/7cx7q+1lECPqGIUCfzNxMIfUcIVVpj9YamT
BHMMVEeBftxSd1c4sdTNBT+XpZ7+30hGkspYUohmX/kSxo8wUgJjDv50fAEy+II6vgS7//3vL5L8
uIXurnBioZsLfi4Lvbo2ABhdc6Oufz8fAUgjSCEl5R/56DZIg2yFYs6o4l8MhU5gw41AP26puyuc
WOrmgp/LUoCiPv7FUS9+RCRjFDP+Ja6d+BR7RCWOOcInznQjyY+b6O4KJya6ueDnMtF/NdfOl9Nf
Ce7QIyRjCGd/5CV0YiL8iFDJhaQnJrqR5MdNdHeFExPdXPBzmehJ564fdMWDF4DBP16Zvy7sCQJw
Lo6xEAD5jq/bZVL8CHNAgZjeQAhxs/WXBPXkf//nlmA/brh/vtKJAU8v/LkMebD2GA2vxxs9/vuZ
C1BgrFiMFTjc59dtvA4YAwmJOP8TBt5s/cWEf0r047b7xhInRvvzip/LWlAPgq3MVXGjsr/AWuwR
ArgnyY1HndS9+BFTXAh24miv3P/+zxdRftxM31rjxE7/uOTnMpSePCSx6a+sgtWjmFERK/SHoaDM
/Rq5I4CL8DmL/1F6fY3cbwT6cWvdXeHEVjcX/FyWeupN99d50w9Sq0chftwyt+8+scqX5/uZGKRd
Ze1fW0sduT2kqEJAP3wDVBD2iDCMJCbs5iR8SUU3kvy4ae6ucGKemwt+Lqf5r+LjtbvR1b+fg7h8
hJnATAIu+Py6Dc/jR0rxmB7Joy+vE4bvszQ/bqOT208M9Mej/j91oH/e2PizrZNejVfZ537QV72N
73960xQ5ufVWW+nWw98Y+PDx14dCcSKkgPYEA1NIiSj4yp9dp+OSt4iiP4jrLxnon95/feXHXx8S
8kgqxmJE4AQwGgMAWYAJ/PUh5o+4IpyqWMZEEQalgO3cWP76MAaiEXgq4BkFJ/TLPb6bjh8J+Yhy
gTAkwxhKboChf/bmnnUmFJ39U0t//P8DO7XPusqOHu5++KD/ctUfQmNo8kFbQBKBANIyeOj+w9UL
aP/Bxfg/xnIrcuVKk5F2VtfVONRnw4arx2td5jvUsC77Skvf2A8e6Rv7cYwlj6UQHBzh6/3W2UtC
RGuyyvfFjsbTB7lR1WoxqChRjHtdtG7SZTB8SL6/Naj5dGvoaIKJJZFxLDC6vXVYSSFw0ZmMsrU9
25oS74Mvw+OINcur729FjmudqJUgQYnkUCgIHh/V/pVaW2x81+DKZHhZlwtckC6thqVMJlaHTmPl
hrPa8jqj21Y9ESa2sabEvvOFac4w3ebzPFKjrrxiyUorfwhyDFkTRWOyLo50WkZx8wqPQ9DfFxx/
wz4EAwTDQsVKkGOv4WvBx1LkPXG9ydatq95XjeNB4yGiz40i4XLpTaVdLfvdxCaW9EXUJeu0oYt6
Hsl+ldOYVNz51wSoiGwbRZXSgIuLzlXD3uaDucei31QzwUfIGIN3cXZi0gjzfBka3mR0rfJm75sO
P48rMWglc/q2CiOvdd6EvtbDsm02WYYq35Iem/b3LXJVrqNebSLJQ45dRngU18kwz9UzVFa9PIt5
V7R6sdvypmw7x3cmxJHbf1/jdxV+pM4YBzcHd47jE4WvIo/EkLMqaxUxIUMxRWdxGGzSmHxK0LAU
beppH3ZDhPN79IehUD05pjgG+hXijILDKvhRuK+OqUVx5PulqbM6d1MmLZK7ckXkqYtZtFeRy9PJ
8en5XATzMYSRHWJK4ACM2A5aKBdV90QHjI/+f9txQCLohUlFj/lSnTgO3qjPlwYVWb1I5JOekulF
gHDtEtvWKu3bsimTqip4qXOw6JBES7/UZ5b1odTbXM1F0uIxFnpinhudezI/metxEDqaxzlKOtI3
pTbbPDP4G7P9YoV83fPcjMlSYj7qJpSL1UqR7iqO59XvBJlwm0becKcrOk1Kr0XT5Hrope9SUcjl
9VaG4aktS7NoVcm8ThjdmkkXEYleGdX0hS7tWg9JO4w51X4qoyumyNjpvgxtqf26EaZdaLZR98iJ
KLVNOV53y8xfOIrrT1iRqtPLUBTFy07G+ZWYsHibOxP2Adv2XIYqjxPjzRRS09HlpRirJsrWtQ9D
snjMBg2Km1bdjmVJdd23VZTUfnHFRb8g9LzNVT+lUT75s8ULDh5hvIjTzjWl2W9z7K9VhYdKo25F
b62LpE9mFsZRd/kiz/OBEgXxi/aNjnHu+nPUdX37eKD98HY1w/KB8rhmOm6Mn5K2XPsD7SF06j4K
btN4pZ3TZO3YR4eXaUoaZtdlD2u05mnbj2WR8MbDIqwduV7gOWaNHN+eLV7Fyw6rjj/FQyeuVOxQ
0CtEBK/B+L7XtajbMmXtWiwJcnbascrTZgd2ZTxd62W+mNmw9QmOi6FK6NzWL0lLouvvu/jdxAMh
ih87uApoP4ZOXDxu5hJ3jJZZEWTx0s5+OrhpQU8i49U9DnQ3nRPYhkukYvgXIMRthx64NZJTSK9g
k/mpLaxPYzR0b5GU9QHnMz/7/qPds99pTqXLMNYLgTxXFYiQpIrcpZJjZfWCO3QQtHz7r+/HjkyO
BEYHaNKT59uYmwiqQ5PVtrQXUkr/1AK2vojs1iRxoGb3/f0+L3g7HhEsGANKFpAbJ8fhla8j5NTK
uiauMZmah3nVo6gNZIdx7vbxUm7u8eBq1mfxxvrLvHLLy0GVat1JgHLPm1H0byfRun2+kLnQPMJR
vbOI0jIdKKR/3S55l/bB1AeOc0il35edHM/VqeySAEkZMy6OOPO27BAOaslkVGbl7CoLrZTCvC6X
vhyfQlaZal3l01wlOdCYY7YUXflpitsxTiPX2lrPythmX5Ay/g3VOR7TsasBwJChi393pqfRnjY+
fzm3tPwdET88X+2W19o1tl12xrTz63aTLE7blslKA+huiZ4rFYjuyajWe3DLnUeFMwGTLVBfsWM/
UUCb42szBRbNQ0+dy6q47lMbWvd0FLTYMYYem2gsd40oVH3PpncOP2wK+BxT+A9TQLMnm/qVh6Hr
fTbg0p8JQefXkNfsWTlGb+xQReae/T570y2DHk8+gbk1huAPZydPOS2i73u8wVNCo+fJRMDjopUX
e1Y7lg3SDmmtfDhTpRvTgk9rgsoVv/n+qfqWpqGYgUEihRHl8uRQAc6ig4yZyxxGVWqrKmShd0uy
Bk+zRrDhrJ1F2d7z6HdQEoE2MCYS+vlSQPvkGGK/Aiq43qYYy9Vnq/X0YLduS1sUVQdR5iYrY9Ht
g/NXznp0/v3HPfYwbzsR7IwRF5wBNalEfFIgldFA7NRgn5VQx70jrJ6TrVvi167txI517G2zVZPV
U96IV4A26mQmno5JLJon35fkGNpuGx8EgaMWQysWAtIpMnJb3cY8H3xmuzbe1TZMegU2YT/TBh2i
vMRZu8J7gga2G8lcHr6//d1IeFQEExL0L6A1j09Ou2NRPrZb5TPnKvwcEYM+zKhEUA60PO1UPu95
18UHR2p/lVssP8VFVaeidm2cLNTNF2Lp3WOHgzwz8RguIcC0T6DWkWkzwPmpiEPTfaeGfEtnAgox
RASGqvkE33ZRXK5LWfhsdAtHaekrwrIiJy7em67u7WOXOzokzdBORUrrqDYagroVejQ9V9lS1l2d
cNsyknTtkA9JzJh/jFw3m3M5UNpkzsd+0TFbcgFhVphIKytwv3dmWTpNoq283oyvxfm0bvXTpZ7C
7xHz7hh2SZQpYRxosBhllQ4rghDZdBXbLvy01e+iqWuMXqp4nlOZe/+6IUuIdc0QCGWmSjwtJ5O/
CiDHb5Suzaj5MpRvUNSsvTZ+mzEgKdzxZC3QcPCdIX7fF0P5G+4ifrktbQgpXmV+pjZEG6jAAThl
Q29pnvLBdOvH3NnGZQtU63sHH9JLLjqTZ8APrLU2XA1DWpR59LzgcttSp3y1j0014IR5KF52IiB4
zIqG4QDcZbHDlV/bA4U88rqJWJdsUJS8tDEPXDvGQSWYs5juZjoOZN/MU3xWRA2SSc7b8Cko54aM
DVU93ZMm76AzONdABsSQPShVQKHeDi19ASh9qfouc1GYzxyoOEGs3s54z8Z70Bn+HC1OnJggoo4s
IABcSM23Nxv6jtW8IG229HXTHJpuJHk6R8y+M9JirGfvKw81TRS/B5ST02xaq/VdTzpKXlofmbCr
enC8mvt1ThSQ7ijpttl9wmTMo5TZ3lZp07d1l0x5Mb5ucO3AJY/9r3MToZVcLEBN8yRydd+lZovn
V2p0HU6dCIKlNdoQ13hs7MvaIFom/RBVi15XQDXpXLj1tfJiKTR1ohoOJYY4rF0veJutXNA2zcsa
uXRAtIeAGPflYZ58PyUzGvoqUV1pvIYySnapb+NxyzyiLdbclcCGAHZST1fbDB9NZbc1acjUIG1i
tDzHIaA4VYYURbKMjPcpV1P0soMYg7K4KLuLiqii0tOg/HAeD1s7JtTMFqgJOKk8KXjb/d5EI1R8
0yg6rGVbTiLhi4jPVOeLedesTjyF+MaL7EgLzYkt+5IlrkLNkgZDmEhFG7d0l08tZNptG+KQKLvY
s6oVBUlQO+KPVa9coYthRMtTVswUCowRRS4ZTQFIeIaKLQkrr3u9CdVY3URl9LHO555kPBTFk9mM
8u0yQgkOK+OKXTIGVk+YWPtJ9zMNVUa2gvssFEOP9TI2MU6AUB7fAUvH5oMvaHXtSTPIl2uTj+u+
DLUXukRLPmozOUZhYxfx854uuUpMAXLtXOnzRufC5+QFlf4juIBvnrp5XJ6bIsYmC/k82HSs1QZl
2dqzna+rZU671RX9ToxuWLXCRfNmpUXF9uNke56KSIQ0XpxlSSSsh8orZ7NLSAM0hMZGsGqveFRv
OqDg673P27lM8j7kUAjDi++dQqHeq77ZGl3hdmrStmLuU1H7Wu6YYoNLOsP5VdWsan1CMIbSMi/p
dlnk8fbCDwj95uqAfcLmoq70QlT1G4+6ukj56v2rBq+q0RjKSJf4nHUQYZo4XFbSFO+FZVOh1ZS3
q+78XHws4rlWGv7qF93JqVIaeP6xew5MnTPP6SQ2onk9y/fV6Bqa1mYJv03VxO8hFO+iriMvrQgA
ECgkgRu5HTcCGVcEymyzzdoSyotyS46UxZkdCE6KcSW/mZpu96TP46InwYqC9gBtQbCC+a+TYMUH
n/fzsHZZJFulSdfzrAF+dSfZSt6Uw8L334cY33hI2E9CK14d6Vl1Cm8ntk62gEhsbbHte0FzXYkw
ZbT24yHOZwElVdvcs+ldDgwKI64oUODQHgOW/ijVV9AywsghCoxWFo3RGGeAwJZPgQ2Gp3GzRI0u
Ftuch36DWEerGAq2tZy4OZNxaYczaRrxm2/Y4n5A94DzpYBhYhyTU87Ao1bYICqXxZEq3wybB0qq
DCodK79lrlvvO2DfyIIxHCsCPUSgUWGe77YWGj/bqI7ZlJG+q18MA3A0YZXqApe4ukfj3zhWEobV
2JFnBkT/GXF/pXA6OIBIxE8ZsCXLi0Xl5SHk9qNkVfkcJkaX+5LuNxD8kQ+BDgvMgAB2PXm0gg82
mJJOmZhQf6ZYzg8ScN+lK/x2tkZDc1mrZsrACYbdjAtzKBVb0i5fy3senHxDyZKTGBoc/Nj0OXaY
vj5qVV/GC53qJUM9omciYJwOUwzhHW5Ic6hAspm3Y2agdtyNY42BkS1MSg0eXkJcXJLFwQdQYy07
0lTkSWdF2HXt6LKo6t9TiotnUKMbPcSyT0Vw7W7x9bshxmTTxob1y/eSvnwt6dmXQPB16+guV0s4
FNvQMhMEeGvxmZ3/ypCTQJLzic1Z6b15U7kx1s244N04j5X2SzFfsL7aYh0txfJu6EqU5WXZ70nc
uFRN83jWTPl4n47vdF5AKFCtQhRaeRC5Ttw5F4AqbVzN2cJM0+y7ZQp5ujS+pLu2oChkpuuQT4cm
DC9L7CeRzlWNUYb7pn090Q2/LSAnU2Bo2v5yWUP1oe4rdL7VbIn1gI0ZdLd081sp4vwly/H2r0d6
RSAaQWsPXBHIoNtnpKuKygq/jVmn1vjxhEKXjUBrP0a97bM6eHu+bU17j48cD95JpFeUQnEHvAIH
hvIkvUSFbJ0coQUQy9qnhFv3pusL2t8T1PBR+Xf2AUoKCAyq6OeG59cOMKK6hq+Q8TEDaMNsYrCh
tcYRJ0+hBWO086S4HN3YH+KefGQqUu/WEEXPbKyKUbdDP+76ZmLgqh0BFNqy+mrBbXWR49z+gBkY
NF4JTBwJCeN+t82gWij6ueynbFAu7NmC8GO3lS6F9kx9Yf32EQNSuKcSuVvhQ6kqMXwFCyi341T8
7T1DAeMBhYE9K1ubQw3quxS+HRKn+nkHlLU4ECKrN6GzZWbKnD7+fvr9BtUBdT3kNw7f4oPd5Ynr
1EaIqUUbBOa1MjhlYWD7sty6KQUFl89wKaHrsTWE9LobeTXolZX4cvBx/nvUTPj6HnGOJ/32YYGZ
FqAcAHrE0B07DS/NFNp8CPOSzaOIzvoSm10oINqAMxNtg5IQWOR6JvxEUmvR/KRuUJPyVkGfYt2i
F2C5998XidxNJSAStBoBhAGrDF/aum0hpWbnQ8SXbMLU46zfxmZMSGvV46BEsySbi0AY6f0QASfg
3PNhC6HVXZDseVxwEjQZizmH9oVz73KxDiarcR+t6dpi9y5EeVFqMTfu0FSTWc5m11QNFPEl8f86
myMw4VhxKtGR2zphRuZ1rqtiHpasb6FwK7vNn6FmEEmwvoKinFa6CnjNSqgUD42s1mzeImhNMy7f
FlGwvZ6HVu4KVBm9TiIcCFrex75vz6sS9RmaaX9Pp+EbOE0QYFmBhT+GKHb8muLXsaMfVzOW7bRm
HIqKPYwslHq0XZRNNV/3culAdhx156yDBnu31sUubgJO2hpBtJlrd098+IavAlSlGBFgwiBck9vS
AOVYr2NXhEyU87jquaZu1SGe4vyijbtIJt7hLSRFYfiiLVuhdxjqNo/uycGf+w8nTnIcWAFGAbAb
xZ9P7Fc5eOPSAG9K5kwUbS+feLvV5UW/xpQnKrIEZdDBHKAGhtGKZzmw5O/6qCyjS06WuQMw2apz
ZUfbnImS0hrOAaRL3TA5b5nBm4Q0GIa10jOGylzDgsolK3QcyIHmfInTBXDVcGBRFV1ZWlejtmiA
UmG1rA0amhsMJ3iJYKSkbST0W+cSbLFOM9bB8fJxsZiJ66ZyHRROxVCckS32+c4uMO2QQMivD87Y
GtjuEuVKd025+XOIBf5Kjmv/xuUze1GIsmleLzlrDgPgP+hKB6hXJDGs3wcYyrmIZ2FVggRCv38/
FtzFcgK6ltDUA2wJCZMeP/9K8XMYgbybGYQCEaoLy6DQNJ2Ho086u/v+Vvibe8F8EuQhAVNip3st
alNoRvmSOWnr+nEwkwDeV4zyAyqX+k1P+2LSec2Iy0qgbdpLHBUD8AiFmUzqFloVjzF2VmbYuwEd
rJh8+QrO5/Cvd0RgXInA9xsA33Lo7pwoxVZ8GrwnYzZtVfSOl7lNVxkN75fZv4XR3y39vmLgu5Wg
5dvHH2ojqNkkBcAEEP8kTcMwDPDNFRB1hjJDshpZGfpk9UANVDpAaz4/G0Uzlpdjq+b+uq02ZR0Q
IVURn5eIrBdsWALfYTkpNGjER2AmM2RYWV/TXPrCpdzOeZvl46TeqkigM7nifNUkF+3lTNZxPHNr
hzoNhyGw8xZipOyiYgUOoVUFoYkAyi9/ygIf+rdD0bX578u8jsQkbKGtOjTFRmnSlM78vgHfxqZw
3nrenEFwaXVL+dxqNG7Fc7s2FuiRXLAPLYInAtotb2D0Rk0HKSM7PxmryvBEVFNX65Ll8Ys8qkmR
5rmI34NX8U27snBoX0LF6p+UvDEpsKv5ck4KulR7nvsFabGF1WkYWGAReK9ir3tofNis6hCQQKrF
A0sbVPNm34am70o9uW2KdDGVRaMJr6ZPwwy/QqDbvGvaRC28XpO+7PEOu9EzYFVb9jxfRvWamjA/
hr5r/3FCbpHAn8nid8zXvNIr6p8AD2+jXSvMEl3ErpdU01L1Z9GSm/5MRIN9v0niLi0gfA+zGH2O
935C9XPZNEBOAgsnw7mZnYNZDiDcTRJ8GHZ+y5nQ7Ry5J1w0ItLl0noYAAKUKxIybf05DKvxJnUy
Uiv8kILDL+t642vSzfPCdABisEg9W/uXSlQt+tAIAnEV5gg8rA3t0AwiTVRC8OL1pKOSVc2Bz0t/
hnHvN73lhne6hEBGdo453u+jgcVEj2sbXtIZZmFeDCVyw35el+iNMmOAGDkPCu8rMg79AehL5nUD
/bxnsrOozkaydTDIUOVhSQYYIov3cipGBANleMMJkPNTdz5ttulhAmsd8K5QdgVSWMLvhCSr68Ey
W7yiF1O5xlfTUOI62dAch70tosWkKxptn4RtwU06Y6J+QwB+8R6V3nywOBdL1kXdSJOyRWI/SyAF
U1iyflkM0YBfKjvbGWg3b/wOJt2o35MxDgvMvVALxKcFsnjXAg9YZwNDTaEX5ppN8y7v7bl3S9vr
3PHV7WRfMZQ2BaTZJznQ9083GqYmmZcFfbI+NhdmgJGVvUE1INRGrCKrpcHjYwug2SRdM4cMzo0A
Gtst0JhbDVV+10+jvDhC+wiGUHBXZ33e2f5J70aIoWpaY5hZa0WT5mPXhr3sG+inNnJeEkJcHzSM
L85dNs8dJJWliMq0mNvxykEryOpC2rHPSktgLA9PpG+1nfv13bw471O5UrOPoqmATsnQsupMVUBo
nrPcQmFqMESl0vRrAfNEvfEHDiw/DKTEi4dKuss9eHJXFlNCaW6Zrjsiuh0U09BHb7pSkXNFZDTq
iG5DqSO7GAQkwtRfDk11nMkZ21JqGGHr3wUY9goaSEMjNI4DkdAr77oXbWvHOJFNYbakXmK5wbgT
X5dUVRvd9dy1LkWmJVUyNobTlEM0azNV5LLVI1+Lx0pFTbiI5qK66PyyORgRI0bt2Xqk/H0xTN3Z
NHXodUdadA0weJ6SMAbRP6Ms+CKB2Ye2PRcGN3AMo3yFUQ7c8j4DTtvvGC5t2JFBlmG/WmMmPTcc
XfoRBkUTsVoHPC9xmCcDkNdOAzcKZorZEB0q6KKtmi3cAPNPWfmyqZgBemLK2QDjZGR6rDhbyj3M
R8FU24YLuLqASBIfVo7jKBGBjUDXO2tcsoQwA9rwjU9MW0zwRj5XfUK3MJ2HNq6rnYr7RQAAsrnT
vR+XgwoNj5OI1QCdtnbbXswNtJfTgsAPQZyZsq3woVoLDuRevZwv2xjgZ2SkDwUMlk0L1Dq9jSJt
SF6IBA+4fw3TIsMbu4UN+jfLuNpklsKMaV752EFfZamH88jT9qVbe8yzvGiisFMS+/4Zo+sQX/PK
li6RcTVBLU2QXFMDE2+NHuemmhNZLN37ig0tBRw9rr8VypNBS4ryQ97WRax9aFh1oHj10DbEjMIx
YMQPoI4OqhsRbXD57E35cpyCWfVG/UY1EIAoT/yg1K6SJY81McLDENdQlFViTN+8BOBX/S63uX3f
DJQ/A/xTPrbYFgcYWYl3hkH21pWz9bVdvQK/amV4ZcVaOdjNtAtPwGuk34WtH0laFoMySQ6QvNEy
3sSqSzWqxza41eu4hGryELeQqJK56/v3wBgqpDcZmw8dtM1nvcLwKs5wi+ft/7B3Hk2W48qS/i+z
Hj6jFptZkDwqRWWJzFIbWElQa4lf/z5W97tdeU7eOnNnPd1mbZZdAiQIBCI83B23a55bu9UnT96r
xGxjR4i5OaXJMva7Qo6jFgvTc29MGEnjfkqUW0YVwaIPhZMsJU/lVHpU1LbqHuq12PicXWE4Yd0Q
JttiGtvjNNacAH7nVq9Ht7D1feOanYCWl5s5neFlyG7cRhXqOHJS+GGvT4n7Du6t6e2StR6N130L
bTVcSKuTV9B2iaRrq7nZyext+HhNLooulDQXCQNuUYWWUxpz1NmF9R4K3rRCBsxk9z5ruuZRjaur
vy5smFzZ2jjE/jax1mgMhv5RVp3Id8tsuEnMhyCPmQEt71Xvi5+lzMaBpKCYq1356zWV7hc2CySo
+jcytSxYCo3KPqzwM9swL2kcbfHPX/euboifWZpmVlxx/J6WxSq7Y++kuQ/LSBikO53mfbTNrGON
Cs6FaMlnu9obpc3p6PGLX+hBUF75i68/uvWSftfXJJOhK3r9a917bnIrutYr40ab6mKfc0zALel3
Yz7W+7lbyx9+U3RqBxSSzXdJ5rl3dr/aJSxPv213s5WsUwQIPq7HtAGHM4xe/iy13k8gZSf1EGZ+
qb+dbT0Zo6FpW8k3ah3SQl/MYeYYgx/6PUdKVAnRzLsCuuU3yvrhcTC3xx5EZrixT097pAFuayYt
9ErOnxuvr99N2gyOYSr6TPvFXs2DWyepG5d1P5B4mW276rFudJPYqTYY0jixVZLe9YVnLmGW+0Me
W7KHCN3KPrtT+VplsJwX52frTXO+H9KmfRrgS0En6Pz1Xek2NJ85++BRh7kvzTsF/Ad3EA63uhkN
UsxwscToHdqut7OwbxfN2zW2q82fx6nS7YgKe9RBpJVBl75qFN1KTRQPfl+ZC7BvsTQ3AlbD9Mad
NdeNu26d25ts0Uhfuryz711hjesOHumQxGrJAn1HHG30MPGdwY1bqLu72m86FQ+JbYlIuN16V/m9
4e6ndTLsKK3bZt3Rw3DdsJ/W4r02+Z4TlcXIzBMOgma/mHbJOZp6hBGVTdYbpzY6ecxKCo6wds3E
igLAnXiEODburQBe7ZRo2UqG0LrzPgg674Ekqf7kO5PlHexCa1I+cJ4dByqJ+Vi3DLxb8yJ/Zdj1
VO1o1DYPWpV7P13F/o69zPOrPVWB/dAVlvoEBbB2QsqpOg+dwjTbyHGEAtbSU9FAYe/q+9JbzCGi
nEn1Demvx69wWIgxTVClZDT+JIP7rkiUykI7q4r5YzvKSicrMIu6eLeu8zo8tmkixvtmbFt1cHqr
HZ+EsqW9Rkkz9VK/18HRb/Ni0fRrhLVf5dd5eQZk44DjQdoCWzwrkluhj0MF3aHLBL21YMmW8u0s
U0CGAcj5SzFY6uOYA3BSe7TlEHqFXls3AhO7Mk6ZhQOQkB2EE9/I2C9zP5F25E49RaPnpw9b6nNf
z26ihY2yusdmdB+9uje+O8K05GkSi3g9lXAGrtWdl1UnjQXQH/igMODcszK3B+CTKwk4EaH1bgK1
djvfK+tbDOi0K0O9AMqCNNLO2JAmXdcvIMeOrqXjlWpXO8l0pygnPmgQtfaE5+Tguav1bmDo40y7
YI/GR1JMpsmT6wCP/rnYfgGAg06GVmCTtNAk9M8+picCswR4UDutUHrkarb3ipTEe5wIkY90p61T
lzTezl3QvYRDq2enqZu9r3rtAJD15bJcIcT9ojs+W10Y/MGmMRwLSzOHxs7z1ZXUljGJNlNQlBLa
hl0/Vt9Gqeuvul7l+b1TUkzuCzpiX+x+MahWaON/ypLJ+kSBkj06Rt7nB44u/0ci9eR1k5vMq5M7
ygOP1YckzMYGgkPRpT1Jp8duCm0xGg8afeCMs7aXIhzylRxxVaUjorG23YLTZ3S+2drgf6y7VY5x
M4hW3VAyLm/lqltTWHbLvPPdsWnCvpqzT7zCPZh8Gdpp6ybhIqZxCiG+yPzU917ydOUzXsDqzBoT
ZhumBXIC7vd81tbSSGxTpszanDhvLGkGB5j2zalboY0ZUrff6mVqHpekHqMxra3DAIT2UCx++2mY
Nbn3J2CQK6v8gt7JM2H1A7Jl07UDRD57pooNCzVK3y3mnFQ3Cww9EMBCVlrcjU7+1CRuJqMJasQM
FrCsH/88J9srny8kOPMGhFabo/d8ZedSW4wk72kCFgV1t+8sj1mVGXvl0w3+81CXuwguIgZUps3C
3eDyMxjbsSWc6oqso9cWOj1wBW9WF6GU3JLBZbKrj9JlfTS5Ph/SpNGi1aYjtAboRoJEyCvt0l8c
jrNXt9ElmGDEoNj0/57PfJrqtNVkY+wcqB5ZhACjhqQVFO1dLYzKj8GdtCrWfOEci3QqNXCrCqJO
5WVZciTuO3lIz0hfCLZyvrX1Va0xRC8z2yWLLabQ7Qr7ncbj+/GaqGyITS8T+9JDHhAPtPHWnV/P
ZhOpoW4elLk6n6lSbJIQo5U/GzHlQdRKX8rY7Mr+2lbYItb5y9u4hOGsxxfxf4nhfsNwndlorFE4
xi7wxxnVimYY3xfLS7pXQFoblFTWtdwLx1NfpypQ5v0gLdrwmm+NTWj6Uvvatat3KPvOlpFfQxpc
APpFRMUIX+PPC+eFLbKJxBCF0oECuT4LdmOTVmK1NrZYn9Bet9JObSJK3194qiy77/Kyp7icxiAJ
fVOJ9MoWvVQGEi5QiOGdBg5toxZ9vlLmxQMJbQdzZ2mp+UOA2bxa1xTtlJzpgSnHfdLmvjxBTW/i
ZgwE1TZcKN+GxNWuvffKGD3r0JaUP4kIgsiZ3PyTjSYpcgaI3H+erEvEnIdFJAIi7G6+iuc6GN+S
debrLGurDdK3dTWtJ2HJtSWYW0VsL/Zy8KosONLHq2886r3QMUY2IVD7QQHoR8GkzJhcu7lJORXf
XXm8ba7OFh4IAhuPlIig55x1Wo2cpHtNV32XowbSbhpdH0B7OBwaknpLfGs8KYCInVwdp6oDD04G
VDGhPjZ9HcL1Hl4TIns0oyBJetTBSrb/4+UG74g+J216OoSWdxaRc7QhcEkma+e3QFSRtHtxm2la
/skBroha3Vx/urlM3+qydK9R7i8oHBaACyyBbYIsaP1nhJ25dtJELrm960Ykj8uYVvA5YbPWVVB/
ddd8BNN0AaqyFcppJtTezyaloivf6HLDcRShsoaCZbGGztUdHcy3KQXa2E0JPChzmao9SId50CaD
BLwzrAfN1zWCRLoE97qRpN/GQJVI+iA4hQ6Y62erXKsjrgxdhEbPiWzpT7ssHfXk1kaGc+UMe+Fg
2YRKTNlGk6YbeLam2nxsHD917B3o0Rgbcy53vWDzuW6dH3v6pUVIeez9QIbb3dVzXocUhVoVNX6m
x2J0m+TKEtoi0vNFbiCMoU2OitiwL5N/FcyW3Upnt8DGvBFlOZ6SIU+Prlm8HUcdNLDotNtmqoFp
a4jxVwLWZXDfCDSOhVTF3c7cMzZFXptwz5eS4f3RCtu+1gCMCnm/puV3xBTNX9no304Fr/96sb+U
9d/qZu1SmfxtfP2vH//P/f+4af9ybv7n/2/W2f/89ND8qN4N3Y8fw/2X5vx3buP967cy3N/jb/4D
z364sEb4N+YHfzl0/5tf/L91RgiI92RosB4gxJBu86X/vTPCP/6Wv5sjvPBX/GWOgFuWzwJxKG02
PRFksn+5I+j/5eDgSQDf5EZQoRj2b3sEXGg8lChbTWTSJ/I2mfrf9ghYbfieGxBZ2bkI8Nkn//P2
zz4iVuZ///w7x+2iguW5N4YE6bKNuzUa7eenXrCYK0cMrTVd05b7AlJy3Ka6vkuafDp6ZaoTiwR8
pc5JTyu9PpjwprsH9ptfYysA3bB1+ghpt73zxwxYrw+WEz0/O+ppxO00Rwa7plDJyZG+uNP1on5j
5Za+b6tWO/z2FV54lfMzhzchfSDx3LI8H87e8zepsnF26yx1IpW3aL1bmvt2AZ/8z6NcaNS2Ycji
8fqGxQR76qxKLGZrmrCUsCNj7bqTSipxasy1IvqpBE27Wx2m3khOo5oT9NGL2BcpaPr/w0N4BpQh
FgKmh+d7v1zwXkgpbyIQnxHlQwk8ovfoEqtO/zA0U3YE8xNhUyRaVNAMjtqVtsafH2JbGb+Hv20i
EKCydh3WDazD5/NNjwONe8szsIyLk71aC2R2JHNNMJRPyNVfGwCjV/Ke80KGMaGrOS7qWGh0EHnP
xjRtYHiHvmQwmv1NO0NJ6hr6XZ3pB/s/v94FF+qvsQIoJ7irefjtPx8ryKp+9SphR1IFzeZWsOx0
hRU+ySvEIM0wUaLL8msvMifOFLxtX7OK0JhGdXJVZrxenb57TWctiOs1SKIgQ18RzLbaWaUJ8bvs
GjpcXRdZqboGqrw4TbiAEFRYrM6vo/S3vH81UlS7buVEAEbW3hYSiLahpDerqT7+eZoujuVf0wS9
nGbCxiM8J7W7mrc2NOfpUyihvzM9oUIAgvV2XJsvs5TuTU679AilI/nae8MUjvALQn92q2NTK//9
lad58c3JZqh4bJj955WuA9GdEMaiRMNAM9Prb0a0ymFfQObBLsMYETOkaDX6tTm4faLv9aof39MP
DU6JZZKdjtWD4VZvDCe5xnh/6dFQYkH69smJ4ZA8X08D9J3UqfgoQ1W4UW5VZuj5frDrNqbBn6fh
xaHwgSHs2uCS53yavFVaPa6TEwmBCtsHvI21onX2Ix27K1HggvO9fX82pOeCbzBisGVJv601Yyh0
dxx5rRw/yYdloesNsc7cQeqj850bRdzrY/m14aAJ52KYom4K0hioO9l5a67RcZX9LUdTtaOXKiLK
c5ARuQwfV3MWb8qisZ9SX/uOOm46mSrrbnq0lk9V0GxKxL65sutfmjmI3lRXYJEbVPL8bfrCQOM5
A6yDB3nHMdXFfnD6+67PvSsx/MWRAqoPw9p4++cYK24CZg766kSmACTIazfD9sNs9vSy2yvf6IVI
7cJZ81wWHTWPfxY1+6VTVtubhIMKixNRIDzTBgfmlBssN7S3tZPmzv6VwLCF/2fHg7/V8ljXkOOw
IZ2zQUdPU2oEao1qbFSOdksXpqPVdFyGjWWQ2taV+bw8mDmQqd8djuSNueiffbpqyvM+27iA9lCL
O4x9xJ0JQBkNJeJTNmUBADl4eTwIoe8R1Kch6Ie3+/PO2wY5e+tnD3G2G5pRJPO87QavG6od9g1D
ZMjRinXlzHSb8AHxaqvflfS+r7Gbtwk9H5qzhyST2sgiwDxfujXkLpSXvQPBIfPuzSyfImg6HyvN
WXbI1vyo8ZL0uC5JErbdBkuU5nT357cHKnn2EAD43L4Bvxu7L3TULmKu5w9hjUniJWRBcAscWqOz
HuRvB9dU33AmAriZunI+Iaedn7pJq/VwtXPxyV38Mo/NtOxHmCxrb4eTXJIfOGWunxy7ddsYE4Y5
3w2rs2hHMQctrUFpjD8KRLSnAmobQ0w0aE2Z5PLUK8gWUVpBBA2nJtO1o6cHKkajN31Y0dd2oS6M
8jttlerDgmhziR2SNcRPmmo+lY5RTTtk9tYHsqpujVFL/lJMGDSclZdrce+P+i3zf7cY3ivIIquK
p8zHq0NXgIJNaumfbYWlzAGLmqaLXXNN4N14rDymHeZBaPYIVWPV+e0dAEj/umkGRJOuPfo3gwEf
fr/0TvMOdlHehUFWr3Pc9hV0U9nLuTyUiVvftOZg17GjSY3sS5dDjXNTh30NXXfxbXSJq2w4MXyr
hck7OqZK4lmb7TUcA/Qs6GonebuC/K1yNX4mmMjcrfqSNuHoJu0U2ovX2dALpO2FFWKmd73U2C31
+st3xirz46J0G5zGHYs3QjZzcUCoP94sFAXozpUrhqiqzepnnw10SlZ3GlYalS5MHW1s+5PnFRan
Etc2AfMJHzJRoYkZhKoy7bivrMmJtTTPDnPhiTgw1sre9fZU7n3ZtVjldKVB/2/FfwyNdjV9+7WE
/3+Z+78C2KMgBr/t6K3ofmb69881KP+Utv/6Y3+Vs1jlw4dzEDC6AMsgR+zwv8z+7P/yaZpxyJMQ
cNYgjfq9nKVOQA5uoPAgod7gyn/KWYCwrQ6mkiG5+A9q2QtQNCBPB+cmMKDW4p+z4KP77qA8FbRR
kjriVssbN7Y1o9lJNRSRbmTOzp79DOZb90NkdU6HIpAR9Mp+nxfwPEeoGLfrYMkd6t35Skp2cRzi
5+MB2ZKNQ6YHDXgeGKekrQsCN/ykBGaTrBLqgNF66jujuBGBI6/0Di+HQ+CyOcZgfMSn8M+mol5W
FPOu1eHWoUHehbsZkaUXcW6Q8+LS5fyneROlN8c9Zbfvwnlyz16vL5sFmojbRaNeLXva/EaoT2Lc
FwLi329L8vVfJ9rvkMVLr8bn9b1fH5sJfT6Ta+vltqhlj78CRDzdxgkkT5N8b9bBZzwJ2isl5yVC
wqttqkbPoH9mOu7ZuZpUtlfb48yroR2xomrynXoPzdZ2OF5a8QDzp4VaXNteHzbOYN9CBikf8BKq
RciGkX1Ir6XQQ2uWxRQKrypzRCmudYNcYvoOxcbcC5FCaOmWxbhj/uY8RqCXvM6pWvKwT5R3WFGS
X8nPLvxO4NtDW+DWC7xOkFaccxdErUGJyhHw48k47DpPH6K8VLBq07U81V6fn7pm/sHhtByDptVv
mhngJxhmC8nuMOzyRQsOLdjSCS9C/YPZDu0rpM99rDdOuq/nq86aL333AHccj5qWJXau3kqDbspb
upiYcLnmTpOettf70TlMApugWZRXO5nbQnqWUG3wOJPkbOEJ0uIGOP1W2eAaalmaC7xljro8jNTO
Ib5tsNByV5/CbCnWCIAl9Itsn6BZvUNe5Ea2LR7tZtJIM8e9KVYVIR7Rr+S6Fwn99mQk19AzgMIR
Gj9/MrAWgRUlTGdL2nOYmN54WIpkiiHiikgVQ3rM7eyauvcywWZUhLro5kAsiSpn89HQX16K3umi
oPP1KNHy75IGwR74Jzk2XpuHljdq5WafCZtAecGJ9s50RQ/04kMgvwAsNbZzwztLsGdPr1Auqy5q
C20KUXusUTGjC0nbiQJKg97kprMe98l0MEdDA5kx1sOfA9BL64LyAn6MDu6F893z2cdnY2nmhq7H
SguY9rUq8f4sfvqqSq7s0cviminfPFv41wbXPN+jLSb1SiyIkqBuTIeCDnZcJY52Eu5an+DSrnz8
JdvrMigfiyHz9gLM+HMVTCk8/1I7arU14cpXlFGWatnjDCeXHuCAQC+YnAOMtzauK6uDl9YtGnZt
FRpVaNf72lFFTKfWubJwLyTVBB2gU5SFAHKb2u1s5WowvTIzZROT0WmUJRaGBPbWCZu9fI85i3kE
2PVfJ0tX73uz8qOkXsv9BOkZkVk6vcbv0LkidHppM8EWAiexQdux/Xr+OVvh6ngJ8kgaooBdmdh2
lAy+9zAEuYBzLeYDOh/zSkn+QjAjF/rXoOdAptPWqnSRG0TOmLuQ+7I2DjRrwg5FmA/wuqwr+cBF
XcqUb+kHnSqyNPbO85fU9TmDb4MhiLsG68lBCx22ooNzuCkTRg9CRtZ19kHq6ppj48XI3AMDDQck
gz2zqX6fj5wHq18iahsiJROUgn037P20tsM6MdQuUEaA+Qnaubwri/f/4T7lqAAb/0UtA3Izt2/w
W/xuF0heqQd3VWbQeWEkbn5E+bpr06G/sq4v1pDLGUr6Q9JLZLzIEcYkW3l7HFn6TAbR2NT4BulO
tYPt+0WpYTom6J2ujHkZChkUBkrAQqJFw5H4/P0EuTasf9FHvoIUDnMh+NanxmYTOZLRIsQ9ZpYj
3ibwuyC0kvd12v90Bf+tR8JFLNyewbDoa+EgSTVwtp/LZlrgu2skY7C69+i/lrgurTRCn3ZNXL/t
w2fH8TYUDRe2zdYTO9fwD/YEdOtnQ1SOEHn02lV7vdGzyFzy5bVKof4vWWE8WHmZ7TxXX6/E4heH
J3nH7ppT0DiHbzUjmfkY9RCtnLLcrqTy5oTl85ijNZAyQZ+aBtWuwlEJf621QHJm+igz/7ykL8LG
Ngccvnxz/Zfl6vNPvmr03iGmDBExSxyMOcj2fT9oOD6V3sFqvKsG1Nv3O590wAysp9k/VDBn3zdd
GkfTzLonSbSzmCMubJMx2E361N8MwyxR0ZY0nnMFMTDo1HSoYQrEZV4ksTXBqu9lv9eMoCRDQkRo
DWN3chYcgaHgm7t1dbz7xZlVJGYa13+eqgtiKQHPoCm/7Qw4A3SMns8VMTXpyFR5dDSUfCVfRzRh
u2O7RJg7qQ+p7c7lXuIu9uj4lfoZjJh3IrjJhxoEuxHp/soDbZHuYi6hquCZjjyAzfL8gaC15PNG
awHenvFnT+oiohO0RqY1jYeyXrRX7lwsx6JsFcYmnfGtpRi9soBeClSY00BZ3hI5JAjPn8Er3Gxq
UgnEvqA0MwxI1kng9Sertu1jPWBAAbNp+vHnN38pSPw+6NnhA1SHcLxlUMcuu1tpai141ZqThGjX
fFIvHNO3r+5TXtP1sLytqf38BWsvh8s/MMlz5c/7tvazG5QvRlzLrP0AR3ChwjfL/UrNt++Lrn5D
qPg6wU6+wb22eQN5fQyzNi/gns/WyXTX4a4IrPRtKaDLl0WQPdSdu1xbGi9tM2h6MHHIJ+ElnR2S
fHs/zS183YZhkPupkebe1eriBqQFP8eic29av/Riv4IMhDTPONF2NuAgJ9fw65c+VYAVMI3dgPbZ
rzPntzPTGYeyG1Q6YBkGaj+LPIhxLgN71Q339J+vCpjfxLPtJjGYbM+/lBo8Nbv+2kdtow175VUY
E636EGfGfM3F+cKXZVsVm4UA7TACGa5xz8dyS23MBomrtzWP+DDS0N2lCIBvEkzGdkuau6FK7DJ2
x8E4TbmnDiyGIpqW1j8VTVmfELOirBpKCOqNhoYRACzUlZVdqSxe2J2Um78CF0kyTajnj6mydbXQ
fkE3nMplt5STHxa2LZGdiRQ3Aa8Ie3RxVxYfJTR/7VlgYrmTQFDobjKGs6DQjDjC6zqISqJaTYsJ
HK18bWqVwJGpKcUbtIYpLkfVTB/crrWt/d5X+e2EwLPYa3TBF6oxoZD3gWdjPp+2DYmmB/00pILx
ksjHYhD3+kChZUy71Xr0834YjyvatTcA7NaNX9vyDrOTseXGArO9nWpWYiTXdCj3gyZVcVx82CYQ
DNr6nSabpDq0DlcdoNRU09HIGuuLhdJ5uFWGTjKAe2SKHfScrqEOPo0CEt5Aus8RhByDsclrPE+X
6WPedFjrQUQX5h3s26UMTVfpT7OfWjIUmOB7u3yCo3xgXSVfDGwakHJ2U/ZTGkXiRTKnyRA6SMSP
BgDOdo3Bpm6sMHSnHbDgy0To0SjeytG40avKfsP6drWoM8s8jXJH9g9GkLTyqdWNYEJJb7kimqxg
/qAHpXnfJWlwmk3NnyLDHrMDqrKvuqxnbM4xhVdzH60oHjGiNMEAHEjLHwIdPuEemMRIQ8xs7PF2
RkL5lKFk0A/qUKHR/CxxBkiiGeUCSeGU0x4OoOt04bQ0wwgbWqn3Bs7Oa1SlNoTRdugmC9q2xuRw
xEIp6RPnIJmiaucBB9yUUk5IRrFUvEM6X32kd9pxD4VA+B6KQXPepcJvvg9W3qSneimyJJwdCua6
D+aHPOgEgD5OM0x3ao7TXh9wcQgNY8YnhuoI1aruN8mN7PTBDBXNzSHy3a6NWznOQzz7+FKGkpN2
jVLDh1yatYgVO2SbXZgJmwteUqsrQ+gX/uuhcBM8f3qOBbxd7OwnGfKyhI7HbSxGU8soDUo3wH12
du/m2fJlaCaj9w0jT1A7Z8ZQICzgHXm4YLR4T1SFPs+IfruUGbQLhTWCnD8a7USXy9MXPQ8bvXe/
43RFikZtJSKzECj9a6vz7nGKdUBr9Cn4kLVDcjS7dG5DemOoGDV3yI1QabPztCDSE2kAxkQPZKgP
Fj3pPuzMhM6WYbV59aCXjfmtVobXnIKWQouGWq9/z7UC+1BoDJ9XWVkqxjVgqMJkEA1RC/XFq6lx
FMTOYcV8KTCFmviAg56S9nBIHYYEt0iXBQzHaZHGQjrnNF8KKdNPYvINaNA+IjZXS/3H0VxSI2p7
iA0wSFGevOng+Fr0/fz6yyDlQAQJjOIzCARWEaUudeqUcXyTL8l8K1LpJ/sUccAa5bmvvpd2N59y
/RGLpmnXB7WxRhmaYwxN7dqALoxRxYelSv0Pvo5eMaShtzwCWdhNOHBXB3egGGr6kpaWd4eur6eR
Vdhs9QaO5ONm1b7gJy1qePoOp3pYJFl/hw3FHNxo3LPyhCYA/aHTLWPxaR2dhx5g9o3vo+UiiXV7
+1R2rnSPGHGOa8STcAJ4GRqH2Kog9OxqM6vfOYOifsbDvJahn/QTd2tMlfNplI2LPtZU1iMqMFMn
h5b6LnNmdpyF0YDJZTS2sEPcafaaqxAOEnvWb9ykE3zuZm6niPq693F71RMZ6t4mPjRWb1LMSMqH
xRjHkHHiZPVubpqFS1W6NpujyZtS71VjFkOBb7lOKtl583jvYkdWvvNLOYwPRWU9qR66tYz0ws0/
F4nrDrCw57x4lFg0iNgUy1pGZe8F0650/LKKhZsTC9LBn+ElI6s8SA2lf6ybml0cAUyraieWeX3j
ZeYA9WTo0mOjJwZNGW+w7mjYTXk8+gseIxlRDactS7M+olPEXbz1NR92lKGK0HF6x4ktL/WGuFG5
CkJRW/Xdwkn+vlzL9OsIrQDNJtDBU9mvE5J0kd9azWj+yFF7fExEU7z1pw78FaeK5h7/3LtuxhA7
L9ablk5UHwVsi58VBcIKT67GQGBop6YIPaeEy9x7/vJUTuPysVVz9nZkh39e2Aeb97Oabrt0GdrQ
sokv4SBt/akY4FHecmNK88DfXfxoeowhYk3J8o1fOrMbU6l0r43JZP1xyVCA6NjwuuOaWuZNVTOB
4KlW9woSIf6GRdCV6lhWHmLgyUVVGRm9Xd0Gvea3u5wgQt92vcF9HLXQ/26Rhs1tVYwQ06xSv+uU
UX21jCQzItS7SB4n4eBRnOFT8Y1vjnPyYvvDG/Q3xY0rZvm2cXR64kGQbUf05L7tzcIBIBx1Nm/b
F1ZFVPVdFVYZTYR4M5r0X6dKdRISHJqjcEJhlu65IKKY4sWEOB75/aJ/4DYG8WiMi65o7Sv7xDmc
lpHjtsk15ciFcoOECa+4jVj1Cw0/v9PJ0CXeC1ZDae4bxcNsmgmvY3VYqfjLG4fD5B3e/fONTZGM
uzCXPBhunsqwyaSGBtuZ3+eB9D9XuoM7g2F395hOmZ9X7lU6+U3tXUH+XsiwTe6+QV+ykdkBdp/n
eDP9I48dSwmPJ0CYYIEDQRZGQ+cUwRVKyCX0xrwE2wVdADNYaJ0BRDJbuyntufhHM4Uf5gmW9UvG
p9XLT9T6ejRMc3nKyv/UVndjhAH40Syj9garOUvspbdCV8DkI5JjIW+FpNKDtWB8Qnl+bFQgrrzl
RdL8azg8MeFwU/mdv2Wdi8Q3V1zFRVqP3I5lZxGuQ+oo1yq/S+wB4ks+FtfQhS0Vf5YzMxxco4BW
FJUF8OLzz6g0TMP9djObWfU6hqubPgaZ+34Ym+TDKrUv9UKtSxgj40V0jTNokPWnZnXlDjteA4Hz
2N0I8tsrq+vik2+PBcMLzAPTLpQJzx+rbemNLjpzD/+mf1oU1ikdncldNizB+xlzpDvTz5x7zSin
KyNfrOttZJaZjdewyX+3IuO3ypHbh7zWnluKCJEDAq7aGnFbQA0/ZfWvlEkX9YrHPkcFwvZBd00J
+XwoSMZjWpRLH1XBTGWfVHjbz4kI2Vf5vmjFdKVCeuHV6LJtpvbQmjbrr+fjjYMlMN7t+4jtrO9x
3cP/BTNJPDn8n3+uiV/4fLSZWcQwyynJzsmUiy5EnzfgyBVU+xsIOK9KNWHxJXra6Gkz1EfP9scH
rCm0pz+PvC2Ms/W8EcohT4A+8JLbLvvt8/leW+XZ0PSwx7rgyG6rD+7SwxpIrDlsles9cXsUt3d1
ebBvUy//+ufhX3px8A9a0R4yTYTnZ8N31ehIzyJm6M78zhO6eitmPcUBccUoAGnSKL2KJtYqr3zb
F6IHMAecNTYLttDnTV4umMggrJEO+PQnbsqy9n5gn0s1sK4Z9//5TWRm4/j2z2/7wgLe7GihzVvI
TmB5Pn9bLBXwKiqw95kCK+eCA2t4cElV95XW4AdluNMV1O/ipiSC46YWhM+KFTjU+bMdE+DaTorT
U5XXOAzMRnHrk8BEpStghruLvTMSrlaRrlC3VNceStxhirtaX+58/FHf2/20Edc8/FYm3Nq+d+7o
nlxjLG96VUAhdWjlaELv90qSKCz6WNzVtv95HBrnmCfel/9m77x25EayNPwue71ckEF/SzJdWUml
krshZFq0Qc+gefr92LPYVWUlKtFzvRj0NNAzrUgGgyeO+Y1ryfKpRJrhX8/1/2Ct/3C2UZ0PaBdE
1cYbgrb9xxF7Bdz602X9/6BbF/+Q/2ElWf9FU9/nO94CjW1vNJZ/wbhw8kVpgBE/mrTcH8y0/hfG
5di4/G7Aeu4WBvBkyf8L43LEfzHh2zgA//Ov/SPT1lcBV/hU0gw6gI/wh5637ts16Uq6FlWUjJZ3
q1aJcifiXbhZiGb3xz69+1eE+xNN9Or735byWAKUB/Yo5035loR7jTWPpcBlcjlizEdTBcYeggy4
TdXObgWR/vD2ohefD3YM/F06yyDpXn7/sZf5lgkvIrLMrP3u0aGK+k6naZSoayZpr/IUng8c2EYU
hFjNNOTlUl2u8UwY+kRu7dRfcuzSEFFEsSF4+4leo4m2dWivbpQ0Du15PtRgfIsHHJqrMo7XG7sn
bouhrH8ticzvmp6+FD5S8UczLirkgkTzzVFSPabGkpxMtDNCGmHtu1YTWEkiKzPtkVOxf1KRWXvg
nmTs6/jj7V/8KgaDYiRNYupPzxNDhu1G+uPC60Q7CXQcaypX038yfWveIcewoNy6oD2K+cqVNPXC
O2dIysbA2MRh6nwwoUZeQFYvVYTBnIsxCWMy+p/Zxi669s4vPRpn+e/HQ3X0/E4rshxlQ53PJx4H
Qns+tGjUpU041H15aFARvnK9XHo0ItRmr4AkKlnEy60UsY5qHvT5aMwa7SmVaYl+QtPeomFTXDtn
ryYlvDYyTNT4me+gSnu2licYJIKvBv3sGUsWTXkr4cA300OfZ6hxTql516P+9SDRRHyaZqCKYDgw
ItaL4R/n2vwUnhjEI6UObPLtNfxxgupBj12mQlgRuO1839RCe6w62R6LJp4eUBrNbia8qqhF5Sz3
bx/eC1GLsYkgWQJGg0XB2S4kstKSDoMv8K1+/4RKjjqhK5Lv3RIAnocx4ZOyZHtl0dezte2B/1j1
LGyhtVeDUEfzdsqHut4BWc/VwSNppsWtzPhIX4W+BCoxLXJdmfk5xejGPQgfVX9aeMBNwjXHy+d3
ga/tvoKHO0cewH2mB8hHPW8URRH0q5Z+S5Axw2kZTYrjP983siC+QVCPnNezj55eypzrk11Hyo+z
3xA4cQcyivLZk/30OGfDuE/UVF65Yv4+CC9ya/aNA0uW+fdN653FYHTeVzlrEivMuLXd57qn3Ket
G5uh3iOSdmtXdcHHmssFNZ1OWacy7Ytv/WoP2c5NhfxSeZkz30ydZqmwGNopD82looPhAQh7enuH
Xo/Ntx/rM3viVkSL4RyZVJf5vDpp30Q0B9y95dUzVsX9X6Vy0V8qTPG+ka62EzZtc9tcq4PeWkDz
m/IaE+tSEEOYAVM7xrjkAFvQ+ePrMvJMt8qlbCLKAgb3jo6TBW/I/oQomva4GO33tx98e/VnL4nI
QfWxTcd5T2cpcrv6dpn6BJa+aFHG8IA7LKre4JSjvpNz+osWU/6lJe5eOR4XHhQgHagSj2THBtP4
8kFx88hyW9JEkImPEqY1yNNYogEhNA1AlmFdG5FfWo/Less8yOIQDni53uRCDamhbQAEdMDsOJpt
PaJJKoG9jYWLBL5/1Xhhe4TzvTWZHQB5Majwzu/aBjna2JsqImVaI8jJBOdLVcjyuC458rpj3N+B
qZn2+Txrh1ZrChQujRL2YDUO9w5zCMB/yHAERgd3aTJE/v7tV38hmjrcX9DG+Rtn/iyu5QvuG9No
1JElWvUwiqEINbyLjuhC9h98ezLvurx+fnvNC3kZXTnG0eiabLnn9r//cbyntShFxRgj4uOqojIp
nXtXS9srUiOv3jUVPcgLALNb8LGs7cn/WCVvLGOSeDeGIxI6D9jx5Mxx85TCWihjvBI6Liy2FQUY
XG0vGrf3l4vBvjd1cB1+CHJ3+GBMnhfWY4kPIv4ypwGoePj2Fr5qWWCwQvWMugI9TtpBZ8G8S0c1
9aNkstaRIaIj8xVDlfh+rPr6DruE8jfi07gFkomcXO9qU+jVodlWR/2DK3hTKzonm0yLwFenIEDA
dejx+Vx+r+YEDZ9m48mvSnlXmkly5fq6sMObMy40WwxMSFzPdngpXJdkzvbR0VXiYZ1bB+QVasKa
MLMfqxLj/u0dPqPzUT9uD/m3Rg6IBlg/Z1/GbBfNWmMTgiWslh0A2UtUNqlR2nGbBBW1DjgF/+Wh
sytUt90W2YXVPzhTpxjY+9dMci8+PtcSvZON/3HeOsd/Ia5HkcahuyKLLRVS8BMgtG8ydb+QK1wF
bL3KNXl6eJSgV40tXp6n7BZigIMCWBLmsYYLHezlW0cbrQBgtHfQyiw/SsdjnOHZNEacQWYnQ9Tv
yAO0K+/dehUt+CW0AHjzwDQQAzx7Dz0MbonpQxxWXQK3fptfgT9AWXfdYVfcVQEWklUW5FgXZ0+1
N1fxTiVgrRkymguSWp5fvvd6b1BM/o3hp7b22MEDinBnQJNZJQ+ei9kHUMrY+xDHArJLRhJZIdA2
gCXwh4RmUcPXJaMK+V9AgJiHiR+r1NOPuRoQQ69GB8POKU5bINSZwiiymKoaa3rELHeNU+OYiOmg
z/xNmztA5p6Kzag2yz4ahNdn73FkUccq02tcCKlcmIGBRHLwXkwhKxcVwOIrt+6rKwn/BiQVLXYU
lDCN25fBqp/MuVYxc2yEPoY7NxNT1DNF22FGU12JU6+PLUuBuqa/ScEP/evlUgbUz2ZJujSy4Wce
0HFfAvp01aFYcFhUYMKufLWvDwvI3y1/Qytj62yeXS2a2ZtIduYa7XHQJgnuvAHaLNdiw+sNBD1o
cKWwFFWBdfZU7ZohAjdQS2qmqKLOQdocwePpgTmcf4VWfHEp2AIb2FlsnfiXG+jPymuFPyNlUnOa
umYEoofhQNh7Zn1l7y4utS20IeDoB58tFSuzdUHI0ySJHaRbZN1ujWF9J5run3qJUH6QftGCoN8N
8PCcCpGPnS7yFAUEIVBcD3LfXnaZFi93tNcfpW79fjuWv+axbevRVDNMWldbB+LlLurNXHRARMho
CwC/TLsF5NzVB24WLA3y4VbjmO9TxHQJaAhDZlTUjZ1GntIwtM1S1Hnph3X+GAyDrX/1lsqGvuua
QCn8vrORgHcHbG06vHmxsMLmUBzqfFYfZomx0bGzfbCldZPqXrTWLaqKbz/dazA8Twd/A4Q4RC3q
u7OKOF4XgzkNJeYc186TA5fuCavpGQAavkX8YBUlzDSOTm7eCBTA75NMu9YDe52PbAXENkjgdzCY
Ojs76WJPlrlOWignB2+rektW01bsc6zUA1oj4uQ2cb7rDPjWJQP96O0teF2eb1sAA4HnJy8hDXv5
gt0Ux14yLyQsC2+L2lTZIUYj1i8BNu5+wYsOKqIS9ka28SLUkn6vEuwaeDXYXBb4OJpl6pdeIFek
+eYI7cXw9+hYtjJU7fgBXL92l/tgn97+3a8TKX62v1HsiMbQ2s4isZ7YxpDr2BE0LVEeQYACYx8j
RRYzHXER0VHj7xmVvL3oq2qPvUKuhLwNUVbmemfVXon/Ce6vSRoNDEo/xxthw2VaHokGwAkovfU0
ZsCSck2lV1LySxHG36rabUaOiePZZwiUIiZRAh9fGEYFhEhg/Sxj78a0q/JK2vC6lsdXxdi0RXB2
2WZ7ZydSS0VWLRZbK0oxPqSpt76rgFKd3KkAF+PQR8gKkR4WoDsfwFeizO2XLhIsnbxyNl+3h/kl
pDCYvZJR8fftffxRiOAriW86Pf2wn0vjtrKl9wMjiXYNiBmrt8OefIgsvxkjHzGFMdTWMr5Tdnko
B6f5PkyIrhKG3Du0GXUZTRbypO5gDACJmvpes/z6AKs6vvajX+d/249mZKZzMF9vn2+s0KW3jjm5
hH/nm8uXJJ31B7tbnxPXKfYTToVB7K9WJBvZ3sdp7N72ni0Pb5/VS7GNqttGLhIaMpXGWWxD6d+I
xxFt9xGHIDhUNTSMypvLvQ2p6VOuO+2TJej+1RKvgpLEbdev83Lli7lwbv8OrkSXLR12zkpJVQu9
BVILJQ4RKxxNyvqL1EnDNegon99+4ItLganFtIydp7x6eVi6bhgTPx5ivEU6EZaWK485ijERtLhr
jdSLSzFiQ4MHwsAr71xcoRrmnwjuJ2jyg6VdzQQOl5J/IbR/7cL/+9N+0QbhI6DVs0lAQUrhv18+
F/hZtGhK/EL8YRUIPQPwvm9Xq/zZjwhTuXTzGAl0xclQmwUJxi94x1n9U00QwuLCGh+NZhU0lbPO
vHJ9XtoGUgMUCij2BO2Il7+sMFte7qRtIFWR36fOxFS6HDczI9e8NnF/PYxmTrDlH2j0QNB4RdFA
QBiZToFbedktBb4fmioD7s2tAWKUR7Tz0+Osa000Vm6Fq9dqR3XWzgfIxCZw+E2BTbdHDDLQQD82
AgAk7PR0iRZEv3faaKggw4nhwc7m9V6khrUDmQvguB3MI00oM8wRA9+hbb6C5dTj5ErQuJAE8I3y
H2zSEW48r1GT3qQSW2wSyIQ2ae8X7h29Cx864EacZ5wA4nM2mXGp3g7KHjDa29/OdobOzhgDAVTj
+U7Z3vOKPcnk5FuI3oSYRAGFHjV1bHsu0nieH2obSvC/sRxHhopz8zQ/P9KdvWgrxZlG6VffCLsE
o1FsuRbSBQdj1ndvr3bpQoM4zEIuigy0mM4uT7nqAh83VLrzYcj2Ha0CbISd9ISVsAhbQOZVYCz2
+HFVZfM5cf3qBArXOXXQ0a/UJNtKZ/tsYiwKKMiG+kkp+fKLQU5LjUvdczcosd5sTgx7ycd6ZXsv
nCYkuwi30B4RJj2f89CrRqIkFmk0IjF+LNY0eYc0CYhlKZtQLuu4H/jRwTKsxj4z0DB5e78vpGZA
6siRtosHBKH58iErUxs9LMmSyGyEsZdr4uP/ZnhB1aVWZLe2Tusj/cfihcyQUe3nSiUks/DZooMx
y0YfKZdbI3Z3GWaAUdmU7i6eroai18jRbS3aWtsska/lHHbUCU34fIlpRHBsjtIwPq+K3o7fpo+9
ZmQ3ueibY+0tXmS103zToXGy43xrQcsQ5GjN2YqBS5XcFZWJC+BSfFvokR2GJHOufNYXAjSNCIeK
fkOhgc94+Say3m9rMTtJlK2TcRhqslTHTcofI8nf/u2X/lr4kti8qUu4YhOfBYJyttbsQ9cryVB1
TFZO6IZDS++VfUwbAdNUm7CuyYryOHq9+W5u5h/IWRd3Zu5nuzHW5UdR9OtB2gCBJISGgzK0MbC6
hk4TuOLvY8v0BoM7OkFzPbx7+6dfCH60yWBfMWwDAXneVO+Q9LfM3MoiIOm/zV6zEMhIvZ0jVX6o
/X7+N14KBRdVtUsDBOrey41aWxpVUyOyaJ4rj15kjONFx0UKmLvN/nnz07FAqfjY0SOUbpyDHpE6
hGxQQcmZ614/eNZMRlrm3qmu6P2HnTlcg/G+llPiHFBMEuUQ3ibGnT0eLVhN2oAWIoyijIMa8ARy
e4GWth0fMIJ+lF0Orh37kVNCThE0CAM99h1cyz5TeB+Z5kATsol37WR9ffs9X/oaqKDoh8LDppdx
Vk1Atm8WrzCzCGdSb5+vzueuFXHUj9CJ3l5p+5POwjyQho1jD8Z8m/O/fMUaAKUVRhNtEMt7dNJB
/hiwt6DvUQ93fmU4722X4aTvauWVo3zhEaF4070Dg0XSeM4IjTXHilHvTCKtwnFqnkn56z5jSIj8
8JWU5eJS6IIgRYmqC7Obl884QOgGqdcmEZ5OOCjhRXTrpDa5X19dm3VeuDXprW2IMybL6IFtP+WP
MnCJmbvCpE0iLzHiezNNzPu6Xq8q1Vwo3KCU4ndBqLQ3yZGXy6DomyJ3uuDElmbidnTqFeU5vz5J
I8Z9MJHqHf3EL+5c+dgzV1n3KYfnyLHVjcPbx+dSwsJHy+Fgf8FgWmeXmYn0nZjQLw01Y7XvfKm4
N5cKEzKfDAX6N+DKWFK9LrV8cHIkq5HDi/fo29RXfsmF0EjcADXDDjNIOA8fmJJKUZlcIEtbxwc4
RG2EwPjvFC+w29yQ2ZXM4dJyFIrgCHjLtFrOSziERFTr2jjKti1aSC1pOMFrCNI19Z6L3suuPN6l
M0zvbQNKbkY75/u8AnKKe0ikkTORYhfxZp254BhlbFbFb7/Ti0t5MJYxZPbQBDsLPlWL+JKy6Kxj
LLNGWVx3ITrp9vt4Hq4VExeW4ugAVQGaCIzrXPICFhsGdBWGHqMp1iCJ6dbBAC33KTT1f96WohvG
YvTDUCL++zL448tss8x3K2rRCN+6/tEUuF7gCzHd5TAR//kGMgdBJQV2CLH1vCslW5zRnDRD8hOR
+RZAC9A0iyEW9okw+q4EtwsR529WAmQBeii8sZehAGkFb0WbqojwVG0/WYPZ3uK6ei2uXcjTgXPC
xmcYvLESzlbJsDjURdYVUR/X8rDkHrJgLTC/afWMyKsF3UXsyGE5zvIp7dziyum/8LXBFSAtIAvZ
4Llny7ec1sbP0Y1bnHQ6dPr6fowz+bEd5wHSbR5fOSuXRgnoodPs3jytgHtum/7HYZkZvpSmgRgV
xO7uZ8zb3LdCIT8/xUykkTCKSm3GVxF+WbQi+HRY4hJvXbqiR22okHxC/TXE/7TaAZisnnJQBUej
mx6aeL516YAEGLd23wbDTw6dKZJ36TAbgWVP2c+3P+ULh4OOJIrI6HjRlDyXsDcq4XemrPNozZS+
L0ute7bTQl5B+74WvTJp+VA/bfwGsALnCXW8kKwhe55H/aq3eMHK/FkvsG0uNF1P94JqKg7KRHt2
Sx8iaaae+9SRTNFJpdArQRgwT0z1zz9CmnhEFQo8uuDniQ3O30uTlrikl+WC96yrJXfJ1Do3mVd9
fnuTt8N3lkIRVwiVpFB43Zy72InRVRUnpohwpnduqKOKE5mIvmOEYe4mCNt3sT3kB1IQ6/j2yhc+
Cy5/Jl4IjfH5n0v2jOi7N3bOMzIBzn4PcEp302Iq9BTstj+OGCde2dRLj0qjnc4WTwBw4OzWG3DJ
hS66yWyOutoveaMCYKkQe9MyxZ619d7HasVZy0rq9//Go27y3uTESJ+ctyOKwUfyv2aToQTneGYv
03PvLd+Q9Z0PyBC5p7eXu3Ax0YemFtkA34CXzh90gQhgoYAYVcquvsydnUAVh4Ssp4P4/fZSl14i
Kb5OzrJlUOdKpk0FHrta9TISU+Wc1qoyvldDKd8pg9mz6ZT+t7fXex0TSEtpMgHKYlbhu+7L2Ibt
WIcugoYYSLYWYQNs+6FXq3UlJrzewJernEVsKuOiqkvwFJ0ojWdVVXQIjQrbq0nPd28/0OsNJPCQ
bHM1gZGiNfjygQwNSe20XKuooe36hPj9N22tnaNfufZtWSlx5Ru4MK3YgA4MnCgeXRLNs/WsyTba
Qk+qyCvSEqcYYALYtTrNg77JNg6yj+F4l/GjPW3l45yMCZdjkV2TiX39LfIzoLe4wCAAMZ03YpsY
Mz648jw2fZlfcTPbRzUXW7i1mo/23I83selrh5Jeyz/Gw4N9A6bAt7iR6fD3ebnjqrKYBHksrTNT
3KF8YRxWL/VDTDmSK6yCi7vNavDXzE3z/rxz31tNBzajrSLOrPlraUs3yHRvirqmMENS7hQl/Lbc
m/SL0Uzru6D3q+ZKnL30yYBG2+otIGP0gl8+Lw4kg5f4E7hwTJoBTNK2nxPg72+f48uPyngbkiXS
v9QxL5cpQJODMQQtmbU4AQ6Jo4LSUQ4zfazscnP298siyh0jgeXgpTFoiljEf739Iy6dqi3hASBC
kUHv8OVv0F1Y1JikyUjVykfSl3quAmpzck2UtGJrhjJu2kukL0gFvb3ypc94c+Qll6PGMV7jbbBt
xRZZRkPhLQ92vvwubWSCGBHlTri6YroSNrY49/LaZnhBUsuwhhSBYfnLJ81LJDMShGg4xOuvyVit
Mairqbqb08ENx4oJ7JgO6TVa9fanvloVkM/WeWRIdJ7J1snot+jXVpFvMY3qY5KxIjdoQEq7uB9H
o8C9sEwObi7FaWrBoLddWR+YFc6/3t7uC49Pj20jhW2EtlfCdxVk2wxxNqxBmzENkbXoH5bUdKIB
gGtUYmwdOk6+fH170QstN25wYAkMgjhhICJebrpWeY2jfPgJ9KXBdVa+VlqhtYrkqXVjuhRKO9V6
Z48QRzUXZknjrH2kQaoYgs4Fwx1IXXVuWKya+qZXNhoH/SSu4cu2M372jpgEG76x2WyAQz27IUGV
6WOuA5de7Q6FJ+SybhB3j+lmDPHvKxty4Xtj+sFUkii6aUyKlxtiN0lvW31eR2XhTJE/lOMhm2zn
h1yK7t6dkWhw244b2s7UHQaBK+xs9LSzdmg/MyDLdo1LTxZ6DEbb1VKGdlLmYZWM+R4FoGvijJcC
1DYK4+iifmBz6b78sUsxSLqFkBUllOIwHlb5VW2/Dsej7OihisLl48mT3XhlVPui2HeOdY37dSEW
bzUZsxp6eSRoZxtmDLG5aviBRSAupgDFcTOgMXIl4P/LR+nsDGzcJ+YRG+nPPKeLp6vRj+Dm/RDl
YFndJ/kG/i2HWPsrz7X1B2og7kMvW/UFPNizluWKJFzTaxkgIGDmmOyKfn6iSWRat8xyQb4JB9fp
AIPx7APIuGUI29SDiJdTF1k7rc3HD3ozaj3o0Ekbd8YYe5w9v5cJujjjSsrd8sGOAd+P0+0Qt8Lo
Bfxi40ZxKsqZ0NGLfqcGpU/BhM7aX76zInUjimW+zeKi+54WY4uIDPhqAAeFeujGBGePZtYQGmJq
P2RRVmoOrqoWA0ispbnUGeJqGYaw9oR5RT12xU/B/RSHTpUYYC5N3HXhpi1Tnh3LudH0aHRXoFYK
MGbS7By7890feLP13o/EQJQQsnusQOjtShqvj0O8JvF7LILQBdkks0btKc6Yih69JRP6cUG6EQaH
pFmLrU3v5BOdzKVue2Sz4tnQApteq+lTamg6LgCEhj7/ojUeSFR43HFbfUJ3M04/1RSixFTX7dPv
yVIjF5PLNHlYpsHNvmiGUq0dzHhntkekm1vrMFhZ2jtwcqxC7kQxGNMp9vwa7e1UZsmn2qQTTikg
dQzx6tj9gpZrW596fL/AXnQasjJtibOpNOr7Fucnc68t9VihvWUlZcTH6aw79BXS5pjrykzvQKJo
1TGGRV+/L4ee9pTwC7zGsLC26Bw1MVYjTpxVBZ5jbvd7dvzECiZJzxw/Q1npt9qUrT9dep5fTUUn
NgSxspphr/cV9ugTeGhcafIntKyWfJeY42SEqb1hZ6xR1e29tzKjummWYXisGoG+GHNLmnzL4rlT
MNPrwUK90bpPplG21o3TmWSVVmq1zxlkwE+jxIw35KTKR6PXtfjIBEe7zys0uqN57NyZmFRAOEKu
C1m6fungZjCp+tD2o9kGqMiRm6di1W89KKM1ANFKdwJR6pCFKVta8N9ISAWupEQ5mBnmvwdraRU0
1hzdlSBDVgC8o2EMQ2AuKTIzxA1HBms3WU5o1kA5H8dsnNV91xl8ns3sHHyN7RxGgYNNLp5Gfm8H
gjwfv/sYptmHNKbJdexbLUHWI5nEb3zf4o+VCbZ5r1U4XESQDov06MkxeyyWVaXvVrnQC8tWZ/qr
nIs8CZwxkT5kyXUSN9JwE3SF5ikb91ZmuPWmK5ihmK+M5oO5jnobVVXBFK+xMgsThNlp/aMtbbfZ
lYtpHeTQaNZ+kKVh7tlffTgIyG0gB4e8S8Mm79dhP/VG30WNVo4M6Ltqym4pB7p9DNZwjbwJYCMd
zzot0Hkc27+AxCcfkWPQFFbpDAVOjYlTHJKUhvitZWVxC2x0mW5rd7R8hKUmN92NxkobQzQ2xpnS
y739ahTZbsrnRg/KglejdYY9oARDSkj0kygOekZsmKfc6rPPSnflO8+ru4/L7CFhjIFR3H7UFq36
MVSySyJ2akb2cRlRVUtgAJq82Lq+LZPWMPa4CjnmYQLttX5aDHcajgp+hAgwX8icoMwxyy0r+juB
kJaPwPm4Dj8TbLTnoBmr4rOhK3cMwPtrZZACzUXRqjVEES7d7GV7LVaNHejkucmu8HXsdTu7Hr/Y
cim/mS0ig5zWpNmDHMiTvd3OeoNrsO1+rLw+fZiZFZOfdOa6BE5lsaJno+MVKWc1C6BOjXVndHL5
LSp32XzofR9Bcqg+P3tpi/SkJXnxl8hsqwwSpdQPp3Wb+ZiXJdEuLxXFooT+8T0zCIkoZ009imQM
77pgWQs07dF2i/VAbKKIh97y3W8dE4EkqDPpGUFnyfqH687LTaentRvmSs9RKRq8FECS1f2EqKqK
AAMLeDaw1evqZHJbfaiKBglAr8QBPXD9ov6tRt37ao22d0JEYeQuoeSRga9ZNJyavm+8Q7foSKYk
TjX/cAS0SgwjNfFs9LPzkKRdtjyuQ1sNxwGNtg5Utb4iB6cP6Pf10kBuse6TG6n3MBNW3ShRpE3N
2dhxFyikbgbHuzVE5pR7XZ/zOqBs6vsIb9WsDsDUib8aVAE/j4DlH9zV8ZKw8ir1PBAl2EHfkbeg
JjNQQqPQ3uNMyXhBX4rs0auVtYToantoZiUWkSsBSk0Y4rdotlJ8SpXdPapeNT+8zLB+L01b3EJ2
Jlulz4nuHbAj67ccTfOj2WU8V+JZvbZHx03/sBYqcUNhVivDtm6tssPaOrzitU1MbcdvReQxTcb1
HWzZ7qf049gOEBr1mmNhNM6x0yZf4ixFsA40ZpPTDucHlCFalC6++laNml6eYCIVWpWfLkcm4gJa
dFlUN5WtZ2mYaCiqHVPbrWWYoOmPylxjjtmuVFy1R1tbBOKvHp9vUFtqiCNXIGdQ9VZ88KdFO3jd
pL2rGqM51bKcnye3mu8yl7uKmIbq4w7gkdffK3LU95v4kxNq6NTlODLEEnNcGiVekOdquTdhpZuw
8iffjaaeYi+YNLcqvmXr4MaHGaG+IvAK2jYfPOS96tCKc/821bDoC4rYyR9tRkJ/6X0d6/zrmXur
p17yzWoyfw1c8KHOSUecvAlkaUq5s5xy/TmLRMpbIyNdOVVrl2GGFlduJBbsFOH8yCKJksrqIneq
UEizcrmBgKea3FpUyUe0BOtvgz7pLhQB4u2UGdrO6luOPJQBPpIKzfvjkBgKTDNubA8LFO5wrjM+
fWTzkK9tnGm+81UyapHb6IkIGiFHcVePVNPv+0JacySMucC5bl24MZt+VHci7rNfwsPn7Kubzsb3
rMBt+3PftI0brmtfNve6bGMs9lYrffDQ8CkP/GJ83hamPX44uPX86I/V2h645Ji/+CORNawGzixZ
pptjO5DW4oG4nVr7tEaL8c4vRr/7qq15mR7QzF+NO6S44QsUSLvnJ9tO68cJXZzvrl4kv+goNx+G
rrMYbK55/wUSU6J2a5/PqIi0tvEeObksQqxgsylrPSsq52r6y0bOD/V0sSRHkuHJDiV3545Cs04i
twI5sjfNuXm2nCYjQ9RA8Adl7HtFyFPCY+jVVDyPfq8PjyV1/63LmUXiVrZpFsaKGowr0dWPo+9/
p+2GiDV58iqC2vPmT8ZUNirMl8l/rrxWEZYnt/2WKJj6sPXh1gVYUPpm6BdwPxi2FMn3uupaKyQR
gmDGiMZsIi6/+anOHb7zLEcYOtCIt90Jk3r1xS7V+A5lXFh5uSWmX7bRTR8ZPnltIPMR79th7b/l
XdbLaEwx8sN5tfjudYN2m2OGOgCp8sUc+Su4v6hrx6kNdWQWv8dknHVkaEr/Eldm/R0xh/6Ws9Ti
Ipvm7gcJuzS+FcUkbnWxzOYJF/q22ldCtPKGscz4AQMnBrUyzwVioGqd4lsD4GlL5tRz5VG1+Zuo
qjOaO2us7a/e1Pvp0eD74r4uXPkp9fRe3SUIf5Z7Z+lqtceBsPqtms42wzqmIuQ6xVo3EvUMa7gD
kyKjtG/rPASzlYgwz2mW74y+wgHP6U348r2yGJcV/mCKKK4wxZayI9gxxvZUtM6xvd5jAM4NZQ3F
+07q3NX2iElHBW6BzsMgini/2J1HogE6cc9IEYgBQqsLoMsuCX0bgVeQDY2nArdA5jU0FqGdqFOc
aTcNwigRAdzGleZSp3jzqQkgO+DkrrsdVN6agRBcjwATYRmCPc/t06LF+eNq2w0i/vkMFypTotR2
iPeUI3exte5J4FfSBRTSp6BRc/dtmvryI8Jli7wpl2p57It4fMAQFsYTU/ylDe3eapn9OPgcYgDY
u8EE3vAR7V5d7EbHVvyW7f/WmUtp3dh6sz509azafUEuqhN7PLJcnXE/pxDmz0GBRBV7m4/pw+wi
+L03sB65nWmXmbfsm+feF70LB4exT3PIPZKZg03uiOTqpiYXwHvCv9FFx/mR2akh0BaVFlmoY1GA
wGmDmMht/aUrAfmvBndVkBiF/NSaubxX2ETVlC/xAApz9soQXL48TXVR4lRY16UXbkPbvW0VOqk/
mKoyGKqu645g66CXikQb0RlVMKRTr4HL3GEcjltr74/vB9HqP2boEdys5qR9smJvpokL/rMIUydt
2ofNExTbpWbq50+2WmeAWemkfS5RmPgpASt0bA+GvIA2N3FMZdkzDAKzdvekqyR1qEzkH2rd5dMT
TruEU7Ek1NHKNpKdVLF+i5Bw0z+6ymBO6sWamWKh7JVGWMympwW5Doc2ygbaWgEgv8XmFlmLMagM
GE74M5UJNlj+VBy5WFUP7jotn+lxrU9+KSVYezZtDqxYIkTrU/zfuUWp8O200Ug99e088VMmA/Ag
ovSmFZRCaS1SRpA1ggqb4yYAs6A+M8SdUyjthat2aVIUyW61SCa5xIr4Yc5a7FGMeHUd/sGM3SQ4
z/UTDUUF0YSAUIf4hmaK3tlCyPRnWBVhWa2FH5TuhucMepw8wGCIZHwu13oe6K1U+rzXOp/UBJvM
8Tnp69R5rNo0r7hXxi2x6nP8j1tjMcxHM9My+FdQkg4ysWLj4CQkv4ECVckzGZXWOw+Wj+cpWq3I
JR3/k6sOgY+kyaJYOsn7QTY/mbj5HgRIsy72/+kiPkm/nYILeZDNVG6dvFMSV/6/Qavj+NAoADfE
X3AiX7a06KxLLS5AoNCmWPR77N6ne4vGjB3gHMT8lMlrSvLJaLO705ws/RSXeTcdGmAt10ytt5ni
WcvpbyQcsiRC2NY5uHPOtSVWdVJE9J6am3ESHmmhnJDPha6pmbF5U/83dWeyHDeypel3qXUjG/Ng
VtULADGQFAdR1LiBSRTlcMzz9PT9QXmtSoFgMzqrV725djOVmUA4APdz/vMP3YBLtMHzmAwxX4Km
17nV6fVh4mCJRsgk7Yi2jc7oykabHIi4QaF1+rHtTTgl2Inf4r06hrksgYUXW/9geaAzo1veaFN7
MfLnDHrlYRBgwAIwf2C+vIFekeVRg8O8CMHMyDEx9HLQA+zbs+To6aReBl7VRu/shZ6cTcRoPml0
UrzTVmH1WMkgBa+I4BZBrXfaM1hQ+qIhGLjAqjiDzrlJD9QcihSDsDOLprj1sjozmiZsaUnf5dja
4Bpodftc4Ksmm3a158Uu6NLc8Qz5BO5cqRx4uEEaB5g8fVVjPfXwpmZ7GKrW/hwZuBNiKvkrbmLr
XefimrwUtO6ZmeOxzrZzlyee5ueLV9xhZqAeDXVhcB735YXVOKcAcl9oMejEqVyYRW7moY3bDCYW
JnXIUV29UxyhPBIFCtmJ7f3dVOIUYaU2ttH4Xu08VeTktaVLOKa5uLoApq9kw5M3eL0TpvYo3iF6
GcYGnzZUqcVYPGLtU1jeZ6vWJ+DJzg1xzHav3Y75vZHaxrvUmCtOXamyi9er8T+5aP0ekWJD7DII
4YW7euV1gde+enjgd7hO+U+fm1poTeqSUhpWaZrL254N7TBZvfowGF72Y7ZK5RHdMU1RZvSwzmez
wAkmTessjHD/0nd2FS/Xi4uPZwgUUxeQc1tyttNusE0f3wrx8vYNn+1D6ypC7jCY0PA8t8xczUrj
sfLGKhxZyumqs6LIfjAzT84Pq4hQCxo4LjZ/Wni1H6WyTYEoexwR3r6Ns3kgt7HSzpn5arz4262A
KJqqhuZaMZ+rqDQ1YphvmqyS10tbJYcEW/f5whVfeVB8zqvjyqrBR2h9+qD6CQeJuPIqusfE+tw2
9seyWvJbV6JMnOqhYuwiqsM//pVMwRBTw77mBHL102sSh1KaKeGS4VwqmBYmGRXpCkbRf9j1+JlT
UL9wxXO2FgIjum7mfpbN3GlrK5ML/OU6auEwaucYS1gBjW1v2C34lpFhZ+43/azdtHRhru9Rn3/G
ITf9aCl29agVlYhuCEtb+tui0fXvby/GK7s/ToWwpzWm36sF5+liSLi2EFvrOtQYSLyfHWSAxKCy
ncb6dMnz+JXXCysqrEANpBTng1gPKExhg8DJLWmGR9q6+SPCF+Y3ueseiqWKL4y3fw+mTjYnuBqM
zNCvc2Jgfrq+fX9wCs3Yit3JW7cBIdV3Qi1RSFKLIZ03iwaD+nFye2vH/l/d9AxF6sChAUooXzPl
qxrn6r3B8CG/MOj6bYZ1dlerdwe8NQ61bf2jtvTdxRq2jspXjiTMV2m7Jx5mUXYePRVzh4UOwS/a
ptdJt6+zFwyAEFd3okwkdneq3QYNnvcEFWcOHH46Z3zglgmXn71MlTkNZJskD0WtZtJvDHv+OmXC
ItBCn5R0TWf0ntQW6yx/mqvlJsOdhH1Qs7srdECe9BdpacPOjtPqwql19qrxNFCM8zCwdMKGdlP3
zVlNmsCMY1fOjDmYSx0Lh7yz8Coe2wu8jrM3jUtBtIKKuOo5ILGcPvi6UbNEFFUZ6m7Tf42hVgf1
zDZqZzmdgMomf2EfOz+R1yvycZPTyIbGzzy9YqO7GPAbPVfsknHHoDsNzKxJd26JqDDHSCpUalf1
Y0iSNBJVfyzmKCK/opR/s3f+kX/xffVSfCBx/KW7/V79+/qvPpfV3EgRd//r9C/bv/9avJSr/+/J
X+wArrr5ff/SzI8vbZ/xr/4d4bj+k/+3f/ivKPinuXr5j3/7/jOHZSFb8jmeu3/71x9d/fyP1ZmY
vXj13OKrWNko6xj8f/55vX/9w3ffc/47Ty/ZS/69SS/+J/72Jfb+Wk9XvjXK7FXstlKL//Yldv5C
kwYvz8aPCccZ1IH/5Uus/oVKHN0XTETm7hTc/+lLbLl/4bFLOUjVs7qEmdo/SZg/P/p/87pWbw+U
tWgCT18cdCRmPctYC/qlBtdEWzag+GLodbSZuxBgFXnHeK61YCGv596tLlqMQCTgEicb0uqnuYqC
TM5EA7+M01vo3doi0bhXA4xyujxo9TIjnjsbCeSuFIrc0SDTw/ewCdPDmGSnB1F7RCoVGKx/seMe
/xwd/XPLPwE8AVt0sW5pqoYxcEZ7YGzjgkQYs1b5CpYDE0Yg+qTdYE1ZmT6kqOTZ6CrmaaNm5Gno
OrH22FBz6YEhnegDqAhxroS60NJ30LVvrEGmxwxFoxcMeVG8tDTLSQAEVyc7dyg7OmyrmD/PjhNL
v3e86HnoTGg/ap18YqYFd0FbVHNvLSVUFmOI29t61KJrkejjs04W3m0HpfAnSPHwaXDj6anOsvQ5
mlzjgI1NHDjDABEO880PdaKKm1qvU6yQhphN1u1rAlTKaQpEWY5MZoZVY19H6cuydEyuzBRC2+04
163G6E6bniVIE0iAVxIJF3tChQNV1yzTDGZ+qNuu1UH3VxJELrMefgCgz87t1KkOlmhIpxuzNew8
oHE37VA18qIN50WQwtuoDcCuacdKd+zrOBqY1SdF6ZeJNjGuNqktbkRsAzeldR+RIoQF5vtZb9Ic
O7aoJIpIG+z+AdVgVd3CD4CWk9R2Fe0XuWTzbgb1NIluG6JkfWkX/dBMvavtZIbR53FeqPeCLI1M
50EvwH9v4wWBCUFBaiVuSCnrpo9qvkj6BDXrmcW5ZtfetY0Wf0+xaFjCJHHIh7PqeH7q5gUAo6gX
KpNImdSQ0nX6lEQ5AWhmZnvDQ42vNtJMBSOzK1vx0q9LXZkv7iTkyCifz8rvFGY8AbMkjQak0ixJ
wHqOObZrT+pT31orlrVAdN41tqxuVjY9mZKOjjsIPAPFIDUhyz8hpcbAkaa4a/bwrmPa5MpUH5Eq
4HeER5CVBbZXlt8mpW7sXcMEzzoWyfgAfNo/6ozh+kA3sfgoIkJ4JsEQCpRKJARCeQBDrZ2bP+ps
6BSOfslsOgF7yQJShJiHxLIphvd6siSfGhhaRljkqQ3452S4EtAENYzDej0f9j1+/CDwTMR1rKUA
23aA493zWIy95cdz0r23KwDsPRQuWe4blzgnE3VjFNaW0z5Kz2jcAwHzCRyI1qjEwUznPmHJxtg8
mmPPlFSdohqAIk6ybsdbpBl+Xs/Zd5MYJfvCeXpWK7AlQQMjrgISKNq6zZY0DWbNSa2rxAmU+tdY
mbX3kP6dI0bARvjH2fHw9z73plv7ein2PSwAkFToW7arYsNYLLJIDQBZwcEZWgWJM84I/FX3KAZ+
2iBH80LfvBYg2y2Xh4PZ9KoSQZJ5uuWqTuyAgaU0dkQ2PJfR/J35xXI3Yi10U5ZFEVpLzKzLcyb1
v7GycKhp2FcuIsLv0yuT/CS6PIWU0uf2fIjmJMeur1YggRCG8fbKrr3/2Y/kuIWvzUHKGXt6KW+M
XawFK2BdvS1J8S2BWdVG2799lbNaj+eHCATPOKo90MRNB+OY7NX1Eut8tSYfLcostCBRsa8rqwrG
etYvgHavvZqEEkBkXYWt6Hc3v2oqFgYxEn20VeS7kui2fVeV86EtLybvvHqptZxce9VVUnN6KbUm
04xcGmwoCDTcKZ7GLEA3FwZETvvfWUW41gZgF+XXVtcCpNCluZPpODiq8RUxTybJQkN0PUWqdj9a
hrjQEr9W9ngkSaGfAwsGCj79adVUTKKYKHswrFeDUWhiX0SyxbRFqR76Akh4rse82DF/KVfCSXGh
N/wNkW1fTpp/eMg456zE09MbYGCyMMXy1ADOXHVjQiw4Mqua4CIIF/5KZl/3FC5HXS9GP5s8bZ9C
mPi6WIlGGGnX7ZPEmg8ppY2MLXsHmYSBJtAx9lupgUV91FTNjxWke3z7bX9t42DRoKur2gqgbzaO
FOCm7GMCEsvE1R+ULiL+sCvs8YAUbXwuys56rKyxDIa2IXD097X/UWtxK5+bsi1/dad9xO9a/b+a
jP/fGhDaD8LyeAf/z00H2a4/s+/Fzz+bjv/81/4VgELOCQIzNlWMJaG4r1L0vxsNTfvLUTFCgtjK
McNnxpdclE0Xr70PqSmo5jiEsCYxf2ejtGX/+4/MvwCe0Sd5CM1s9jj3/6XRwCiet5yxC3Z4cIm3
atzI1tpy7Eqi86ZUfbYVrXoAA+k+A2a7O0IyEDWTWQJJMF/qm3ryxn94GkBeXjdME6vuVRW89dlZ
DGdW9WaxQzNTio8Vn+Uh1ov2wsH6+7j+87teL0MfyeNEBQybeHvoFL1SF7GwwjnK+89MDJUPGAo1
9yU1NHny0tKfjG50mFeoq7dknHfmh4wGpPaHuoVOV8ZqJw85xDEjNFobBow2lmW7A4wRz+rvZbKb
bMYUbZo6tkvZZGTRFZKZXqHm2q2cs6ULBTP9hSD7TP3pkUQAuWoc4idkMxDnzGxVJ2v6oIkArixG
AhXZwp9NR3i3DomhxCsaWBncTUnb/1SlxHBaH8u+DS1Zat+TeEmevD7WzaBsk1Tc4PU9IgCOh3oH
Z0P91Lmy7PxOK6n4HbQtnp9T8NNK2FY+XEejk34w4CFqPs6qScLjRpDxUM5GlqMoIlnpuHA+2ISn
pNp10zqpCXQytRmD29RYAk1m4mquK1nugIebO2UWcbtLMmtNnhfkVgb/o8gqC6JVQ1MChfWhSKWt
UymO5Q3G0nXqJx0iURRFiUxoW6S8JM/eFgS8AXTufDC88XTVW1XLoM6lQd6wEdbAd/jHKJoPMZqA
X7MAGlPlJeEi/f5pncMF13LAAmPkvQMuOD1KUO9EqZP2KJSXqujCIikz4mKbaYh3llFR5Qvqbqpx
U3n0KPJr+IepjA9dHyHY7Q3IKH4tJ4HsJ52TL5bVxz+MRTiJr9o9gcBIM7Vf6QxffK9Qb+8bxUUE
qlaD/ji0brM+KuEwum5b5lHT2FyJAeZHQFebiQCORWn4babU3j5KqvgqcyQzKtdZKaCGV+NuZWil
8qkd2mriAPO8PqzrrrlO4SkV1FRzH/llJuS3pSiTSzGbrzwqzl4MAoiHcpm0bQ5hb9bgtWCGFebj
sOzizBQHmU3KXofkeJSVp12o3X4Df5vdYT09MXNdGwvMXU8fFdyb3spUocGQabqDnOrpmJcKhD/L
KAEmyHyJS7uiC+ijzxmE0Z2CY3dQoeoLu8p5QBuWXEm3Iue6iJdwgMy1s0VuHGUi21AYRG7EOKrc
cQK4/pBU3heXLW8XOw1GtXJIyJ1tC+xQRv22LRx98kmW5Bsa4KmtAbc708qJei7rdNfL2j5EaSRu
ofyre2Kp6x1M8YsGr9saHUMYHBM4tph+I5DaeniIwnFFsWCcnReli5och++bvMggr0DjZvbfdnP0
kMl8sHeWVEGbAacLzDXTnM8+N9t8CosYd60wiTR+Ba16PPll2QsocVUMoaqAet76VjX0N7Yw16Ds
igghn3ZTv8/lpMbYdbbQ9VG8ZfbujxP6ldZu/fBOnzYYu07+BZNjYNnt+NaGLkL2amaFFT/9tovU
YpdafXFc0kK90EWezRoslpEaHUIDkeF4ZW82gZTbaPppUcjYUJU+jFP06X4kDOM+a5L4yWrbmo9d
mSCxxUb1Da9rebMYlbHrjCLF2pz/1S6cuOvLfPrz6YY47YExOXPpj05f9nJY3LrBp3fn1Pj9iBZD
pYU4LPZi1Ib+kJr4J1TY611Y9PNXCgc7xPlMqDWq6y343hUixcqsi3fmgBt5EKt9+Y3BEz1m0lXV
nREpTeWrWEukIZ6tBDo4qdsGQxrD1+5Sy3yX1U0lg17vlTRM3HYhujyGNuM3iEIY1enCuje6IgGB
1FDL+r1SpNE79F5kBrU63D7CxQ3xGcYeW2iMIfYNSobM8F2Uf2t8hDbc924K6StrORLJMjXkZ4iY
zP8gxifLzlFnWw11R/bs1J6iqD7on/mJ+qwor0xFiaQvPb20+Tn9JI/J3MsjDkSEfY2ZqK6E0IjR
SeIMwg4lxy6vLIYc7NzLAZ0skke7GcpvIlbyg1SExTfDIXihmzt78engiKFaM4ERUtEpnD75aMLU
1hilhw5kto+VI+sb7lB9VBX4PW8/7rPZpsW1mBkDg7MKnLeba9ldCz9hEkqY6W37USG09YgmOf+O
VQ7QcRSpexA+8Q0e8Z22KPW+yvtlL1yrvh1mDFsk09gLvd3vFvzkxeeWcLbl4WMwiA30pkVfHHMa
hG1HoWkq+m2CBYwaFAXsIYmE4l1v58khU+s4FLW+PvWhMh9s3PAurMxZi8nKsCwYU60zKJyhN8hE
wjufKlUehVlvRD+rAY+BsGtzNQkz1YRUQART/pGk9+5eYH7Sh5ml9MhVqroOehzJieQockh2ozc4
yKP6ujTCMZvr/QyfoQgq8PGPydIvFGiVmiD4z+1LgUln4tH1JwCNUd7g724DGJ2+SEAaWKBinRmW
XQQCL5eSuA7cpnskbxDH+2BpKnRLfGrmEJodzkVwPi2j8BOxCGqSST3oLomdrSmUfO9gWIogjgH7
pdGys67l5pFzftFWsJPQRm0PdrMSs2yqwQmdQUUlXwzQ2P2xaWYlRNI13o/RKHXwUs19sMzCgq+C
6O9m7F0z49Ay0uYwJW6CVmBEWejPsde+m5IByZ011MztrdZNslDR0IUEsmuqu2xuiYfGcaF5USYN
JmWlYMIadvpiwYylYht2qtfChWy9qug/omeaprDv4/jJVtHFBOx27fB1FHKKb5EyUZxJbEXuIjsb
QaU7/dmESfnLI+Ze9Wvqp56tWjeZaFQIK/aZ6mWL31ZKKnF5sVyyq7zlQ6QP00thcGO3loipJwdH
Qf4wDkwq/FxQUfhVg1JifXWaBzPtoq9L4gyPbVLHdlAs1nBsE5u2YYEy+JXcPftnakzti4boRd3h
KwOf1ln67HsMV770Z/QSSuAIo5PAHXlmHbrOnW3fUBJDOThRPH0RMjUfbbPvL5EIzwpHWhCSS1a/
dbBbHAVP30shsC2iZ1VCdr/2VkaGElgKJJ40bour2R71C9/ya7vcSohhZM8MG/Bls8t11ZAUcs6V
cIis5kNuxD+7MdJ2fSW7fTx7OsH1jXVc6q4NelxMPojZMfb0Ae2z1Tn9PtZq68I5u0XQ+DTXrBHO
2XVvIW70dAnQl5iJYjcKaU+auc8qosGZFFhX+oSJoTZ7PyfGio9aa80+DNn4woKc1RZcnYktDDK2
WIQmm73NRW/jpbobhc2YyyDRyHOICm157qBAm5qYrwxFjpf29fPynatiCWGvWAnuP+5Gy241Ct61
Ck8hFsToMFMZnLTEOaCOp7AhVa2FxcwsCh1CNg5HLckRJxJ70TwNSZ47PnCqYx/mQlVuUpcT2u9W
1m9I4g5xxeoizSeFvLJkVY64nwoDKD7NEtUnwrNtjxYBQaO/mM2qw40TFUp1nnrM2ZTYPrLAwLSR
5cnHtE5ETMKzVygBdOiWbJ9MzSmBwVVI6tRTKO11rLVPmkX37xfZ5N6PQmk/MgY0XzoE3+87SsaH
NpUIzoSbeARrJFjcHyrMSN9n5VDFB0dZlp8Wmyr6c2tM78xeiX/0mYHkVEsRdUHmTCg1xi6bSnyU
E73ykTRnt9qomnLvSgZ/gU7CjB6a6PoTHwZadm/OYzUdhjEevzWOpSi+kZvqt2h0E7IFEebSQsfl
+EOto15CHmncxxnfwR7VarKwlnbVPy6thv3aZJT1Y8moD7Fw3cpvFZp0kN6kAh7tDVuish9d1bcR
aSCZqKR1X7Z9nQQQ45YmFBPwmj9mRQ90MfeT4+ulokgkmDY6qnqITJyweyN7h8Sx6YPUcpQvMpLx
TwZZOcQ4PO/uUngmX+izxpEKsOxe1IEwOr+3p+rYRKr1S0sJWQqA6/KHOe7sj1Vfeg/M7eoPreKM
n2bPyCvf7Jh7B+SpFMhkcKh3/VFXCDjIK0V8nlE1cswNDB2D1uoU4WcAD6BIsmw+x0pjw+kh2dIK
Om9RWobZhfuU4Auf+gv63lvTQrXMKJoSLkR9qR4quKPptW3PqnrETjy5Tx1wXJ/oIO2KxETCJKx0
RY/shn+VDAO3MA9vV3Kv7KlsJhQWOFRQNm0zfvIhI1hJpnzSaeN+km6W3rnjGlLVDPUBYMHz377e
K0Xq2p6sNpYMHYjNPd3AtMHondJqvbCsCCnEwA9RnRAZYJqtXKiHX6tjOCioxEi6gvO3tUvTpVDS
0kKhVWVm+TkVy7SbMs+6LSYXDUsya2iSTTe0ymS8mlcjkjhFRbin+W32tZX/oKBs3xdjLXew1/v7
txfilb0UBxeWHFQfyfrWjsooTWsxk8ELXSQy3pFZ+LgghFdaGkbEYdFO6/rC2DFsFZcs2167NBgp
akZMWQxnO05wm0zLDa+JwnhO8+sxt/t9C2p5BfeyuEZoXR9jZbpkLfjaYbp6UNp4wIDCnLUnStOS
lzplUchWLsOlU4e7vKvrdwWZzr/YD3psb1CIkchEtqrfCAb99lha117V2Pf50BMHSMzxhdPllfOU
t5814L7W9Ib18/iDLEhDpzVkNysYETjms2y6MahY+KAjm4PkncU75rkbETmf3DfZNH54+x1g6MR/
f1PBgs8zy6RdYiy1jghOro+/j0yXOgpLYadyrzWL+l2kfTv6Pf5h83HwkHOHtpVhg+VNboQ5eIw/
3vtajv27jq1mgjpaAi/g2eAEs96X38kfdVokPari7V2VvXKcbFTAWD8541fE9CIPkLsaBEaLJX5w
oib5UfTDgOoGROc2MzgbQul24ouk8i53oymgHJfj5DT70qvtLwB6y+Tr7sTxgslYSxACpeotknVE
SmIp08+l140okKkjjECJu2T2xwoils/YWdwMzmB1OxhboEKejLprDZoQmqReZOyEY4LoQdHKyV+Q
V6FodC3n2WRy0pBGrBNJRGIwFa2Ca/4tQBmWFogoHNtXB4kawWksqCOOA6HhyFlJbJFUB0I/vaZO
OLkXzw2JWnSbIPPq/tEwEpU9OteVF0b/yQfAf8LsRhM1EMfWOLxzHUROaGNHM927EZm+Vj6JMRh0
JY9D7DTaCuMcLyUMifYfO4y6tL9b1mKhavaccd8ycnkQk9EP/Bi3I6WhdMZnnoJzx+gBB92oqxIT
glPpfsdEIK4PQMaLdqWJpLUDhnyRvs91iJI+uTRpvVM7AYbC6MKFPqnjuOBboh6+jXmWF4fWkSnH
vbLMe4iGNDZSQRyWSQXu+EDVWPtYfmZWoKmF+X4wmmU62qMy/agVNUHoPDKtEGMdPzpWOfg6H94+
mq3uutOL2xnY9EdFQPSvHGlQ5WtqbYkdttlleZBu7+BKMqtWfZ3PSPfWM3MM7dItf5kTZVUgXXza
1DnrQkPrcxIQB0LYmQEbvtWshWxTRMR2oL6avw54udzYA6f/YTA6+/tMMWr6c4ZQXqv677Bi2/v1
CHzWFgysAggMbArSnhgs4GrfMLeVNfKQ2Z3NJXQU2NW+gX5R7KZ5UHa11cxGiCgfrebQjqILGLCU
S1DbmmJh6BONbdhk8WCFXloUT9xXBrFTxgjmNWVBD6qpmJbc4KHZ6vsKdONSdf3aXmDAkHVhp2u4
12zqXJE51uTOK6ZiIlig3HQwCBjM6VCukYoKbnhgevb0Xs0HC2IZYtwLzcUrZzNuP4zFGWVSCmwt
blHWJ53SpkpYSKu4toZSuxXRYgJ8xRe8EbcDbQtyD/W8y/EDTsnFTre9rupa4UycveSPNx+LYWyv
uqGod5ocxU/FWpoDwlNjP8zC+sf1B0lMcC65ATS7f2/If2z4GNuUpgqpKIRjuVyxP86HrpvK94ur
pheW85UfCR+Z+oNhLtybbZIcEmLwpgEYBeuV8hbxN+r0AsyhQ5h/j9Ozx0OM7f5Lm2Rf3z5Xzos6
fqRN3DXE2tXJd1NkEfLdjxq+jARPJ+RMVJjpzn2J2VtsMkPiA929fb3zF0dbCbUeMY7WKrzZXA8B
vClbJXfCPofknWjG8mCBr7xvNe1S3tp57aLhYw+0D+5DzvKWHTOj4MkyV7FDGHKgaXWnIUquGH/C
61Tn5KoVZXxIyVO5UEy+8hMNqjRSMFZxmL0FVxPZCC1pCB307FG7wwCRkj423U8L7+iFLvt31s1p
UYDFLJXrmlGJYd7Wu84qBqH2ZueFDd8hiA+j2emumiXGTwPGG4z+su7FwQRSHmTh2EvQ0PmGlDHR
uOPuu5ioSdyEoCsKInbxB4ERuWgunhtpXDTf//GzB+2EzLayIEBgN5+yU5Zsma4TITRLxltdS5dj
kSlrCFt9acjwyrM3Idm7xJetucVbz8Q4QWGMgyqGGg2WZDqihzAt+9Kv61G5Kzp92PEH3aVIq1eA
ZdxpAZYxhKdPIsbmdLOa8YZdSLbzQgOoXxzIzwXszuZcoz9WTIi/rlJeMf3SOFH0Tn1vJFQ4fuLg
avv2Ur/2+2nUXHzhWGe4dac3omBWqOEGFIWLDdyhaaPxWICXfDXyZbieklHe5sxN3r990fMZF6yR
dY6CwzrfOPLy06s2YH2mnZYuXVRV8yLxce2qwoG6ZQz5MZ48hNCViUs34YMIjcmZz1iYWP3UaKK/
9ka0Pm/f0SvLsOY2wS5E7bf+n9MbqgSWXdOsu2HjJeWus9XkF3x6UQADCV4GMTLj7eRyqXN9bSGY
93M+mubvyLH1vv44OlLXxQ4Z8vhuYXh+8ByaWMyE9KOTG2W8N/A02Vmtbr+3shnqc54sjeaPdm1/
wHZhdUNpowsHzPmeRGMLv0ZDWUUXt1UR4AFlUEfGcmdOmL6leu7eTW76PYpM/entJf+tZDndkphx
8u4xFeBrRzp2+tuTfnYIKkIPbwAG7ce8hRpnDO5D5ybGHTG3hBbMuGkMhKplqOSPnpLgoKLWxdHE
IAwFjK4dizG+6Ttd4LkUV3PgpBquK4rU3muTnAKXuLZ38SyqG9zj5s9v3//5K8N5CD0Ev1ccJ8/Y
IUs1oHKUMt7FWlMcmjhf9h6B5H4zJMs9VocL5nvLpQS1V/ZxuI7khhBtzNlBDtLporlymBk9wSLQ
htm0QART/VaqGYkZVTFOaxy1hi2KYabYjmXprDtPlhDtTx1vO+82Gki4DBpvpK+L5hF3I9gAzhfk
uDI/5L0tvMPba3QWrWnBg2ZrMVdohqyerWcoI24h+pKmq3VIl3VhYzwwx8DMZGb8tJD4izytK5Yj
BpjaTtdGzfFbvOFwc7O6g8Wu5w9DkTxwbmdfKd/U25HVuRm78V7veveBicSlWfe64W3eSu4YGMVd
JdHkH58uMI7NLgm1AsbNEuf7plCGF8twlwsvz3k1BU+QGScsPsoOHNlPr1LPLbPMJYp3pVgyfHRG
bIuWFAWC4/Sw92tB4/X2ozh7XbkMNG3+h2BXLOc3G73jSTjh2ZLS/kZetI6chz2Wjz8KozL2iSuX
+4gUmEsk8e3vhIwDIscIFVxohUI2G30pPTfuVI0AxEYhGW6cxWHOnOgIKQi2mkXz9Pav3G5fv6+H
yTzTRi54xmrNJLh84Xgksra6d8vSo4HOQLHxwdB2b19K274pawVO0/HbC1jnDN+8KZSn02JLqiQx
Wtp9DEH44AzkkWW1fG+7sbWXXqT7ac88fwDkvhFWDoMCp4qjaqUOQqGcv2cjgXj7vs6XnNuyOVoB
J+Gs6JtXK5s1URVTOYZuoky3oyjVIwLG4mo09PYQq1r/j5d8FQGQiLpWzxrixdNXOS9wdbGlg5jJ
gBqGxQ4YQjSrsB+aL2//st//qT+/TVZcW4ezDBRA/UCXTy+VxY1XM7eZoVC51AITYAFpmgtQSB3d
K1M/7Uq1cqF+a809BijPGZTBwEhaMFqg8YOD8aEfGdxqpNpf7Xh27jHZgUbl1PWN5Q3iClQvfXQq
UK7UiCNQa89jfpDbF1Slr7w5OloNCnGqTtSCm008x1xBbbV4JJFF7Yt1FISL81jMv95er7PDgvUi
YQKYmm5x9SjenLB49BhdqjFQz2t1uK7JlwlGo60ZQltq4HiivNf6VP8plxi3HysSO4aeJV0saVCd
uagfrM6YnwgScpmOIk5iiOJc6r3OP1gH8fx6dzqtF9E7p4/U9KJEihRPeJrA9B3c8+6oNpZ6PWWq
cXVhOdafu3l99NXLgQxUez2LNmyONjHgt7cYoqTCJmle7SxSVtMuVJupwXTKqrv7xkp+DTinc1Q6
9U1pwONXOrPfyVl5vnA369W2d8M2TA3EGHKlGp/+8njgH1YXaG8WoFkBS0mDNhktyrUhzSEYOk0P
yWuFQUwnetcujXgQi5bt376L9SLnN0HcNxxGMN7fzJM/6s82sbJYBxolgUjT3s26Me0LaWPujTAx
MDtwNSXRQY+IzIFS5fRP/43Lrwp2Fc8AiG2bD9rM2gh5eDGFGpy/wU+1hBpwqLrATayJqHjS3uUC
l8UaK1yMFUf553sX2BiMNl6HVV+0efs6G6v6fuIhw3StflSOVx2MCJXb2Nf9hW/+lW15nU2hI+eR
86Zvtkmh9S6cjnEKzTb1dhUTwSMgOnhUDQ3Mi/Xu8PbSvvZhra0VSBgDbgICT1+vJMPcj3DqKawH
b3qyuQC0IKO7SWBcX/hp6yptX6KVBbuabyDO2m5nXa/mcyRTTLr40LMjpm6FH8OSwtVSzbqDMcb4
4RvGpfzZVy6L5o2ygvZ5jSDffM5OhnM6gWOgFLXh3mTIZ3ZRycQNZH/50FmaJDHevRSm9cpjpK5Y
9X3UtGCqG0C1GJH0iVQAR4sKI5UUN9uwMlYbW0FK4fXST5cCrX7XgpvlBZhA7bCCb1Rvm41ihm6J
B9A8hNJUzfKTcDuvOk5R4cEANGq7xAlsSl8K/i5iv7a9kh7xM8zqZQejoc/nH6y91e6tLDFTBgqd
KnepXo0HzIP1J/BZzIdT/A7vmCQQTgHijoRq7OPh5xLL/luvEr0Gb6DHx0XxFLU6FJbZXSVDzLRf
0YQSAbqLwcXqRkzddaJLcEkxiixAIWFeoF2/tvo4cDDZgo3HjrRZiiIuGxDtHrP9aKo+qOV4LUal
eoentHOdmTBG/vE3hPcpCZsMNQHNtrw7XMwHmFcZ/CdiKL+4nSPelfU8fjX0YbmQlfLK50r8lAsS
g75nhb1OP9d2rEWMOZuJ1iB3Pxh47N50qlUc7Ukrf779q175bmjv+UnseoAO2/kgyVPLZPdcqkJE
f9NZwg21bomvk0yOe3ht+jvda80Lv++1ahlhAwgLS8k0wtzsR8X/5uzMeiNFmrb9i5DYl1OgNpf3
trttn6B2L+x7Agm//rvok29cLrn0vCej0YxkqAQiIyPuuO6CVuU6RkexU1laX5+QutUYjd1GnfJT
hQf/PVFhZzPPoL+WiGMfBtLl0OvZjIRVdu9zNgPtMptLtt1nXqkP93Wy8MaiY05R/9Ot29VD6qQH
SIrksQB1DwpG3hd2nHOLvw6UkDAzxIRM8ONzTqWLsHhg9hgXcsYV8X24zspaBJ66RMdWjdvnIi+X
+6+f+GnXgDyQQS1ORDhi0aNwTz4bUGdMcMhaC9EOqxumXNWtHIy/cFtBikhFD2pQon9pY8zB1xc+
82u5MDsCR04+19PDtJUV2FFGvRbmAvrAgurlaYyNvzUOZLdSmPbBninYfH3Nsz+WqyHRWFWzp1X1
yW0cLXPWayZLXYDzxha76gtxgyfEeCClG696ZuixxnGd7deXPvMRY3TIxDozAjhwflrnViTesDRa
yMttvmoqPIIZK4/3yjTKCyKDT5WV9ZlSQF2fK3uDeXotpVA0xGCuSj4x5C2Uyqa9MoRTb5IOAK50
7HSPzaHwpTmqHU2hZR43kSftp6xrjFUrXjvZDpaBtkObhXjZGufqfhG6Tp+673YqCMpgasb/VWy4
3ra1ViBshOWrPujk/W+neTLIdfEWg8xhxXQhOnDbmyI163cOKNlTx7AB47EU97Ag6y6kKueeEJ8B
pc31FEA29vHynaOLPEVIArs/cn8Y9YwcqksZ3rHddH76+m34VNz991vXbRsHLHovpyEv58wpgI7y
Jk6Wt6M0UD1UTasE8wiPdyzwy6Czol4Zi8vslA5/D0xzm/rMiOkYyhfDBVu3c8fBFY/DzCSkP25o
DYX/SfaJ+UvWdqYeark9XC2TOz8sHgCoADGHGsxOEe/hP7jvBcDAazfO01sY1c27KHTzsYwM+0l3
QDOPZk62lUM+qnpYDhfWbI1/J8kOZ1WIS4y/0Yk/7cVZBvv71LdQli2luXOEa18VvZXJnVkX1s8i
79TDOMjG72WrhUmHB5JqZErgmlP798KtnDkuEirR3ZNz2azZyatq6BQUantiomlZEHR3nTM9IsaN
W0SOC8SS3FH2OSX71UwkP4411iNURyBeTfq7mYj8Qlw79+oCFgIhSe+EFOFko8pJrTuFuQk6eAaO
avBbfAbbzL3SLNb/IY6h02fQyWG3+HRWSbQ8SxyPhwDfJMawwB12IP3yQ9lQ3rqwyuttnz5wroEc
mmrImld/fCn1uNLi0snIC6Zmvpdebj8sol5Ja3W2R5gyHPrUGsOsnzVEC00GTTuejohwu50isngz
OEn5/PU9rd/Bx1ti7Igv1mK3pCX26ahm1U1kNR16j3oa7wdKnBumf0vP57/Kn01kZP9zUvBPgO5g
jslKUEj7uAZenKPyHHtIP5qevbStfmyKddo0V0EWl3ga+K01yws7yKepEgSTjLdYhBgiAnWok1go
ddhmYz7OyEYh2oUMaDRbu9BqH3eJ6GfTVT/jQswbNRZYB+M0ECRmNTOzQW7IpNRNlWKMixhI7nBE
yv25qey9KOnX5tIFkols7Ap/G/PCq/mpc7reNQ57xFQ+TF6ak1xmtOfCnZhGCjM1A74DepuPcHgz
3LnbtY37rbNyZVOprXkjq54ZAj1rLyzceoWT1wNWJpsEGQbmsadzSroByyXr6EUNdZ5sZKl7mwT7
m01T9taTFw3lRp0wASHHcPaoyKMLceDs5dlCadIBIUOE/PFlYR6gsnNRLGFSQL/30d4ZIT1kERgG
WuyZyvguQ7Cfoynr2utx9LoLv/9zUkdDiPwGr2D81dRTlambmfYI/HwONa/s92OBp5UxKB7YJmd5
11Kv3eW6c6Fj/Dmp45rWqiPnjWVaYP3//9m6AHtrckDUF3Z9mj4XpX7fR279SPhV9tqUtH5H4SV0
Sd0vxKfPUReK3AoxXZU9nPhPLhyXWHQwwa5iv6LJncCt4sh4KVZuGERdyE3OpHRci1eal5aOGeLi
jz+yF0NXTBZWLIYLmt4vES4GNKPKsF0cMDuC0gLvExQRICEhmDF5GE0OEa6VLDsew6+2r4obYFo5
AwVTfOW1nbNLLO9FQvoHq+tmF9bmM6uQbxG8wtrXwSEET9WTG5ZlVlPDW0I7UdNHJgKakBobHVGb
RBSJoBtt2xpCAlj76Di2oria8b05VJ6VXprjOZNs/esIUFmjqYyUY91n/vOGZHUe55mEltY3Dc7w
bdIf5l4dN6ZmUFgc4+Lg9kb5e5aduh1GtA5yxpkL99lVAZNeem3Ova+EVOQE0LDRvZ08Sq2mbRy1
g0phUxe3stfqgJWw9zPorJ07lOLKjXB8xi6w2n+9eZ17YdfuPRoxZAXQwD+uQwmgZHJSPCWcuBy2
UrJjkwsPO+wfLk1smvypk0BIHGStgQ0TC09lOnWJn89qa8GYrBQPdLvA8FViev76B30SeRPxKbat
51dKjJwZTj7BVk3z2e2zOVQwgnEYYst/Yh3gHNpKhcGn5M3WUGM70DvbDroIHanfxAmW1ovdhkZX
JQ8URxX/65s6EwNJTjmAcZjgdHtaiKJg3449FchwiZcGeHfbHqxm0m+h5NVHGibMsmiy3nx90TN5
CUkSGQnnPhpHp/BfC5WllabVjLUeHrMYVyVXKT5UW3W0nt08vQQbPpcgQLqkTLTiT9YBzo+vklH2
QGTtdg65FyikuB1tcJCYtxQQUNomwtvDa5MMATKXrZlUQ2ds7TY4M0VbmUdjBdmkNQKn7/oA44v8
yZCKtZN5Xm2mChougjgz8FpOnF8v05k2IUNsTMSoHBL5t9MzBOmrs9TwBpAMO/p97inLQY1aB7Wy
qj+Qv1TvMUpcBMSlet0rWbWpZJrjpgbEZFKU/kFNmG2PcTx7kB3DXmor5RZBxkTzLENxnVlOCDW3
9xcnnq8FgXGvOTjsxkt2yTDzXITVKXayGTCHSKPoJMLOCmRdxxhlyJwDjTujmSaUULbQX5FlO4B2
RjT5vqPgl3Jlq3H8ayrjFhpMXPHTkP9f6uf/Y+uefvP0E1D2sxNTwToJsyXTJTKpaRhZY88SlGTj
28FN+mMxdtFmgEqLMj6dfqMGYUKKwLEhuGJTNDiM1I2M1NuA7neATaIN9WbjaJpT/sfslOSVTMne
1KaWhq1DemkX0tzRhIW5gqHIJu+m8QfB1v0zxMDzR7d4jIxRvH396pypUnLAQpNBM4yOFDKCj698
OrZOVs0qXT+7Va4SA8mZokzqz9oqJvrKaLX1uS6P9MO9N0S/fQs+C1JLb476VSycfOMUUvNVxn2+
X7izdWFPFp5uB20qF7g7kqmTKGi1DriRRsW+OWljd9tjDHgd4xN21VKJf/ak59wmUab9aAevPlBH
GX9oI5wGTy/TK8werD1Txf977RSFDBUv4IMqXsSfFFyi1cdmiGCdKUMDT6bD3upPAimixuLIxMo7
rZ1SP1xYiTMJMB8qBF4ku3ApTssYVqSZVZVOapgYsti3nVLqISwWvCYKam0ehpRYqCkzVo+G0n2z
xyR6d1pD/WZqTRuYIzOVOVM4T0Y+vlRRl2T7Jh+scGzHeutFyUviArr4+pbP3zEpHQc8HYH4yVcM
ntGUhlVp4djlTRsCL0jusUCQx8mzv3VSZCX2qsqyHxShlvghlt3/4dSEoheWFRp1pCqnvgB5BmCU
io4WmrUdDyuxKb9mnLo5euP8bkB422bqsJ6+OblleF1OpTp8+3oRPm+Z62geCe7ajQTWc/Jp4ay7
0Aj0YMuOiw6XXhO+jSrtu70ICpFTBAKrWsZLbYfPn42HzIKDA9GKct9pbzJhwGmENiMofUeN4zdL
NPchsBC7Co0icV5zz6aZpwqJV0m5YJ5KpO9mEw8+lGaBQQnSBU2AVVwgRQlh6+s1+byjMxgBWh7K
MGcM/vVjuBFTY+CqZUB54btntN5zh2PfILZuZdf/9LLx0vH5c8r28YInUWRKjcWLensInWyYZ7/H
pWG3lMZyIVqd+12EBIqNiHWQkZ5kDiKzBwvrvjFU7aLeu7XmHJQSb3LaWokfoeG9kPSe+1kMPq4P
mCIShd2P64h7pAaFoB9DY+zimxo20pNuyUsJ0Znd2IOfx4lhVQGu2dbHy+h1hrFROYzhbLX9ts9t
psKnOIt8L47kPSj+7n6xvOgeWodxUzdxGaZGI26yNr5wHF4v9HEz4EbI5AEJMHnHQn+8EQpXiTll
3EhS9lWY5T1WaqLvb+Zlbi/ErjNbIjVQtJAQyciqoP59vFbMEJS+mAVr2zGD0VlDxPRHpvzA5d65
GpkwxsO7q46FS90FmUp2GLr23amU6buoG+ewCnKuVXe60An+pxw9XQJOHUwHrNxPUvGPt9UqhmLE
uhjDapqXWy8d34SWm1eZWPI9rLro6Ew9VVlvep+jGAKubkXXaQrDOcDOWntJ6qRgOLQZvot2+FUm
wnjqgVLz02Ay19roXFdGYu8gpw/B19/8+QVFQsCwEAUUcqiPd14n0iz0ocRLb7XkYm4/zn1J+n7U
HdN+VGyGTaCnmcfe6sdHtPhOYMZ4KzKDyAFHqbVlk5XM+AoC3+7rWzv3GVHyxVmEaMmLddKcjJiD
izqPO5useHD8JCod6QNOutSI+Fzk56cjCl15lBTzTs/qOXSPUWeQBN62Oj5PY9EeZD8+wN22O99p
inzTYjDbhXXUVI/esrTbGhHzwS6LS3YLZ38xxVeQHBblNOfk5Qa2ZsIxpB2DSsv4oUo9ujVw1LwQ
5s99rhYyAv4Gi4rq9+MTb0alYqSFMF8VQt0IJXJCQGhq2NZM1Hz9CM9diuajQ5XMYGVPv1boBWwi
iTOEyuhmu3qavLU4k2yi2Gsu1AHPXmp9fmt/hH+erN1Qa3WRGmD+1sFDzHoHsdETPQsQ/lwqp5zb
Txz2EYRaTKpAYTtZQCE64D/sJ3MqjaOuiiyM8rgKDDAzqZ/Vl6LLuZ/GngyPEa8HMH8nnyjNt6oZ
FHcII8b+gqguu10n2zjUujHafv3A1h33JI4BdjKJAwhByWpPLoUeEZU7OMBQOG51MKPFC+IKkGDB
AWuvx9h/lgwEbSrcAi987WeERURzwicNnrXm+G+Q/D8lM+zbtYLm5RCqbWoEaq+Xhwh/3F+Nk+sh
1bxopxsZ599lyO4HVb4Upevsa9ih+wLHhOOYJO7VrA2/WviKrzJpVKxK2ea/w06o4TzYyTGZqMNT
RcBtcQHcuEsj99cMXuV+6mwkj25c3I0mxVwGlR2gGF1r3S/GYB/1ZMFUB+xt6M5F8fj1ip95uGgS
+NrZytGrnSYL9ew2PXndFJpWau+WtnhtKmPZL7F94UKf0/5V/PD/L3SyRfXAj/qJ2ZZwsisQTXm7
l/isv9tLWewjIC3fNbAEHEa0Egyddcm6Zn1xTl8sA83SmvRSpTsVLw2qaCfAdzi/Lou688ax21BG
VjAVUDrfVSv1VsF97kIN+5+6/PSq2NfQyuKoij/TSYKp08cajL4dcdqwkzpYlFk85KPZvCXwjLcS
kktI3aD3U0fBUc5uWx+UTrYbilxAPNGHhFsTRpjNDeN4qW6YD045TNvUXvqwaWdMKQhkUKDsZuKX
VVO8yZym3PEVyx9fvybn1g/G8NqKhtbEb/oYc/KGLrnZJLQeNcV+KixRbYx0UDZx7lF8y6QTSnb3
CzvFuYuiBYZEz+7NhrG+Uv/5JNUBwGrmRGPoFgYTgUn9ViBu3AjGxA5RC8YQp99Lu9O515QCPnq6
tafFkn68ZpT12DvkCsmkF1evdj2+5F3DGH4jqmsFasgh1Rz4nYCIjzkeJF+v8pkiIycEhDpooJmB
o5/18eqNO0VCs8kFWq3U/8JsRZZBLuozsWruhNW0vyAklLu5nq0dPGLgwNh8+sgO9S3nutsiWZT9
NOPYSK0OJwoaqb9BOeHCUSATBGmMtL5zXRF+fdtnNqT1LEsXEn09p8WT15yuZxGPGGeEWdkXeK53
8naK9Z/C6eYrW7b97uvLaefeCwchFXOT5Lo0Fj6uEhXwKFNaOYaaLGBCacn4mCyUAmfq39+zKauu
8WHlg3JMHctgVwtAw8VvvaWzruvBS06mtlFaNeGEFMcYwHYwYuOi2Xx9n+eWxUVagryE3igCjo+3
uRhqVo8QtUKtnb2dl6hV6lOaGXzP68pN107/+zmI0EZdDOX6ajp3cr28bBLNG7geqbvcYMey7CGZ
1VtQTsP91z/tjHoGYyOVJheSMpJ34+TTzKoFsg2k71BJpbxSSzXyYdS6NQor0BC9a1EBpibv1waM
r5j+MUO8pnfoXEjpvELRQ8OjQ/Moexk6Hg4TU9dcQqOf6ZWs8hB1nStAGf2pSqjrcY03Jzc5VIq9
HeHtbkFVddRkI0/47tIVYdnM042DP/G1KNTp3dQLKCqpVEJpzCNSoNa98FL8Oxaf7AnI/1AarFMO
VH/WDfk/QS2x2oK40wmENBzTcIQcgxQWJXoCHXuhXFUnTNkV+BMp3jyPvT2jh/KKmgWe+v5RQUH1
tph6/5JlKeTI3uwuBN0zKRiSsBWDt7a1UYN+vD97snJ3weQ7VFyRb725+OY0wJKmRR+2Kp6SB7c2
k7Anw7nwWa9/+HRhTFTMzBuvGeCp9iVKHWYxBRgTJUvdt05VzF2BCoMObzU8fv36/oOVf7oWNjEk
JDYDCKeQrEpdgFOoTLtM0rHeO2Yyr2jf6rsETw6mneaOt3lI4OGBEne0tPqeju50nWS2c1MNhf3Q
q7F7xVEt32QqiPYWWsHdHM9vjeXYz+gf5l+E+HeGvqbDKCVyHmV4xwOx2WJJqh77eWXopg4T1JqS
5rdtYyQ7pvntu67WiucKNhlzRha5fOJ9zy0v/iELF5xQ3sk32ym6a4ZieoaCl+lqKFLKuFEMB26Z
k9KnLIHzVGZDmJrTbPv1sp19NRwKS9SacYU57fO5bjLVXj+JVY5WPwFdvioc7G6CjvcZZluOu/MU
yeWGTkB7+PrSZ2IpIkkOpsRTBjlON0a9SulAOb0ABRq5r+wM38DQx70/L+iPrER//vpya0pz5nWE
BAn5lISH1/JkKx5TxeoTpifI0KzqyRWNagT6OOsTw2lm/RrLdPm10OLDdr21Vg6f7cWmHzVd/9eK
UrrpfW0oImg7ymMBk0xYPjcRnZOQFEutH6ioKdV+tHMruQaUljQMwCAZQTzDTgR8Mh6rwNbaxNhW
mcIQAZFsCfDN6RS/EyPs5Lyns4FlDTw+CNxBZThQCylZx99RnQj1SchBk98hSEag7LVam24RuKXi
d04VR/+hMC1fHBV8fYzATAEXPkFtmoBBG/WUDNulNRfc1l3aO96b7c3RnjZR1/v6zCzEAdyePt0I
z7PFdY7CwHi3Ck9gMY/EeRyBk1cMl206tOz1n9Rb9IoIZoh6+FZhG0zeJCf6NyFhRpYHvCrjlxpK
KqatfacO8W02tY25h8om6emQWduWP5RWbzxhHEbEdkZzWK8x4QHwiPqkZ2a+1nMjW32zBISETWvq
ifItkui9QgTKen9X6Jio8caAbJXYk1rp9AJ0dsJGuljfpxul8Sp6limMVz/urWJ4dzMsYLaVI3XM
LHD2uonUNGp83Cq85AAqsWGqvFLH42ShslnnIymqZfgJKv40NTIPIVl3G9Ez1O2jhDLTTdtWo7pN
rCF9s9Q4A0hVRZzyqsmriyd4C0UfqI2CK8/g2D3k12gWS+AWwvE2Fdr/HUCrtHts9bqGfcjc4u9o
HuvmmAmeJgfzNftqSia1fWiGkLMp86V3Qy/L7gn2oBddK0ajPtEy1BffNedl7+aAyndFlM7ZTqEf
+a7FXmnciiKSZSjjObI2Smq310stMxFok7JcM+IrTbCUqYfz2VI3eGJL2X1LaB7i1VEzY+zPwpp7
jPus5rZe7BlMaCtmnDemuXyzy8GiL4ufy/sE6vJ2ti355PUtMw0T3tF9UGCZ+pxgrBcFptrCcSzY
2++xtTfFTWJj7gBnN/FsfxhsxnEoF+XQHyJBmxqX132hJ/nNjP2FhYYZm24/6zAx9N22cK+sLjKI
5poCEGnGWeBpGgHOb5NS79S7LKERhUZcdr+rWWZ3uDwoURDhR6XDCCsgk1F4nq46CYY0iCdgBuQ7
tf1jrkrR+6OSLw6ugNF8izvh1P2y6kXeDTrshh0pITBbEYmR5gmgsLelyS3Fx77EjQNICrU4kMrq
8c5hzAVbyNGod6oJ2i0YQOEC0mbilplDXGX7Y2YwUOQb6dThQmSnxl2jWMPPPGVpg9yhnbnRMSf5
EWdLrkC7ppGzrzwA4lf08/q9oreld6s1g20Gc7Q6so18E/qe7LR6znEOXwJVpvGdyLCTDRP6m+/N
7GSva35M3PIi6wfemclThimdE+AnqPPLgZrwoua5u41wOEk3Do6Ez4WaUBKxIalNq6tJFPvYeMV/
kTnj0GGyWPEVzB3Uo6DBqlCpe2Pxud0o9wXGkC/FkBb9Jne95imCXWeHRWRZ99RnifUav/IBWaFn
ha1gYBxNFXN0vpL0tbIdSiV+LeoB1w/MXerIN+FRMBMW5/0VxD05B7IG6bedemjOuWPmmFcK2K3B
QPudGbBSn+yN1tpeF0pVOOpjPhS1zqFaakmwAKS7XbzceBmM1tVpuGvTld16+kpptcW4wz7MWB4w
nal+Zu4slaAZHFCnFPFie5sOo/N9oUyQ3bJp6LGva0X1in2OM2ykzfLQeUrhek9pXzMpPjsiux6T
Ihv2Ge3rZLvERnyg4pVV20qzs6NtNExlono0Br+YZxyXl6XQfyrS9JRdXOAqsslRktxkvQrAmdnK
rgmXxDW4zqzrL3NvFPYOIu60X313Zt+au/YeJqkOmMKyeFddIvcrxmViCKfYqP7gLJM8pnBqsPcZ
ButXaTswM0r8xJ61stK+YY88Kn6T2Hnhr1h1EiKnQQqh4EP86oyi+JWm2vh9zTntwK5ZXr+H+PaW
tZk3+oPlLH+xYoZJmUYaNiE6aoMJK5DBuOZAO73g7uIyRr/kOR98TlHZ1yhCeIHjRoy7a61iNj4V
E++YVibYE0g1sRMoVVMcReRMVdD1evZsRoY2Mz8r0KsMvVDvwHB2ABJnMT6U5pDSdYyc4juRPCuC
ArPTKIiFxvrpqY27JQXd+j61RDz5TepNP0c1I0wpeuVeR2qn2VsmOVyI7V4cv0b5gBYrgidX+ikG
QLOvZF756JSW1wR4ZjfZRs/y8qXUmtXvVeDYHUqzbpiA7xdH7HV36NkptF4PmiWLHyLeeUYkHDWO
/NUU0NnSYnLhE5k21HFml/R9MoAd3LeaJe/s0aXszLCyRB1WF6yqovVdt5dV64x+DGWi3cKLKL17
J4+UxzzVdCJNL0DdjxDxKh81iXYVEV2roJ2mlLIVQ5JDkLTrmldKY+6WTnBiEx2qeP5gzAadZoQ9
Zk0BU/pJFzVbxei72hfenJiB1o7x+OYh1PyVmZHzpzRb50gYnRSfA5Yc2V2YgturUWoDa8WESWxi
Q+r6zmE9nmB16ObGTLLhMKiKJm57b8x/ySEB++xqfVEhwxoqe8OcePbWwz8d7hKtcR9wM63B+Y+d
fk9GkTdX0PbKt6rnFL5BRywkpeRpuIUbYU9wKYz0WnaTaP3ILZXvbhInj0xWFFOgN3BDmdAri4e6
UZx3O8JpFzx83csHshoDzzpMd83ArafsZuywsvGbwfR+16Pb/jUMDa+KznHp9JKk1GngjsJkUgJu
3LKPu6LCLdao8L3ShFWhO0h0jLx7rSwBSGSGed2izUJ03y+oF7uqwXOlLscrOAEQnQFEV/el0rb5
lmm3NApKS5+/qaLLi602LvbWclPVZLuv28knpY5FmC1YmAJ+xgfHz/PMrTbS9Zb8cWwH+Rr3NR4e
ths32yEaqFpKu2sj+JJqUePwYprFju/c6LZer1vHeDJmz88x+TxUqaK0uC/oyltnNLZ7W9hsilfK
PGrdxlF6ttcZ3yMlXDwjym+o9g7WVYOzI/WQMp0krkskLRgdjzm+I7kcUJRZ5gSaGXiRb4uo7rZD
5iRi20SaQ5e5sYrb2C0WMLKDp251fdSdIB3EfIyrkQ0FyORCnlyX8e++Hiogk4LZ78koC/vIm2VQ
uzR/uJqwX1uTud+wIuJgCNDhQObPjtW+T7rbF35UT50Z2OoEeWdyx7UcuzRyukmSIv2jCZjjPiV9
hwxkNWoOWARR7mzTqPM9I4bVYzS2hhE28LW5GTMFbqG32XT0mrL5PitWe5yL2EDL7KZEUl4Pvbn1
kj7JfCdp2bCceZJoVIwJF2AyVMe8cYdJrXbJOGE/piQaBIumTlFBVYIM2sdtnN0PhbJDAkE7bI/6
k+Nz1xu57SM7yN/LuYCyFkFC7iFBdgbGXWkypkHuZcnRKpRy9U5PMt4k15A3ZdUZxUYbp2qjpnZd
7+ECMs5nFrJ7NXHRxQt0LOuDpzc9GsZFaoCL2qF+9ZxSe3bTblK2HYrJ576J1Rjyp9nceA0bGPXK
ObF99oTI3ulM1cxkjBq+D1GDI+6mwhLLo/xqxs4G2ixmD4OilCU4maJbcEMrbvn7JuTUIi4rciSb
bnzC0BZbYtaK69buKs1XyfU9slR7eLAGs3WvYro+HLcjnKMOhNNecNqo6z/VEudb+CnKU2KZKWBw
KW96MLZ4dNluGfEJ1UInjsY95iaOke8HPGC2uVIPV1Hu6LfMQi9P5aCVz6Yd/zTzfI9Qoaw3jRSE
FafthxclUnFNw5Ath3OfDvG8raVXjTu3yfp2m2tj8QwEdUq2+OuoGtQ9koSNkmDlh5H0OLFjVogp
AztrgCEqLbKt1sOEGumltAIXC7sIjGet3Jq85EoIjH9ACZlA20RbFJVWMFnzCNXVaagJqnbaBcsy
cFIvR4FAvnJjp1mNd7I6RCNMIr/wsORW9jlSZvD0jorXs63sRkLvuO0nQ0+2yWL2XEPiPQPBu0k2
ttIkkd+qqBIzq+oeJkwaJ/xFRYIvtC1dHJKYvFz42nNAZAwv92Vowk9p/CbrutdW0mwPO7gJL8xA
xvf0IMS3sh+jdFOxJrUfM2pnbWnwypaav0UIM0ocaKmYDf8soFtMC9j27rppybOtmzSO48OPwpYb
iIXRBaNVRziY057b1LUSFX5OlH83J2ybNgMRphETYwKLniV8RBLMoFvHWOoxhSl+oNokKuntypAu
4JWzyTtGh/cEfjfflJGq1WGILPW60ge4x7bWiG2PQmrlFyMIPoKDSpygYnN4HFIDL7nWqfqjzEcH
i64ott/zSK3trZpI/l+Ukx4E9iTEN1A8Gtu98NK7uZktvMGktVJNrWb4NlWGKn9kRhLrBzHkPTO1
oy0PRW9QHaBTmai/MS5MNmSCqnVTdTSaQphvZhOgCoFBEeFVucvk7Cw7XC4cPJntESP20ozelngq
xx9qo0pIClOeKMdM77WWrkGr3hudm5LBLL31bemMsvxu90izNkmVduuXAv1dFaO13KVYFnKQsyfC
ibL6X3upMe+TPB6uCqOM7b1tFOvQq7OUGy2DU7upWE1ScU2A5dXyGkueGMd6yY/ujGGLQ0TxEscV
0U2hbPG3ik31d4Q1fc3Xktgrq0vVtvEcpwL8MRKs3YBCOAoG9iWxma3UKjfLkFIkI20zf7Sex77U
UHqVWyr01m9PNNXfPseVwifa6bZvxrORwpBu8GnoOtjbIIzrYm85efnNTXWVWXV29Bd2xsULTVvq
cwBYK8Z/ayztd2IRepGegBNvAI0Z87asUcfDRDZTOnRaW8yBkVgKbCaRT3uzSVHNuzFs/BDpPE6e
ltdlQW5OZnmgho7neoZ97l9uemx9DnzNj6JS9D7UC0/vN3qKam7DEar4gxNGP22RFab1rgeZjXwm
qn7nFU2KXdY7hghR6aqPVmpkPzM8Q22fZEa3b7QkXvKj7iZ0q/mChqBJrZhTJGKTO0IC3rxVxwEM
tIfaYspRY8ASEgm86KYWsR1Dz+tUJ5jGenzraWKKnWmYraQ6YAq8QW1nFs/FEOvZo2gsayDht6O7
ea1TbCewheY+Kk3t2ugmYNM5s+rKKklUwiieZB5QcGRY3osaxDAjBiQLNu64v1dG4brbwZDub3eu
pqvKHKvBR3LflqHaufS5YtGvGxCowsxnxhZjsSkvjfsOkuCmG4R9nyCqVjm/x+7N2PdJHuJT4aGj
pd7XwecXUNpVe2F+CD85b9k0rUySfZnNMW9JU+V3qdKaWpAqKU8ffXh8jBsmRbej1etPYnTaAeya
zRGN2MYRwERMxGGlKecpVEybWXx30LqZfNAgU+Mm9XuZUQXYjakqn4gG3bjPMpGpu7jP9b0hZcRZ
rhX6DcfYUT8MVHmYKjJiCOsjPPNow+Mzt+3cKtrrousSTHCuKtUrNkHNNQx1it24Mdb3qrW46Vaa
pDahIEQzHl9Dtzw2Sp0t97MreULCzMz5To/nKtqNcJTN60aW7pYJSV3b6n2W/J7U2r3pzUyYobQE
LoZZLQyqI1KtfIYD/m07UFEC16mHv0J1l2eK1xFezt2QfjNzm1VQix4w2WzO9a6yiwxfK2XCBsuF
uQ5qeCFsbQdhpEW4pFmNMoASbvXudQt7VGr3yZ2ntdFfSml5EerQy3B1GO3iR9tTJAzylHec/DGP
X5JCtWrsSqxmN7UcmP4fe2eyHDeypelXKct1IcsxA2V1awHEzHkQJXEDoyQK8+SY8fT9QXmrSwxG
MTp712a9uWZ5SQoRDh+On38iCGOmtUZgO170YWm2/WGY+mmdkzbyVEjZ7CpiquPlptTgeNg+0x4l
oJFiG6JCmM9NcOWyJ66lMrDTobkmVKW1pguqA+YYl9uIhKxGRC1GrnRk1qmRs3XEhPpY12Ofu+Gq
7fp079SauMfPHi9XlUrGvurRmNZ74t043YBaG3VNgTTecGlICHeNs56ZNCgRAVF1xgUPtBwKlaHM
hU1Dmh5F15u6L9OyJxi+DfvHMIztJ6cq3WSjplHyCbv/IdiPOG0tYdyIQHSr+1w1sHsgYslI4Gfj
Bte0VZrFNcHIvglwdpNrrCY+D7IgYyZP6u7BDLLkdmLTiUgDC7KvCyb+CAUpHNYpyleUXbUMf8hK
cFPOcpJetlLUQ7UWVFXfhd4NhHzCvtBW1O/TbY0RA8uMwG93u7Aw8BDi7L6jGWc6HMXAL1vAQvOT
Le0E8+GOUKytm+hB7yWIji5jdUbeUVbzl5Ky3vHkHFP19ubY+NzzsP5UelF3a6nmzTWSbeJ27dDu
Si7hgxVfwqKbyh0OkxRMbaTghIFrnNjYgcjyHXzVvoF3lNvhHt+mcHmpOZOOWE6dqwb1NRkJCPQ9
q7bjBxi3QbwrRBp9TVEWYLaaFVLgI0bHe5Mn1WitNTeteqzEhHkd4yTcrvtynB7ztFC+8FbREhdp
l38qh1SN/VIP7de+79KfpRRc0jodl4pVOxMs8qMr2oQY5rmZrAOWAxPMxDwp0jueIj5Jrc/NQ6E6
c/EQRdIM/Xmci2JdmkqsbDKC2TXuc7inoeCopoNkcwBzDKya20sSqVTJ6fIbg4AAPk5Kkvg9jeIL
MeRGsqYmjPy+lqPLbdDMubMiTb2YGArux5LEBy7v/fgzZOTrq9Bcem6Khk86w0XkCMhGlCA7GNre
/9c8mzD9MkFByaCI9hEw3RNihPLmX+eZjonodbqQFrGTXuqIUSFCOyt2xVjl1hlIa0FxjoFAS1t8
FC1gZzrV/Pw3NJZ4JLwpZ6KlraaCA0tEWUeSZzF++xhPOgkmQZ2zhIE3F/Z+bx/DPQAFGGcK5LJu
dEnwy7FTN6tmOlTYq55BcE/i3rhCLYQMAk9wiHr7tJad3Mz6GYalYkyfWNs2lQ/GARvEsV/QZXHO
kqn1ZSZ8UPjd0OhXA9R0ChSt7XWALFNfD4QWnSEpnxClumDKGJ9qUKcXF/u3H6vKotaZDcxmsPMz
fCn6plqx03IUqi7JJlM5p6TWYGK2Zj/TLmn/mnstCh0PTk6yV8ljOMdiWJ549PYdDVyRF69xL/5F
Tv7t7dsGRDNEoWggMrW+k9pEY8cllDkfRubrHGbrUibiqwEYu0qTplzh+JlubeQQGzLfp53Tk6zx
8Uw5MSGJb0LbiaDSwYT8iEujZ2piag0SjRjNLNrhGIMSBzrSx085MR8dUwPc5M6k439/xFaNhRvb
7EdscCnbYSmN6UCBmPiRm54zCPiFCh8PMguLmEt8JKA0HfGonZ5+bh0FeOOXbHSrGcNPlAAdCGlv
kh+rcVHfcc9/7bV5XDnspj42ptP1rCrRlToNZFYU4wwpgt4b3hDpp4wotUOXZ45PRO/s4HU9RuuP
h+eEaBJAAp8aIELOQa54b6eqomEAVHayWaVWq027oqiUekd4ip7jbBfPguU0aj/or8e5ZwwRlV1a
JO6P2ZLGt1boGXcPdpx4l0ZDe4vrN/4wCTw3WPVCfNebcDo0IWFpXsV0W3yn5/F2KNPqbkxGI4KU
2PUQUlgU5xh1J9htuKAKE90w2ivDOnrvNRbMJLYRqm2OaheuxEAUD4LlVP/ZuWT5XY7UzvdogOab
oQnKCFm4Yw9nZvgJ9hayG3QKgPlMQvNoPszl1Oa9DrDuFiaMx5BIZ6ZG6NyzJF4n6pkNnmDnRGcn
JryLISD+iAif1HfuQ1j9iFKjl7MklM+3/aSMhyCnoqagTc5QFU59PwP2oCXYVODUHo0x56Usjbri
SOna6GcBN8qLcLheqYkQlzjr2fdFqZ1zAz6lo4AIhzaZ5ojQ1eN46I56Q3YqX5ArFiKJLFGazYzn
1QFE3KWPNkahb9ZlxPqLkx2vwL1gt9ceBlaT17BJrslP4aMWml2fCWL7pXx8swOgbMDLxlxosCwp
8+j0w82U8nXqoahqWQVCTmNzwlyFHv5aKQFLIJXOLlFUvVomq5pV9cnQB8HNuI7w1ehhinO551oZ
9oJj06hFoKPyxXRiQ2xhr+ylSXbWNhRm8jqLrCDMKKqIqUJ7UN25okGJHw4yye9mljpd5VEPbsOm
CH9ExOS4bCxuiTPI7HzOSocLiBsUQLJOhrrpzAn4bmaw07LCUI8vBkrv7DOgNI2dGUvGAXHyXZIR
5jDqUnhZZcy7xOy/M1CfPt7J3j8S329YcJwlIEPimFQVzXhrpEUJYpo0Tn8RdxWMJiNzoB7R15Hz
RsEbXz90qK6DM+v83V4D5REwDkoXCiz0PUd7aJOgc5rIF1qBnYWbcahuNaRoV4L+vumF0kEoO7bi
S2CnI95jWXFmGb5b8cvjOdopgpASwmh7u4U3TlBmWp2aKyMaILZM2Br7g5Lpl9NI7+/jUX7HTuJZ
Nl77zHGMeNxj51wycgu7A5BfcTUJto5e2V+k1G9JD0XYnXfKOaHOibcKS5gaAfkH7INjkjIdZqkQ
vmiu8Aeb40tDqHNLjypwfxKYinI3z5jeD67OleLMS31HAVucXxAzYqqOL8s7diAFuFSTouHJIqRx
SDrdaq4S0CoJgjohgfZN8CxaB7qz+3iMT0wnjkxEbjD20FAea1dL3Ym6Jk4s+Fi18snprPxQyZ7I
BCIRmpeKnXGVFOSMDeQ3bFSsadUzNdOvsvntNoZ2h30MUTxlgWseT2itywQHtr7CHieDrdRG4HOZ
CcQS5DK5Ew6upR50DrgRU60BuptRotyopencx0aS/1w4GK7HExePIhgDi0FIAZ0qzTGXGtsg8dzO
cVkg4JcQgKLx0CW4GnpagDxEV6zhqx20ZeIJJZoxpU675Nkq0+nrr3H+t+/jv4ev5e1fX6j5z//g
v7+X1STjMGqP/vM/r+LvsmzKn+1/LH/2v3/t7R/95031Wjy08vW1vXqpjn/zzR/y7//z+auX9uXN
f6yLlrTzu+5VTvevIFTtr4fwSZff/D/94b9g6Mu/8jhVr//44+VHHheruGll/L39458/2v/4xx+L
3Z9qUW782+/P+OcvXL/k/O1Nk5Un/+T1pWn/8Ycq/iSZGWtWciNsA3My/rHh9Z8/QdGuLmxBaPvQ
sPlJAcoR/eMPS/zJFgpLH+SHhWMv8cqgjsuPTPdP/LsEm5SJch8ZoPrHf320Ny/qv1/cvxRdflvG
Rdvw18s5+maC4pjG4Y8t1GIpiyPW2y0Pp8BG6XFq9rWxj6+Qo1gzeqWq/66ldXTXKu6Q+eSJMHdt
p5abyW2J3oP8bNyFbf7JGu1oOPRucgUTB2i2wAoWaGQ0LltQf8EVv9Qg9ii0DQlRv3Om3Ob0QE0z
Kh2WmVKTbgHyOpUP2LpVmFBNz8CwGamjVU+rtisy2wv6AcSmkFn4gKm5QyBs20YPTpuQfJKOfb2a
cO8wPAt/Z3NSd3Zp+LRWohubRjZNPSX8kgSRfi9n26j9yNRIbuzy4dmyYtPyR1nTfnKrCY4jhEev
Rhtt/7UJ/P/V8YeNGRVtaoSSOr0Qg1QAduD/eaXsiyJ7KX68vllhJ/+Nfy4d7U/mpoO/Ho4ibMYc
LH+tHPtPqnFzsfRGWUQnZnGH+q+Vo/1JFAJCA9bbki+9hLH/tnIwLuUaw4EAiRMfpL+xcpBOvlk6
rNmleMZKiIsR1yLW4tul0zdpggk0jZGSwFrVt6AVrIGZnqeBK7hXJ91LBz8lWdezWFpZQYVPdG5k
5TMAennAVympN70ou+Q6iroEO/G4Yw5PaZH3uzhIxuACHAd2iZqbSF1jocFni2zyO8Apxr7fE/6d
A4C7AR3Fpm3Sxp+gZrk7ZRpZSnZE6fgcQV+MLkLClOBKTI7xQ3VwpMTgCZPbK7V2tCzy0rmU851a
tKCtEtIMHYT0MrOLeqXJcOPAbDe2gA9jfqnWuo1bYUrrB5Jy382kIuO4uCNhcAAhbXTMc66JLbXz
Q1sp/QPIgB5fQGRGDFA7dlL+GLS+tDdwB0pjA9Gt1XOShxPYKCHMNmU7yD7kSF6jthhWCbx0DwK5
zm/G0SETstkosd7fEE76gpBJPITuE/xXeo/qU47UbZsjgBNeonbjThubej0m7lqDczUawlfNvuWg
F7B5E05qqJ7cePI4ekbn4YpHDaYV+pqGDCqpt/7cNQepVSAkULLo49AnH1LrpVfYtap6wFXcuCxo
cK9EXJS+PopVQXgveOBGj5uLuv5S53AUZblFRLUrguBmHFM8MYo6+IS3td0eYkE/j/2ykXsulVqN
EUFUJUgIhgtTkRLCp1tHkJgdDLTrUakmaPoKZcPiEr1HvPVZS+PpoW9dxyPbq/QBU3rfnNp9BMc2
C5Vq23QBkhR6IU4TbgUCNL1Pf7oh/6oK2EctMAsw/6LxeHWrOLW9zs3uoyr1lVGjb3uwuQ7l5Gqw
8x6c3PZV95MMvg42aHqsHWBayut6CG+NJLkpqih+Iiq4epRV8Zm422TXdw2AB3qTKLhMmdBWoZUg
gNT29zJaUjY5FE25VsPJudYiQx7ga6BN1N00vMrgmQy+FaXXKLStyZs1WiepF1pQjNZkk4ovIyyu
FRTZz8Ra+dLuPs2tzs1uUqBYygVGieEZqSUBMUrfO6uuwZ5zdi2mVP1FtZzsEOj6DI/cDS/xBNCv
66TIvwLjA7qYpXNTSZFuVNLTENFN5T7Pej32WuD873PxPSe+87Eg33ZDmrFuXIRirMcHNW6NDXVu
WWAptXg6hAmq5FWTw5Fr6vIlVczqNpTocUmKGR/rSZtXoTVrdBO4zYVxcw/Bvd4mbgVRP9WeLIeM
KRlYexij6rd5ZCVQLVfl0zjPfhxoVrqejTktrgZEsskOwQevSyuUxrouEK01t9acKfPGSiDBbaY5
gH89BeqAEYDeFtA2Su43iE4anMYAyScYFkFmwpeF4BJfRJEw5FprmiU+JHUAc2UrXoLJEO5l4aTj
tBvapB4OTqoBCBtz1GqboaQvdZBkZcuN1K1AX3cGK8VzzMDcwLt3ntx+AAfBazJ6VpRGPGMu2L+2
DDUQezpvndK84oTp9jJYIHTSJyxbuc7stJFrMIZkE1dOfDXMc/MsXT6Y0yrToxCtDlMkrCYCG0pH
35R0J7dRHqYXQelyrcmCZIjWQ1i7TyMnQ3AwK5pMXka+sYWFdjDGW2FmKSnv0RCUBKhgIemNseqo
4CWBc9dPeXdPI4J11GnwZPaWpdjldgKJYCWYYnKgaSf4ZwSpEaLfGFivWgNPxjcMpXwYan3AY8/W
H5Jgljd5pO9Cs3uyFMuAzwpsWhoIESHYW3mhX0UxMeDwVoPB3pcm6dp1/3mYn9q+3ehOcdsZpoIz
ZQE/L5o/T4216jobEFxe9Gbx5EyqvVag3MFdFLcg5biqBRHk/gypBwGkB1K2B6QQM+Zb61m7oS70
os76Mow5QO50EFp7iNz4oPbNoXIb08/hQnbhrYVwxbU2wGL7cekA9TU6OFlvOle7hSD27KTJp4ao
Q2Mg6qn+YlBlVQHKhC71bVyfe2uGOzn5Ha6SG1WXUPvTJpnx4XBHX7frQl9nQNyPioEFlsdd8Qa7
MCQQUYs9weQEBjyFDm4ucNBd4zaxn6B+/mSDVLJ0+8HdqAqnnZb2cbsbK02PPJyatCsZJODoc0aD
fk1EUbbqRoD+jcQhykMGlN42k/MgZBX67ZQPe10G7KGd8lSHQfWcVc1TYtbJxnXZd6wAO4YYC06v
GUwZe0zBrVU71iqfUt1XSRNZg1DAMwmJiMp1bW1b+dR6Rel8nXM59/j1JCNZ79jMx9s2s4K9Gkfi
mzHkzs4YZtjotrJVF0fzUdToR5TP0mgTL4fpsRY1oikljPV9EsRKt1EQbXxuyJ5+yidVu26yqbgy
qp7w9WpjYzwwiTu1D7RnhOnpHXIffQ2xJP9BZER5n7ucUVS4jn7ZmpmxG+ps3Cbpd1EonJBeTRj6
pDUO76fs8ERMQUHJjUjXUzMFP9Q5uySM5kXWleSETqOLIhGZX7R2sW7hRISxmTyFkJfSXGHzR/lh
OLtRsS4LIx+vZ5Gspkxf4SC1wQLbMxqj2A9JROi7ism7BxyrrSN2iznv1k4Rx/uqiG5C/OLmTcgd
Acyf2ZpADfb0Or0zXLpD0pmu3VlYV/pMXLORsf/qNceWpk8Ho7AppXq3SdYIqFpGh3MO9yzPJsWX
A07Vma7idSyVZCM18zrXgmLbIs3IzGdAyDUd/kMyTXdKx5roDeQ8wo/o0sCea8yvczzcyAYOpDH0
9jptp5U7RitCNnJPHYEfx9K37W+Fpf+M02ZfNMa9FshhB/WqQD9CIpVo4B7raNTj+xmq4nAd9w+R
mzABHS8m3XszNfiNthkofh6zb3g6p97egLx+F+eyhaloPDtMi+sAVvpDm8qDsCHwDzhux0FP8iFF
Xk6DTCt8Efbt1oWUgaceaz6utHvsEqCRmuYDxqD3fZXKfUfLK43670OXVc92yBE1xM5N5pblwzQZ
9usQTMrDXCfac2elfNOQTtPaotnpmUb+Q03mHFAu6Z9yV69WLpwQYke0oIMAu+ilpnKE2fQyuPGu
1X7OSfs4pcM2spR4a1RJ8GLDpD/gbTa8ZAX0VMspMq+08v6Sy+YjBs6vePpiH6Jk97kdbwoEuHiI
FIqzUwdWnZYpr8WAOSIOieYNfUsfeZOfx/k+sXj9ds+SQi+0gvaPv+hW4TzwtQ7TbWhl95I4kQMR
yckqLMKv7P39JS5zra9An9+5JorWYIqtw1hN1RpHzBtCXIH7kmSranp+ZxXqus6yylfbYU8A5BNy
qEMQuBDl2It/0UX8ngrfq0e18Qx4kZFvtQJONNamxhrR0I1Wm98ho7I0qilkqy6+m5HctbUFjcRW
7qAjq1tCzjyZQjioeqZyaUjH62VvWrt47maiCFo0Dmrd4tWdVVn3DCLZbiF0dw8ppr03jRrbh8gI
3E9NUoaXaYd5HStd79JtPTqrUkPxVqU2JgH2l8KS9130M5/3mlU4u7mfUlDfoXwxChU6eNeWntlM
OnafNs6SMaxYDT9nSDhT+4jrSEebqY8rbxIFZto91epcNwn1iF37KTabvibSzzr3cuZ809CIsrZU
/V4wpZ8HN3ENL2sM8U3mVnljT09Dm+sbLQvvVTV6NRbr1NxNd2lR3eaVuM0TQiFnTh3IQ6o2vZJz
k8MYtzF4MqMnQ8FtMtFyKC7Yl78YbpnvOF4WdVsBAbBMksmD72NfNV1ERyFEiXE3uOYBcvUuU9nU
lwNA7f0gddY9bNevXa+F35FOCjbqvPNds1Aug6idd6VhB996GRu7voadzebaQXC3yseqVYPLqmq0
baI23+QYNvTjxkcWqXo9qqp+MLuk+lLV/fQsRPOcZ/mVPWjIXDo6I1eiL/N9PpYpRz0y8+Q7nCeK
MJKcs+xZd8fsW6WEB6Fiy0fvwymlp8XBQRXufVn3t2FbH0RavIaUjJaZe2k4e0opnktiIBKLqECt
3EfwnlONrS5/LQc6k0XzIpJqjR2pQwWbm9u8NrehhPnvKC/gVrcidja5fRcJ4eUi35YSPnQGC25b
deNdoKY+xPRhh6FScuBQ733RYmmaJPe2XnCBqOMrtwwwsSaD7yrSGMhMdfZ1P28z011xpt+kArZx
q2yUMr60GtgpnUlmnsheITHe56GEx6jewvf1gugbYd9QMzg2mp8YLvbQSFrtsWGIerPv1m4CwdA0
Alz3w+FrZdYwewuycgYLIwdDDqZfgjo/lAHRoUXb2r6lDSpXbvEVKmJ2R2HD3UE8aIOoMH/4ilLK
3WjxMPsASuZFVzqXNHqDzRxV1yJArYaN3W0u69o3y6xcFRX/z2hcm8mwK63qoqNF1UJugFajPE86
AZAVAVhZt6G85XO1kAylOnD3XMVI1/20ITiQUGdru8QMIyvS01WvsPLssGRHTZuNDb0d4vn27/dw
/1/rznJFNPBOBTZd0i8d+AKwNf7n/tMTbdelAfV7t/bkP/FX+8n5E9YJ3VdgqF8cnMVO/q/+k/En
igxa+g6sFJxUwcV/7z9hHQ5fmKSSJQJ8gbD+u/8EsLTAvGB6bKsAa3+j//SesaOSBUZfbLGE0Oge
L53d34goCWIioBR4Y1SL9iX06MwL8xYhnVRgLauWhGKVZS6X/CYaNhIC5crsIntta4nyiGB+1Ail
U87YF733WeFTLSSBxSkVAsfS0/79U6lKmbdFqI2+2bbDs5bhZuTBlXSfhrl0DiUGFWLVzKoariKl
m8OVEWsQ0NnRu/2I9JAStES77s1CETcK8bNPFcLV21Foce8VJk3uM2Sud5AfnxdQDEtXdTEpOnbg
71XTovGVQqWz4+Z2CNv4gBtzseos6xyf4Jef25te+/IsKgQHUgtv/xhYHTJLC82snnyizttHTbEL
ans2+xCi5rc6RHel4yixrbUqXqP0BIzvkDb+NuP/CQD83vB/BzvyGVzB1KShrvGWjghVVtgsVYSB
RaM+/1DU2Mw8KTLI+kkSfYV6+LcdjpdYAxVMlQHW6b0ecZPCqXHNDNaiP0aFwgXKSq8p5Wk6YVDs
z2lgnLFGfAdzLs/TLQpQ7FLg4yw//21V1F0VWLMgh62205fOHcQmp9whUhqSt5ZnzKysnvcfj+n7
SQ+uatElxEkUlBEW1tuHKllDPJquDv5E5wpyZIzvmm0vLLWMAJR1qzYvipVW60gb8wMCYm7FJeTx
DnKmF5UTUgsJnbrxW7osad9wztZt55e5o54BRN+NDh8U0ZcDnYNGAKy6tx90UMC/tbEc/DkwwwPk
WzKdjZqOL0ypO6p/lybxdC5Q4d2U+/VQph25PLipOcvPf3sljdrALeb279MQqTzTirodqq1u3Uz5
ZyUM+r8OsjdY5O8z/L0h1vI8TmC2dhwm8Gp5+7wxbXodNGjwc5dyrjL7dF1mVnUwImR+s5Tlvprn
aUlknnetaw2HoZWVL2ozxlvfsHa5ns0Hor9NeL5udwk3V39uDU191EY32806CJJIp3NJf8tCeLM5
YIi7MJzAq9mG+N+3nzodIELrgr5nVirOpigrzYtC6mhDwnM03XRA54CPA60948yAvdsClyezXDDR
0RcvnaMnm3MeuF2cD+hR3HBdy1rieKkn5JlRc328Uk5+SSiEqrEcrKzTt18yl5FhNEHQ+7YlFTjN
2OuXcaLucB6rNjgXIL7QaukJlXXy8ZPfM0mXb8kzoSCwC2Fb+PbRrjUXCirKwScxcszW4zgIT461
egU7u/hGOxYfBaRuAA7OdIMAtPEjKwwPgy6KyzkX+hmC06mRWN43luYkWXJYvv04GibV0ir5OL1r
9tIvY13/brMiEDEW4Q5oxAAN5a6P/MZFM3pmME7sA1QuNDoJE2SxHJ9EYZGT7TTK3ndyvP8gAiV7
TXLJzmHCkVUtpC+1pLivC3NcQ7ZChYd3rj8MzbAt9by+s5Fjrt00qrdIf5CUWEX6QE/eWn/8OU9+
TJhPcE4NEwr00UoWSqq7Et2bn9v5vA30wUIuSjxAm8wxbcEJo4s8lmeWw4k3Aw4O82+prMA2jyYK
ma6w5TBoAM1ZJFWBRDJBo8+rTfioZtwHP3QSjPftnPSbj7/uqScDK4L7LyUJjMO3cwKdj9pDTEKY
WIhib81EQXeRliPqDcltQoZxE7dWD2plqWee/N6Ym3wYyklcueF+w7Ne3sRve3Q61cgGlQwIyWgq
r5iRFeeG1veeYhWFX/bdcFmPovcqpWoPNbHbnkJzZ1u4aM8+HoRT79wxlqoaKiRA7tERhQEbLCz8
L/3Ajox1mEzZPtPdfG2KQq4RDRp+N8bFGZf7E1sgzAaIxqxEtqdj01+OC0fNGt55grn0JgCTOQxV
Q1IV/eQzQ33yUWA2Org1l4fj9DHBOFus+N6XdZdv40SKK2eQORKLLvj68VBqy4Q5OlO4GFCGk2dE
1M4vC/Df3mrb4Pir2GFP91ztbvAyTVC0yy4x/XFQweBiI3c1UEk9uZkMtbM8wOXgqxv26T2i74AW
Sph016BGqeOPga5NqzoYs1td0SBNFYOIbBTVje2ulCwwvmAMlV8luHE/19S+3ADqEQSBaAR08h9/
seWYOPpeGLBx+4FDh5fgMSVZTZtKRDiT+06XGJcofJrt4vCwblS3uXDnIjxTNP8qGY4fyE2AmaEu
+8Ix6d9Sp3DW65C7FsRFVEawRsQl7icSkRJwItzEOotVX5pcchYMN/3aSGWsPWVu8snvizzP75J6
ImodqGzUYHoH8S3BvkQimlqRA2HPCqaoDS57D7hr9HgsZKj3doFZxcKjzdc/ZL16zqT5/RWSrC92
V0gMy1WS+vztqodEkVkRloH0tkV8U2cBngnRXHyxtfgRcUe4HlMnxLiuVejkUSjNmA4Paxv4NvSs
ZkSLrQxlf+blnpi0y9qgBQaRY7k3vP1QKtcviakz84eu613out9ardTOLI1TD0HEoDMAFujbr5H5
bWXkzRyrbaNR80RZ50V0h9ZA1+cSR0/sZToHFzKGZXMxj6/ocwViyeBRbuOtgT1Z1u8NLC+5/ITT
bs5LtKuR624/XhynKh2d3FcEqiZUAngybwcQGWbr5jOV5FiK5tBrltwaEWmDwRx1e7fBpMkPo0FZ
2QAiqFiGYB2OoGRTQedvClPsUc98oLdEGVYpowyLG5oMs41bwPIyfhts0c+NnoRcj9wSFyW6dlru
NZn6pUGWf9uqEYCXTneYPEq54YakbnhxwZkPsVzBjlewyaVbI29nMSA9KiWSZlAHHHB/DUrbsudZ
8V0yad06C1oZ+oZTupduZqaXwkjjq6wdlDO1zMkPsMhDYBZTUB0zQQc9jNXCZc9SC/Iu+9CwLyDL
odIBu224l6iZXEODzT4bM66BuVrncvXxezg155nsjAEzA/rT0bwohDuGFRRR3y4K6yvTByxDJFb/
d13tlzXFDZMbkcoBflzZzi6xiebMpKfRAGU/rJqLfqz0QxajozyzV5w4TGkq0LqBRbY4TB9tYCPV
gpi6fPTJUMrhzo7UaY0q5GWSynMWwiefRaYDBylFGk7Pb2dxAYs7jC1Aa4kB5zagJPIn6JmHSajn
ciFPvClWCScHfTSkf8dykG6Y8TN0WTA6ZgHbpjKCi7SQ1ZmiRz1xjC6SAva/hQIKEf3tN8KNEP7V
NAyAJCRxecQmYSseVfPlUKm2pxlmC6BZNvYNWdV4EQXpdFEbwwV+shCzuGEluN3EMSCxFt30cx/t
YJWIM+v2VGXKYFP8ky+h0Vw5esVTbNScng54Ao7myprdQrxqumJcxUM4/WyToIAhlzRwAFJ0Suhn
4zDfilppsGABKD+ntTsxC5b2AtqAZV/Hof3tmMEswXq8AEOkh2Z5iyHGClZIuR00OzpzRTzxKJOL
Ml98Yc1DZXz7qGQYtQQOIgJgDaTMbFrrE9pTbC7cNDvzqBM3D1NjT4LrxPbAHv32UVaCkYLsjN6v
CR/cuDAGWtUcrhVbG28wURM7LBFLP5ahfvvxnvS+J0oziuMek320c2hNjsYzbhnHQOdLNsMCu0SJ
60+IMBbqHlSGphOXeanocL8yLgMhXRyR69OZnuGpgeZKh8IGujXik6Mp1tko/7uJeMLCbtJPaYIL
EPY75mURp+eEXieWHAub7/krh5wV/nagjdq0KoTSHa1PZbieGlXbmKUVrxpm/go7i3PW9MtHPzr2
eB4Uc7ZI9uLjozd1tQb/JLPj1On6Dbj9Au7VnywVIpKdueMerVl95oZz6p2yQ/JOqeIgqR8bfVsK
TM0s7slSNo0UJhyKY+DvybWuw9noKwy++/xzxt9aXt5Xyk6f83aj4dB/zk39xJlLsxP4hnVE09s+
frEuzBvNZrTdkcWqW7l6qzhNA0M9Nfdd3+RrukL2Jh9T8zCnU3OmyDz1eNqQjr20ozWKn7cvu1XR
qOF10uNnVPQ+9mbTPpsh3yYRbMvATeILbtc/8oV9X8xnz6tTr/73px9tH5bEyi00Ii7SzqTtsT0x
1zPJ21eJTQAqgC6XwAxXmY/X84mlZCMWVBHtLtq9d7f3VOCAvHzlLg2NVTmoZMvCsvFGGmpnptnJ
R9nqL0EoKipjGf3fqkqJZSNdO74fjZFpp8JB9TNMrlZkp51rj2in3iRabwonx0CPd1zTlFpYyHY0
Ot/urWY9yyq5GBf7EcuG59gHQ+VPhtH6lSSiY+iM8KBIN7qFH6BtqrT+0Rppt8LSTPXFLFoS4KFw
uLIIr3JDxjgqZOZ2uY1wJZitHyyccGdbg3LIFSxtLPIrNhidA39zZ/esTuu+Rp3Iz7y4U+csdHqw
GrjzNKCPg5yccdbg1/LmxkG3fOw/mhsFvxFPkpx1l0UKhjqEMO+titt8U+H65sLbXkEPqv7+buwg
b4HdT3cUePdICwttuWjThEUrYnTdWH40VznAwcaW4fz5b89WzhzqH3jEQLnHx54+0J6VvehwP5fK
PdK30AMKzNkj614/I+Q8ccTyLFJ1GV3KuuOeBcBRnRfm1Pm1Uwi8LqXqNWwdjx1e3UhVyfokqJae
79jG64+/5YlqkidTS3KnRkixiCV+XyjaBFCsm2PnZ7ql7IK0wNybOPhzE+jELc+hKUPjEnUh+//R
ekS9jOGzwRohTjSHhp3e2nY9rAcnVEjKUIL7AZ2QNwoUCmFFnhHwp7v/+Jue2BIcgTsBmz15CCBc
b7+pO+lGw0Bw8Ag2AoP4CBIJuOSPyIdX/xePojgD4gZtxGb+7aOaUJi1mTjMUmQVu6jJ0pU+p+qG
jWo48/5ObOQUwJprLbgdzIKjgXVEiKWtzsC6lR2geKbf1kbIjRHpYWZJB2FxFh3PvM5TWx5PRUKD
VoZ2nam//YJzZIk8KvTOZzvSNnNONK/W/i/OzmNJbqPZwk+ECHizBdDdY8ihJ4fcIESRP7wpeODp
71dzN2wMohFUaCEuJFajbObJk+dYE1qb4EKR1hhSHpLWDwuCfGrO+aMBVhUWylQ8qFPdXxoa2s9G
h/snTL/4Mw0kdTiWk/fgieULcjnTuZsxg56WuUe8oW1+2Sk0wojHHNpyI1V3aPUu+twNV41u/xUK
p3eQPe5PLMm4LRMMqoXXnyhaN87iQuNIdvH4bkDWnGer9h7G1ck+NYWL89tsq3e3N84LVrgJyagW
k0QSa3IatxVxUysMp6nYpO0wj/dY7KLsRqv9mzxbl7fqumaXcShRUYJAGb2BKTqe6tTS/SFtStD5
3vqS1Q09HGpdP9/+ZXvTwdllyU0DDHqbaaHZDlyWELbBU3MvRefOj21MvhsjQxoKJTGkpnVxgBbs
XU7sLrgIBlgfRmrXa5D2eqfX1Fik3qL7Nob77Q/xVFxuf9rexUAPJiicvJ9eeV3Opk6DUsQVaAqB
jGlTVf+KsvsdZaI/SqrlbbpdXhQj6MORuJe7tTgdIjZTuqLHjk4Wr7wxKe+aqn+27b560pUYe/fF
1EOVAloQTZX9AD8U35RW0E+Ul8n3//DdgE0vACRFtM0tVSPUMOa6fHSsiB6CXvk5Fub4mSpW/R/q
q7xsFkwpEHCXrX29kBWKc6QXUR90bd/fmSiD3SPHrdxHXm0/ZasuLoU+AfJZMFzGtkM0dLLUt2lb
Gx8Q641+//WHS1ttMFeMc2hv3fyaNfMGLKrFALF96X9okXB9qTn3bi7n+CAOfYFJNivuGSBCHmoJ
9I+pm5wuyZI44tZH7hqaNH0NBmppmKB+ScwVBAeN+IE+r8QJ63bp3zm9Yn0o3E75Dv8A/WB6TM45
0d29icDrhSqwpDcv6k+HANoIE1d04UiPIZ6wZvSJ+LZ7x1sOCz3tYxqfsq8TVZb/cFo8OjuRPQFU
A86Qp+mPyLoptBbzOK8P0gRcvPAS7nUEq9/YY6v9/cHk4uXY6/B2ULfYbNBZQTIHfVryYaFTj5qb
6GcyNOmjVIs/2KE7N41M8GWIwnkA7rj+qhbv2jJmOIphzJjkC5+0CNro7Y23h75DocAihJiL3HfL
4xDLVJjF4ODigmfB57oWeSCWzjpj74Rort1490XfmN/RsXCfbCTW/JJY/G7x+D9WehYPnvGdi88j
/SSXJjCi3Lg5B+ZitdNCy1eQF6tzR47yWVOU5C5NO+3gMZUrtT0FEobl6KP0AFxxPb1mUjRCTIwU
WSuxrMCeilaGWbYfzShPVsnROyqP1asBKWxKaBBk0NpsHVTiY3RnmDbqZ1L1VpnPBRH9Y4SQZWi4
kAjHFvU8A424lLCaBgl8DziaokXH06i/m/mqnHOaJJ8U4oC7opqzt2sJNr8UanrwY/eWAWYYpTYp
B0Fp+3pyOjFB2I9oLOAP4l0RoeYgUDFLSOey+WAh5JJu5wVMzSTXMOVibOZlpLAG1MBCDM5A+9dc
lEj7o/6K3wHTMYw8PIi2twZkQy2+1GphhQdHYO+kAbdQZ2F0h81w/bUzaprKavMLxCSGR/oKFboI
h/xZwKf6sKoTwYxh5W+7hLZXHQ9U30a2MmCf9KhN03GjtPTQ6hRzv9/+Ybu/S4MAKfEYLD9kAPTH
vYZApr0CSfVBOUfL2erzCKu/Wj3fHmVv/qkRwOHi+6n2bO4ZIx0cFLMZJfP6KYymTEXOdbT8ZkHh
1EXC603UF+kbtLtwx7XG/4B5Ed9QaII/QbVaNs3/+ZFKPCtRVNt9QPuEc6lmbp18pGfDWPv+HquI
9aG3DFqCZk+h3G9GBzv9tVcdyRezS/5Or4PzInfx5/jtNIusNyGx5Nq6fp/HAvPNpk7u61H3nj2M
Ek5ImYPWt5VX++na1WdZrwydDFXoaJl+dpgYoetpYKXrItZ/e21en0MpKwX9TKU+BQdyg8hVLpL0
VZJMQZ3zC1kR9X1Hx2FrFerz7ZFekK7rY0iVkhNPMkqMTxH0eh0WpZiNrAOeWqURq7l2WqgsIvlJ
qxhqwJPqKu+11Gxyn54i60xbVUQjePLWo90sbO0Gb3XdUX7Ma1a9oyKuP5CJTKcFkPckqxrPjTYq
bzrkIS/66tF0oEb1wT5+nQ5whqG1YmssSTHbPAUWVGXkTjTQWo6Kgd+pSGm3o4Nfo6t2ie9VSLSn
3WodLNEOesy4hiql9OQtZm/uyl6Vukn0dKMlnZfCr1dUQ2gZtbvvBmpKdlBHcXahu2j8gRUM7Zj2
WHb03Bi8ngc3qbwpt0sIdgx2goQPHLTNL0F1sHFmBypSUo/i0qnF+JTGffNVhzXxmbqdcnBx7u1O
bk0Piji0VTQjrrfM6iTozaWA9VOJeH+eijxEJpCkpWvsg2O6MxRfREAAI5LqwJZqNjhIZLfSDANj
STcQyYgiN0TFsPKqI3PI3aGIbhDyIO+lwnD9VUrWY5VhArKpXvJE482gQczVqkebLrzyYMX2Ng/0
Tn4p9HZaIrZZiI6RUFw1oBZxgihygGlErAdar3+3hbd+pYdQnMuq6H5bUAgvdY70uYrz4tfbZ39n
32i89EhyGvInbJOPhC5qdURqOWiENp2jxHzKjDVKw2RyyhB5yvxIHvH1w+bRVSKzZ92WxekNZMqT
kxp9y8ZxoBg9rVGehVrDnXH7s3YgYoZBRQt5OLRejG3t02wRMehnkqpc5ULAeMBzggRZD/yNEoF/
ieKqH1Jc6MLUbumCFu70rom9n8Rv2cHtuvvBNtwaEGISle0yg0jZC2553E0MCq8krdMLXCL1iK+8
t3dJZgFOuQfZWJu3XB0MEiUX6K03WgjrHXz5cjKSIAUA/fvDz47lb0OADr2nl/fkj+Akb6RSAXXI
wEAHOyC20x7KcfzXHCr3AInePSTk6tggS2k0MP/NiUTb1wXK5WJxSThas6t/4QXjhoUw8/t6pWnb
7M2P8ThpPzOEzL95ra0fHNS9BSRI4pjQEMiNrl//hDlPrd7TeFySzABhstf1jNZgdjCnr0Mxj6Iu
wkGyGYtK5OZCbeiCrtuihOa8JCsPB2Lmo7WUJ6N2h7e98FDPof8u8PSiuAjDSw+G39s90Kul+Jtl
UGTYhABG02LZMFL6G5CjP89KLsISs6dA2ES6t8/m7lA0oNBZhiITIdj1fHbJrLhlhQTMVGWgAxgl
wCvKVeAPoRw80LuTSopLxx02uPQNXA9Fb2lmCBUCK17ODporGo3Ya5lfDLcW58UYrAut+NnZQaac
5G8o/v7lYseY7FqHmj1w3vXwKCuYlbKSyUTkUzjCJOKkzAjOltLg6Pak7tzjOgEQCQNqUeATm5dr
UqNRSwqQWnXloUj1npb/WeAl4IJZxkGTm/P97RF3wGGowVBL0LWhF4R/X39dWyLCrcp3ucpyDTep
IsJAsq402mwHZZq0E11/4l+7x7iH/owB3VJjypwPonS0ChuKyHk355ERn5Q+Nx1of7lxRI/faa/h
JwINQSy2pc3tZlayGZ8P2+X2IGMWZ4WOLkHxPjPzwCxb/Ge4WprfWIBUbUBsnbU0wwo6exdUy3E4
SSb7LcaJoMxZkVRPg9e4OgyaTquC2Uqcs1EPOV53Ttfduxo0grA35rw52EM7W1jiTSoBEGw8qHDX
s6yV0WzxhIE60UQQ2hWa9Xj3oDQisOgQY3kPX1a7GxcxnGW16eAA7ZxVPFNNnTYCWhp4v65Hrx0r
UfEmJTxIkMyj/0N5xGfmpzrY2gG4vjcSqSDsLYJXTJA3t2xG/5MiyDPZqm51qWuQZjhfSWCt83Rw
1+1kCzLfZVqpkUtO3vVHGQR3iS2pFuj7LI9NG9PlWLeIiaipEdPSuFBTRjLsYFR52DcROurwiOOy
jC6ZymZUBxy7w08RlCfG8mbS5+K7bdXVATtqZ7swCpbyRMw8JlsQbUoRfB5N2FGahuACvZv6Y9Ll
xj9eliFn2JvJ2amxHU29WMfMA7mP25fCS8V7+5X4IsDdpB8C/HJz4tLRM4tyog1miWuhovvEGUJ3
EU2oEaL0g7EQc/kcoQQLWjFk0UkKy5qnKKlxLPRUp/udmfPyvwLA+YeoaNqpB/ROR+RC7yfTwYbM
RMol5Cbsz3E+md3ZmBJd8dMiwVW4nbiET2nd2c15ATZMkYWQSiemniJr6qBjeypyy2jwnF2t6HL7
01/fhwQoshtEgimgSepmB+edAe2NuAtXCO9r2owXL7JlkZ68OfEU75y7JQafy0JfYQnjT5OXpj0v
z2Vqf8Cn5h4O44eDn/TqUMndZqsSceQBooX2eqejuZyn1IVhe8SL9YjL67+rV33ukIsIqzi3EQGw
jbvaMeZ7W1TfpBv12endMszFjMyCMc7honfrZexd63T7p716r15+GTA6yoeUPbzNL2scsZoFz1SA
CqBH14HXnc0OeYM1WpwTziDdwWu1OxOcCZI7qWPsyN/zR8haAuo1ycJMpAL/LKQsprsCTcKgd/X5
IPfYG4reVGA1tgNE+s2rTyqe0eFBdYkO9xQ5BRwhtGZYgpJze/Dqv+6KYBrhhEh2J6RA7WVP/vFZ
Q6VbXYrVHe24rkYxuB1/RQY5W9mPy/s0meunfAWY6MeiC7MaToznLvmdmDmPar0uD4nlHGnwyxN+
dQPInwSQL2lVcFW2dTwDDZZMNSdWdrWTUyZ0ND+aDD/AeYrfzFoaB6VAt6ybm/jgBO5NPBrg1GfB
2ZmP7QFEPMCCegqaSdOs3xf6GjiTPZ2ioi3Pf799aUn3PHnWQWc324lQxcoszHUDhC7xAPMMLG69
FPMly8LQabT1g1Lt3nEBIaUoDCRP0+1mPEBaJp06TKAiNnCShjgnYZr4i7hJ94bLMDnIu3bHI1ll
Lnn/CdOvjwtRVTZPuDnyEObTx34QXkhvdH3f2jEpNa5QB3HGaxcNdo3hQOeC0kWqtZ1QXakF9QXk
arK+SbVzWji4TC+i4flSaDQMDKmYVGZ26YaG5ww8ap4SvxNIdKoPfek031ScKgu/n7AA9Gur+6fq
DNyH3XxAo66vaN/mP9A/5ZAS/jp1kj8dGJsyOj1PlNKu54okedbchPOeE1ScMLjKnqKU9J4MvHi+
ve1ed+8zFjwzkATJd6F4dT1WPKVVuTaKvDbpR45UM3vKsrl5LpdxPTte7PjOsGg/daTp3yRJUl+U
yjEvszvHgVa26SP6RrilpZjSmYq7/ta7dLyjFIZ0zsEPlR+9vQUACNg+oEseGMH1D40WWnsyj0lR
i2gNs6y1/V4r7RM1/fgB+4A81JRqODlzUd8hvKSdMg+K3kyd42Bn7e1kywUFIiixHdCC6x+SxEZB
m2rLDTkYw7sZfT1UnNYRg09AjDzs08b420CPNeLqow3YAN6DRHc9oojzRnNaQTs8xu2f6YjWPiRJ
dBDn7d11tkQOYQ4QTW4ZbJrMN1QMPwJcRGnETnUPc5siC7suO+ps3pvBP4ayNvm6N4/rOjkNirSe
9OQS5aesQ5AF92LSo3nU7/7D1uHmAb2jKk3v6WbruEM5OmUv4yi3Xd6s7YBhmzYPd6VopMauXb1B
xAZlIiJQ1Pjwnr7Lx24NUIk5Is7tfTlYCGR0ki/KxJvTpkYengOqi1+qi46u50rRvRIBwyq2MDyD
C3uwV183wbJ1HNrvXhhG6HZuBqQp1bJmg+c8GWcjOVl9Z3zQQbTsM8SG9pMyNX0WaIuY01Nk9kt6
IrrizFv4+H3RlHFxfNustSLQQbGl3FylwMuI+rk6Vbo+0hdTNLRDp2qhvUfGCkqeVej5fTYNCj4D
Rpn9mkwdC76xjzr9dHtZ9zYsWCF0WQ09D8Q1rk9FtxRoCFjMpeegJEtW7ZzRwVWxu1PygwO4u2xA
2Yxl0iW9xUIct2qcyqKsWM35csJEwfppQmsOJjgM4WToRyn63qfJZjlIC1wzCBxdf1qirgZezyvj
ce8GlTIYQe9AHcIT86hosDcUEgjQONkdr8UQtLgwAV4pzjtFlOJZP4k3aD/SSNZV6UFCvpPPMBDI
A9iO5DdvWRKjpdijuSSYbdezGcARJOaI1TEslQ6J6sirTuaCcuXsxvWlMZcR4VZFPEAPLk9Tg4gx
SGPhJ4aRf/3rnQQiQYhgUHrieMo5+iPmbTs3T+umAhHRy8a3hdXf5bB5fUeb8vN/GEqSWemIkPW9
zVXuaEtriIqQJ03j/419jciflASlFpMdjPQKHYBWSN+Ug4cerfav8Ncmh4CfqfJhr5T6lEmNEdNq
jhSOXqEDchTIi+DMDjTyLfLBU+Gh18D3FElU309V2XxMRDs92yJSv8bKGJ9NSABh34+oE9fzka/L
zu5leB5hOm5A5LbltcXrVFhERJXwZ9NAwZrvoXAN72muO+3L7ZV7hfHIL5V9xVw59Oy8xJt/bJJ5
pSUuQ185QEA8CnW99i7GOg7nPEdSD6t0DTQfEeDbg+5cPDoQlgx7QGCgzl/vzKzHA7cZGBSWU/Rm
4O0IB2PSz6hZz8EIt/Eg09xbTnJMB3j5Jd/a3Kl6QieYk/IyD3YvTpM5TB9nBGnPeJyS24PmVUEx
thikGu1ySpVDw6e97/Wk1oDG+0gTzeZ4rLPZWUCQPFeidU5FNbn3XpMv5wQXKB9O9Hi6Pb97+4ey
EzU9smsA0U0sl2dpXKeyFFIPa3XKnUG9q5XpX3oRjqoxr+tOBPOqLG1jagL8aW7udFmj6TtH6Xgh
YeZjiKB/y81CV8OYluXA6lo37Kw4+ewqZfOlchfahnrd/HH7e+X3bIJowjvZVMvkcgtt9hPCUZFo
ZSSJTTjegRmScxoB89u6NFc6oizDz2oroRaGSO7tkV+rSMjvx1oLQBY8S9Xl0v9xftpiqLx2GGgA
avv6Y+G1yROR1+iTd/2ObG24N1YXos5caQGXRXzqSl49Bz+fc4b0ajhZC27QbaxiDoBmV+dNGrYq
EcKoUR4hbBXbiMiq7WkaMYeYcUs9RT3y2bc/Ymd7ctfxFejFyDdM3hF/fENjzFR4avAAxI2mk2IJ
/T42jMivvH65t2NLPcAf9tAYnkv+IYCjSWcrWGe0bgJUD/ShKcVaB51SE5xhnoEUtBcPWoHC/7B+
LObO/TYmOTnJkKFDD8Jda+Gk5GMWmDga/W90R4KX23Oxc3T4adwTBJUyRtmspyZSN9ZVfloyD0Sx
TWUFiqp/B5Q5ShdeMqrtruVSoEIszfDgbFxPu0FzwrAgnRwUebqiu2qKAlFgjEe+gYIN/jzlJlr/
y3Kpkt65b6IVw+vJjt+tpdGdDKXEYIPOZRgIlY4AlqKeG/RSArg20WXJiu5gp+9tEt52cijYT6jq
bM6Yg2NJAwyKy/iA48A4DJq/2Dh6lLyjKF7P0/n2QuyOxxMvi2ZEFduoqgA8x0dC7wJnru0ffT83
Qa8U+r3rxhR05jI52JR7C2+QjiIphlDRK3a52ycCVyqrQ5fKjHxzInYzAMQueq/8l6F4VDyDt53+
n60ykbI6RWIJrUOZyKCEnaGjOy/eL9Ob4o9/P4mE9phL8cxz4W4eAj1aC4Rolw6xEju5s7qpeuO5
1rNid3Ho9eQxt4fbm0NYJFKPAsgFHbLrHZ3Gg7d05ETBHFuDT4+aF5h12vv2dIhh7sSBLJXkrBCf
IQ24AZOG1rMWKFsg9q7ZBQT72p1N6vcfNr2k+KKlAGHuVZWmWdMoibABQb1LN94JRdMDyK2T7zQ1
FpmZVR3lEjtwEKwqzJrhy73oO13PoJdaXVa4nDJawnDRakBO0xozAgXvjHDNJ3w/ehpIh6aktjpp
tj/oZYeks2Me/JK94ycbG5HAhBSA9sf1D+lxg1ASnRBCcyvY7mtV/qM3TuvPlARDIazudHvr7K0n
J4Gjx0TblFGvx0spyvd4KMEvLmLtnMeOFbSeZ7+/PcreBpUERBMeK2jbVh0jJfXB2yHvg3Y1qhMo
4a/GjcXHBpbOwfzthSSyEq3JthlSlc3lzvPfToZByGf3BUJgXld+j6a2fgOQU4Krpeujl6NpRcAS
f7r9jbszyaHn6pQMvW1l055zx216EK9kLLVvVZ02cHHo+7o9yk5ITRpP/ZkH3EF/R+6fP2KGfoS4
ZjeAT3TJKHfwNNLvqVE1l8ad0B+fOrQ9UKW7U8uRHHge0oOIb3chJa/y/4ffyju0zZTapcdHlkZj
BwsEhvcIt7QBzaJHPP/dlcQw0ABu4gbdZkianig6HtTsGYpYYa3F6oU9ikW5mxEiRasRUM9sz3ia
H/Wd7Z5BvpFQ3ibK3FYllSwdVr6/C1wlzuAcLiompqoVJASREvM/0kF5LR5DMPsynCo7rKwt9iTt
Udp2ZMC6TIonLymjizDU6O0MAcBPc0+cYqU133XUlGy/nu3hAVNh/Lc1agnF6NqP2UDCSBGhPmHc
8yPCV+d8e9u9ZqrwE4kaVZPKOWUlb3Ou7L6HaYLJWDBStlruJ2GMGg4ja/61m+3CCpxFxbmE3NlB
UlJXkvdTNiQ2j3qRn4oxiVCQ6RthB3gdYRlU0UsXw3r0utqf51nFDkY4unJazE795mbj1PpKNBrm
Qf67t3uRMX7hs6rYoW8OD3LYWpXpckuh5HfGdkqlJp+W6UOKoeERFLZ3Uv8cbDNjyqIbXdZy5yVF
MpyQXdMwerai+iN2iz/cbu2e+n71Ar2bteeoMvMjbtneLgbKQIKG7AjrzU1QMEF77CbC+kDHbQt4
TC3v1NlQArdY6jPSZcnBHb/3vRD06AYjNpBv6fXNFK9lVi4KFfM0S5RHA61d1TftZcFfOV7GJhAo
f07hoA3J16yw3H/nxaSx/PY23buDiUkkLE/Hxqt+nTxNEsShWyDBIlEf16a1Ptl2edRE/tqJlsNA
6gnXG96TrGtffypq43EWdS5dZtzHF4sOtfSUFnr2K26nAg8ijoXhR3b0uawwpvPUqCjDVCuS306E
eQN1uHZQQEhjyk/TPJdvlcqI+lDrmnHxJ8VYB0yhyvVHMzR9GbhG2eDX0ymR5We2hTXZuI7aHJaa
Rj0l7XQNZYdC4OUyub34a4IV20TKOoDHQbzkq68/1RF42pSyp3geSvvd6EYNrfM4uvW9evBy7xxO
AgTZJkmNnCrlZv+IVTgibwCLcmGZfiNqXGNUUgI9g0t/e5u8IN6bFFACQgAXIPAknJuxEGgmJHIB
Lrwoy6rAaZolCtYYx54005UP1LIzhwurdQe/rODfheWMsAgluthUCULL9H3uGuN7mnFsNrkVT6Wf
WnZa+Nj1aW/RYUSMXERtnobokYI8t107fegWpvncxKZ3JES/c/Rk3IECsSxowm24XqQVNvnSZSDh
JryOc7pYDV6LGBa1WPi8LYSbXJY6aeDHpdXyxYqRnb09n3spNXAiSKbkVUDnkefyj6ikcQpbpAmg
QGsU5pOCt1dIQSgpfSuJJ18fc+3OXGbtjdYiwUsbZXdnZrF6FnWVBu1E9uzmyFuMi4IoS+vWp6Ed
jLCrei8AZI8OVl9evJvFR4aBTJPnHQvTLQUMF8qVgvjIaxuJ6o2b90YwdkDLZIUNLFu9/GFYoPe3
p2hndzMoKD13BkHitnLWOvjGmO0KS3oSRVgPg35vDqoaeDRUnP7DUCRoL0+1AZx9vRgCjUi9c9su
6MyxPLkNBeSxwIcSzecj1GZvKuVxlaxzZJa3gNLq4uJVFiSCI0YYwLpZEXT0xV3ouSouDdqmj46Z
HIVne1P5MoVyIqWMx/X3rZNrx/okCM8GoQV4ZvZnXDtgUeBJfff3U8k00nvMi4Ke/OaiLyY1tTg0
6Jejy3eJMX279F4zhdWAxdztofYQXUrKtCvRHUX7ybaTIE3VWlEV0Ikq5RjkdMgHVLeSE3qiJcpF
6N1aQ91jA9rMoefBD1Cn/Ahs2otEAUagR75IGdK8cD23ptOozYhmdLAuZYfBpfQ3AcuIv6xt4/S+
k7tcdRiNYT5ZK2L+n9vhvuDPatPgN9j3hRvYqxM/OtpMPVOHOUgRpyV8b1H3+3J7wl5TOS0gPFnT
hLzOad4yjyfFsWoyAKx6V5R+QsfG9qeyBoqPA+jms0d/+M/Fo3KEa0umPiMMon6zO6P72Y+WVAk1
3UWE8DKND649qr/BNYbuvEwZ2nmIrtRPpRJzg3WRqg3gAJHa+5BDjJYSdpz9VnOk2B5cvDs/p2Us
2TSG3n5pTAElmN7o8d949URNWBsJ/WCn7Ox/2kIdW3be8yBvU8BaXeAi2SBmkK6Kd43AatNQohiD
rFU9GGrvYpctnggASUEG7BSu9wPx5RgZM7hIpxVljN6dTcqhKAP2KlDmQ9ua2veu2WY/rFFUd7bT
FPeajsFSrnTWvRZF00UzFuVCeQA/1HQSobWC2XcWVnG2Yh1lKfKd29zsNIrKiAUuBBDvJlhpwKWc
dAY2UsclCbWpgcevp8vJwuP0sa5E/PX2FtxdCViUsltMaiVtYL5GJZeZEdwLDG+w4RMmTQB80z+M
QB0H0dGrmxZwBkI4sa3MDwFRrheiSZ3FptQCO1tJHZ5Ps41LMmPSykBg35xfWjOFMOu4avR8+yNf
t6rZMLmIyqTiMJDmtgkbqeMM/Wo64uhz7kbfHaf/8WQ3n4a6Uh5tRZkuy7J8s9pIe4S73bahYyDj
hNSFcqBmZm6XV/4QaNuyFZ9cdEsmXbq8b/Qa1YkuxnO1HGb97InK+Xz7e1/hDoxiY+LBewbw8BoR
U0m62S8USacx+ZA24CpwbFClEw4lIxisxOwoVHU12s+3R37NaGBohwdNxgk0GVib/SSF8epaIStY
Wlf7Z9Dr5DdHCNdmc+nMc9ZhZ4Jlaw2ffEyM9FeEI+rXqe9iz4/nxnuKstZaTk2hYoiLG3F7AGrv
bEEpcQu4RRGZQM+43oIQmbRZ6RHAabPeMwLRRNrZmcY0jEcaXduusYjgNJTub8/KzrBIxAIEw1Ll
gdzmlY5kxHmSvmhTn/vWG0N2pytYU+pDXn6NNGX6hGisddRp+7pWBgJLKRcAHxFG2fd2/bXqSGmT
HcKwWINdTKtV3xQ9jH0jmmbLV+syD+2YUNWZ1uo+c2O48+bolX6FxfOd7uGZ3SLQeXd7LmjJfH0G
gMUJt4AvZPPo5mdNNArZVUQJPykU6UM9xngil6k5pGFjmOUSLPm6fl3rahjCmWCcliHXorWpzlwE
UVsDzcTzMtSIz9AJ7XyxrNEeHgUBeop6vqZH58hxisx3nArFpbrqsjedM8fmSWA0fr8Ua1Igurc4
UbB4A94zBbbbwz+j7uUpZjuTowT2GIGXZWgkfaDKRrZaOP3y2YjcOvqgupG3hm2rJf9MPRxH2mv1
ofCddaBz2FfdtOvO7kjKhp4qpPInq1/hk9XuhOFU5ZVNF3bYQzm+sjST6afEzrMfO3pk3HVW0lR3
s1tNTe17RTmkJ6RoHeogrrl8xZ1lvDNToQ7fK1Fr7aV25go/U2/FBnBOmw7bwlXzxHeMEKcMGx3L
+D1pnWgwJ+rzD8g6e6NfzDah+lTXKn1Z7WK52JK3SPjHcYW3lCtNlMdaab8IwvpPJan7N3rshyqI
XsyYLcxHPjsqFJ1TVbomqiqFpnzrMmwPQk8ZsT3o6Db4Cnie/zMBj7RB3HczwiLS+VqHTVQFnehY
ZR4J2E7Ji1v2+uKcnZLn1JfxxVEbezjctbGa0PNgeXHetldu45P24suNkSwe3RY8JJxpsgwgTmuF
Hj3UteF9xdB41Z/jth0uU5KZZzWWRuBdnpnobaQTZJtZN+L6lFaNm4Tz2ONNOVQLWWVtjqfJq6fp
IXEz8U2INPqsIcKuyhBV+wSLp6tRC8MyLFimVDxOlFh13+iK7NOiWFUV1ktr9X4UWZUXuhg388qV
dF8ElepaeA1HBnSNutexKB0bR4reOoaKnPa0ej96c2rni1pb0fOSjLob5l1kv7OE0Co87rzxsVUW
FdIbgjqf3XrsfmlJnmZ35IDJ/+xVGM07DNAXOtmhUkWX2moMZEIzgS0tWDN2Bn2vpx+LOFM+rm2l
YarZr3kHd7+vE6hkZtf6Q6NjC6qVydCd5rbNsHMxTOH5WT4rp8G2Uifs6POD7rgM87uo0PhjIjSR
+b2JOPQYi/bLXK9rf+8lq1b7C3LNKRbfyM36kzE5T2OXLvi5inL4rk2pEodFXHR3i54byuOoChRG
ZztGA1BbUOLFYzcbwqJK0v4UlwkUIgtP+vqCPm02nNKGtzwsM916qMQIzsS5nKrAS6qmCadlQE1z
KODR+H3XadNjASO6OXfoAj8hnw0Cjkxs1H7iZDjYBSEUrvlqC7IYpLhefZibdSxOGP7VPz0Kas8N
rjbOg2NEmXqHkMjinYHnyuSsqB5EWWMeVvs0W5b+Izcy52sZWeVbzpbSBgPV4gnnN837qbWK9qlt
VxuEGAXc0i9FOrR+ig236OBp9lajsEgLmHG4RjEiPENse78bG9Ww+yWqpyzgbu6rC69IrASTMTTr
aUWQ0Q5R3xggeWmzkYaZqivsOaR8vq3Y4iDOobg1su1KoiUfB3LQ0c/GeIatZaSx7Wt22Uf+wD0z
02TZ5V3YxL3pnGxrhSvuFxS5Mj+OFOdTNWXsSTtu8/bcRQkmYFze0fNgzSbhMXv57CLj8NREzBXA
SKM9DNTZrWDpdW0CGu/wwJZQVXVRe27UTMyZ6a/zgFVl4lD4MNxeNd8Uns5zRPf3PNHcpcz/jLEX
felnw0n8BmkKKDhQCH/i5Fu2j6ohpnOM9q1+WqKx0QIbGeealjVL2pWPORXWZOjdIoSWThJHixa9
Vi15ETr1k1lBcba86n+mJ0T94Fh9LYKsTNriRBqNH2uB05DiE8ag6FHpLa3isRJ7v3JLy/FlreTC
1mCea5jEdkaaaXtp+0YVdjcH3Jkr/hnJWr43PADWy2xw0H17TWPrrkHsKfLFnNfBMq9mGZg5LtHP
Td2l7yItMcvT0M14VLulgzMChdUKKpSjrLN8XcoJxCVJMoyUE/6WElO1Ehgvislll8Wa74o2q5T7
1IogOiSR0T2xOSzH16hyVMHQefbdHA99E+IuqVCAKepnVWtSESJ2k7inNXMjEwaJPmBkWwpeE5hF
oggwDKW3yoGqlMpSSeE+ueuUO2ead+fRb7XR/p6rtScw0q5wpVIaJXWxDkFVxy8VdIF8g2ao7JTa
efSgGgUqG7ZTmLWPQXAiIMrUVPtgK5cEqGkdPdiU+zT6FXs+eulHdb2YdgqOJotcb9uuFl6AbJ6N
GYHWlKcuiaJ3Q23nP5s6K/RLQ3+DGmAE348XzsoCgOkq5uB7VKIWiuEK13kCOTG/j4uF9Nkw0jJ7
IDlMIfUjBofH4spLfCILwUG5gRNu+dI0QHmQDsVf8wVk/i4f5uyzUdnzt3nARoWno54Wv8xj/aEt
ZyI5NzKGC6sxvof1PvHoLkP/ZU40+yvHOG3vhlQpkK1RMRUP29xrQmUSAkNmYuXfjWavHwcrXd6O
GX9buGit/Zzkg/UvHQIDF1bcdv/H3nn1xpGsafqvDPp6UpPeANMHmDRVRSvKUeYmwBap9C7S56/f
J9nd54hFLmt17naxQAMNgRIjTWREfO/3mmSf0Szxgr6dEgKLV2N91wPKv2djVq/sSTeyXeu2hDq6
RWK27yssx+ddAp32o5fkWnvIPWN2dgxf7Ve1SL1AkbO8QriNapSKorvQtGZsg6WhbI8GNcEFOUkn
JQ5GzxNzwI6UCEJbsqE6mwxXftXE3NS71WhlfKhmwxJRmSf2nU0aB4K43MKmCOur+q1n9dUXK13z
z26SYmaYamL5CIkpqy/1WU2HKJe03aNBT9g8F4dsyHheYxH27mLUfrJieoOwpR1Dkse0nevWZuHj
3efqfmqU9MOHVXhiE+g0t3qeDx/WeKqBKb04N3E4q3MCY/WY44hSS6Lslqx5T7ln/ljSUjknc576
c52YYn6FiphFAP6cGjpg6SIalc1VN/ZoqXCYEMpHOsV8g0i2JtUfhZrLq05puxt6U80YjT0Fxc5y
s8SKtHEuvuQDMoKd03n9sF+kk5zP+YyxNi3GuQ3mRm9xEKBLkgbeqmRjNHhtc6lOVteg1HSsNOhc
Zy32nZh1ljgLxyrM4iVmZeOQ5i2RlTOoVmMp3ho0hufu11ThyNrEox5H5aqVRtRUQsHLxxFlTuFD
m8Sfa9yc/FZTiPTo9LaaA3dsLL45z1qLKBmz4bapkQ0TZFWvOTxIR8kj2xitG80uPJNNnbYjPv0k
FdpV+4BXv3WuZ8Ngn9VeymTGZ2fEUIv3Ln1PA4/eT7XafIV6N03RKj0+Zm8ijr3XCsXeJcjG9oAq
Y3E+zel8kWV5N+87Y61ujDivggqTCyjxltoGConcZ6iKmD+avupnuqhdGpB2ta2YnWL9yFah0lKK
176Icrgg7FlF2Xnns2LwfS9ywulO2G0fR+qiMsdmZ+w+dgTN3yo1XTBOWbPb8aty/ONLZxl3rEtq
Fij487ksIciK/S7G2SZw+0ptgpmjFJG5ZLp3TBmsFXdd48VTGMNDt6Km7hsHjSqWXDutqced5CPL
gtVQpvsefuCPvJYJGZNlplzZlZJUBB0nq9i1Q53cj1aGxW9PyHjoTTMigG1vDWe20ousE8Pkk1QZ
v68Z2/ULskFbDjIqOZ0YpssHYpfTP7K1spJAjMu0n9Uq4VSCS9eDqXUTOxg7phfmKn6MHFPK7PNa
TVUBDFonTmBkHmYhKRBi4veJId7lrVbfT/2i5r46a/KzriycHnKto7lFerFd+Ggpegh3Ml09osnh
eEVubnBAZF+vb0l+a6o9H7J5K+J6uF2rdf3QN+N8N5lifdhEtKzSmFA1oVN33sHoEA/TflmXjyqt
NNYlc1mx11fK4V1nJNkhVez4Bl5To4Ib4qECoSqmWiygQGW7ahszoCnuxb5JOk/mw02XIoCjxa9q
+lze8+U2pZ/0YuRwqdQC2zDR0sp11V5dDlD9KuVybqq19ZtisbRdiWHTnZXP/XBesUztp74W/cXc
V/kPYaadGkHyMC8gwrq9b2zzDQ/DcqLQKMWAXnHMYvYTLJszVqw4a8LRLY02ElZaU2MbgsxNWKqk
bI6z1vplPFVTOGdZofkVPvxWUFoy8aJMa/Lrwcaj+jpZHHa3eswl6gwjYaVqi6JNAITlKM6VJBd1
4Hor8VX66nAZ7dDdLGOf6hHpUgtlftUSTKzh+zDsHEGGLAWjMn8zpdfft04tLkdbEsGlT325YO/f
akD1rikaZgP9kXGxc46gbqK9E0Vtghh6RfOuN1Ig9Y75cujaSk4RpI/qm0pCZx7SWHRR0NRoQ1nU
Gi2PyPK0f/CuJaQPsyuTM+yR8+9uq6pUSw10ysBT7MYieUBr1kAstVgjrV68QI01M9m3yiLvy87S
eQorlF8uAcHcrhgb+m22UT+w7Atzh5+P1uEdvgi+g65yPw/I4KNS8YifiGGUXWlVpTxYqsjXw1oN
qb6bs2Gt6fnV5TtsMfMWOqfS36m9FxvI8fr1B3ixfoGmd+Iotzi4hTt1Ko1dMqr994LUnwfP0Obr
lFrsnTnVXhFUhdbc5q5mfGIf8K7ToezJRgSEghHjuQcmivmx1ycdbwDTvbUQAk7sNTFuNoW7ZhBK
9KU6y+MkZ/FOARYI6F76LsyRR+Pl6BLZ6vfNgNpcmMJ6i0U68XyowYfv2K0mul/Ab7xLm1j9Ng6G
87USnWn7M6kDxCShAAIyia0PhT6MLUEsEIlBX+zpouxK2wAaIZBX/Trj+1PiGW3FMqzr2J2isjJV
E/ObLP7UQu9tgwL/yA+Ymq3fdFWCn0IGsL5iAs03BRo6YV+4KvJmERnbAnk+tH4okuO3ZrwFGnKW
JUQZW5v0mqSFhKWgj+spYgIUIWVmNoWdJA8TsR2N4IAQm+kB5Wtx09WZKEPJeaD2NWF2+V4XdLAD
y6HUv3QSVf3Uj5zWwCYEXb1xVlkH3RmVmuVUSlBMtTWHNeWbDN0Vh6wQxF/9aq+x8a6yiyTBJVeu
tIPAw8CMFTEcOkqnNahaxf1Mc8vBw5HqYUcPY/WioRgXvinPnJNdNU3VoenaWQZ2l8osKoZGiyMN
zX6oi/57OZOxdK27FEE+OdR0l7LU+Go0JEcps2gWjipONhyygjbWtOpav0+6wUB7bXfFjL8ZBJaN
iENNPWNsPZ6z6+l7gwZb+7ZzMnvet0k/Xc7wPUWIUTzkJIeKNFyJ9+PazPE8big3YJ+knV+Wkq2q
ai1qgSz1VH9uzCzkCdWxXyvJZIQFlO4mrKvFeWsXCvHE0u7Uj/1ccmNLK/t7HM5d92x0yXc557hc
X6qNCQJXeWpf7vt5ah4WUoAuJTF3PbAuepmwqtf5ysjReu3cxXMAHcdpbsKZPXuzFGhXLsFovMLn
nzhF5IkR1ICInuZSrzY707XEv3nXFIP7mUoWnqRKYGPmS9Pk1JIuq43bVCb7JVD6Lp12pbtSFApM
qaSvW1WchtZEknFoZnrZ+7FiiU+LvRQ/KqdUSQBi9u5jZMvqAXK0UHfwN7ThAlMFKnUvyUotHFvh
wvXO1tqOqopbpw2OuRZHZdP6NCVNvewxzIIRBUXb22xX7OZ+sSl0grlC2xYir6OAyqq+tWAb6fZD
WZvqhVw69YeeGknsayPFK0tmyu42FGpFSqM31SkZrIv3QSsJZb2ZFHdILtKuoQgzXOIWcint7Kyt
6+zOG73cC2Slmrcl7TZMdU3sfwhkWNc/0oxQ67MJBHVHmFf3dRapxnePFLrHncmg3Mk4oZ+LloWV
fpmyfGLt15xH2cllEcfwDmxEMufK6KZVpMW2uf9PrYFjo1kd5kJgR5nfWjJTgyY1pz87KP/1JNC9
+8d/8+fvNVKMlNyKoz/+423zUH3o5cNDf3XX/Pf2T//5V//x9I/8y79+c3jX3z35Q1T1ab+8Gx7k
8v6hY0d5HDN+qLe/+X/6w/94ePwtH5fm4fff7u7LtIKu1Mv0e//bXz86u//9N3TqcFoA/rG7RNOw
uXn9BJpv4/31l6/vSn7P/8T3D/Lkv3+46/rff/PeGHgRIghgDd6EuJtAbHrYfmK/2WypVKSVEGpw
2dqoglUt++T33yzvzUan49iMAInmgAMEj6D78UfOG0xqsduAE7Y5hfOjv5/LzZ99yj9fBs/prz//
RzWUN3Va9d3vvz1nBPAbMLul38f82hpwT1sQvTZoNS67G81eUc/Gpc6DTi2XcGE53FtZGX/LOJD5
OTgkCECiHKqSA9NPD++Fi3jWUuUauB2SV/Es2ZxEnl6DXersHjEMCLdKYSVUBmYtVqqekf/+AHf3
lFfFMybTNhzyYdr6GwnhmASG6Yo9FenQwWJW9Heukhc/lqJJbX+aUIOXRVt8xrhJ94FEaEHoGLn8
areJrhuTggaLRb/TPu4xumQyQbOYuqCXW0mR1CKB2mcWu3Uw7TPaGtNlYtd9+PpTftbjYlTkFNQ1
ULiw5Dli4RvtmJZWhl5k9srukBpktmRFMYTYT+cHOI3ibFUU/YRFAwpoXt6Tfvk2rK3pzLHNuOXY
XJWjY+m2MoU3piW9EWYkxECWIKi48YfWlgM250b9XiZKqoIYJvq6l9owfMS0a4bS4UqlZwN28nSn
oWL7oOS2crcss/hAwSDIiLPoGIaLKlrOIG5L4NaipciqFs2KxxAHlVTdN4PV3LfSMJsdjYf+Ownp
80znTNqQZce0e7eomFUEeP2b9y7o3/04mR6IUZuv8CzWBBiDvTm7pgIPB16VzNokB/ifNYRdUFjC
JTOK72BJ2m3lssBDpGncL3pTNHd2mhQqv6POvuhIoWrUgWZn++A0+XtaKvQxpS7SG1MYzP4MgMiN
hOR7iBwsua88oduN75iNtxkJJZguTAqtCD9TV3k/jtIurgvbUXZotQpsuT17YB9bHSHCuUilvZ8G
+ISdkRvFLvFWNz2Av3glYHXljKHKqZXbq5euiKAgVWvosDncGnWrzaCXWXGn0bo0qFyzoo+0WeBu
bE1DDR6BT6d5sPJlyIKiM5D/NKueAtF6iP/2tjJ274GxPRFWvYLrpBWn9Y5qRmuJzcr6dxOuBJY/
rF3/3WgwWsf/hPiwaJyWYvHjeC5G3LVrKX3LKbTRpwlqu5wNPWwcjGzNbtNUVuO7oQO1A9sxnQJY
JlVMMqTMDlTYLs0/emLCikDF/OztEtPygYVXrgfowusnA1LpEAitGN7X2XTTmYNlHRallTaturr+
pvOYiyDvq6zwzcZU3+OqRgSvakh0ACY2YjkG4WZxK1xdMQIW8XUJu7FHx9jZaXMhkwyAeOToB65C
V/djixNcEtLFACfqIUQ1waBIwnZZcBLNJ+EXHzy1bcwHNJP51zjG2/RMneDx4spZoEFyF3eOfYv0
Gwha66AcaC1VjT9pbQxwsSrpD3y+NwNa00zuXGkr9V5vvdSJNLeg7TeqNmSq3Gxc/dJVYCRQWc7j
F8qRrKbN34wHaSprulO1ZEz2FIXp4iveMqbb2bfub6AWjQJ/gZyeapYDYuwTra0/TG4+NUC1GPgd
plRgLTUAzmA6xXHpYnTnAa6SpNbzWwh67yA+dpyV5WJ8NEoHUp1T6PQ/mqGjxYNQctZAONoGrArA
glSRtEQ4ypQmv32lvVDs3K4irwoyGBoAGvhNYLQwVHxRZWRVpBxR9a+yJ6/h4FVZ9cWbXMJPl6GD
EWrZnTL70zjb1+izle+mFutECSyx3cLrEHPv4/su6wi7vEm98YTqzHiECZuWW2m4N2aRpIQV0xds
o1VP0oEsyAWfq7h03DOOrzSWSaLO3tPhUZPdsPQyj4bSwqx2Ljga41RCey/VW8C53LPluT2mHqVE
lThUYBvVj8nfj99ImjRutWSp9LDry8IJlq5EWpfMhPsGBDMmbujFKRYXhthc9/vhJiV9xWmFjrl7
taGZi6Ua6pm24Db0NVOHuTnovZPfUKUt570KioA/SjzUYBmzfYihAA1gYpkeA+IvqBIKU+RFYOM6
aQEOOSCYqyaTT+Pk5Dh7DbGRhYrWuzUH79FywsKo8y+KsuBGHAv09xCOtfxLlXT2HNWKMp//Zws+
BDw1b+96yxlTa4T/5jLQcOiAW0/IojZCwtEeA1sNyghMms307IiwoGQmOjq5aVtAB0lqnGVIiyAL
HK0hpyxp2/us71QfZdZ4gk7zjJ3lIFPanNK9bVykZ0+PLmapWotEMRfYaCEjCPLOmeTUd6mO+qnE
phdOSfRyOEV6GEdAhz1iZylCz5rEhAfrsR8QkLKs0eyU9h4vrA+1WJYTO/eLdwYVbDuBsqsfe5Hm
pZOwMDjbMx2qXZ3jpuAWQtmxWJ+y/Hnp9W1kKIzFaRG61sZH+YnZnemzUvQlekRlBRYbpRJHLL0p
Zs/GLZWbvs880BDDmpUTQrcXTr9wjVQLG1Sipwh9OBq5QuzFXs/IXVkY427k1Pklzvt5P1S5/bnv
vUE7ZLPBQooJ8FtHT88MZD0/Xj+YbYM8nb1cBN8n9FIOhPz39PbzaVkHu2QHoUel4Qhir7u0Sk5x
f59PH8oJ3qb2eN43jo0BRy0e1l6b2adwGtvBElFClGccibCZJRuUx/36Xb0wHnWKtem4UMtgU/P0
ruB2zUs+In/AZ/QbJWQk8U4Icc2jcVr3u9cHe86keixiKIp0LCfJF9qu5qcpJNVGlVpvIFm0Wuz7
0WDjbVIt/mwaLZQkTEn2atNVHA+QKLVtGYcy9fqoH2MjmLSpvYLd0X86cVHPH8FWpG0pTpSUmKIe
vdhWp0+nTEgmEOfUpCbj8AYMRCM/sb+JUuiRXnrLGVb2w77t5OLXcUlmx9D39GOXuKUtas+BoTfN
vrVGB2rk2p2oCZ5/5BDBbebEVksa1rEfb+FkYJV40KGNyO7ZCLorVVgiTObcfPf6w3g+yRmJcBWQ
KLhlLNRPX9DQFqaSWwVKsblCNAL8tU8JDzox6V4YRcfDgLqO0+5zq+YWulqJFGpzAPckHLQ1O1d0
Q54Y5YWntiX1EDzOOAh8jhb9urG03lTmMcDdiSN0YoxntpZ9MaZ13b/+1F4cCVUUPi8s+/qxBeWo
6imtsIkWPFien1uxc47juOKjGivOXh/qUR3ydBnCroOXgxKLxjl4xdEbStwRygpG7YsFsqo2g3eh
J7EWNcNg7fIVuScyEpeuXsPxwCJycwdY7PjDPBdBuUDI8JyU4kgm3aGbSF1+/fJeehKgMxoEcUyT
8PF9enWxwwl2LvspSBq1gsxhrlE96elFrs6nLFNeHIr1CYI3TFmWlKdDcZIdB9DYKShpZkcDST9+
Uw7ZTYdv8Inv7znvGSQCGzMUGTp012cWhq7o+lhboNS0xmp8KAvoa3FubPSrjVBHNzTE5OFmVpJi
T0vPQ5dHbROWdVWf2Apf+nIgbiM5xiwKB66j56usOe8xxjN7LrX1wtIKtrzJOxUW9NKjhXmyeQ7g
xIKA4OmjnRavpj1aTFh3Dsn9tBrjN7rISLvpRPwbHymHCb5RlAUm+9DToTQd+hviiikwnRlfNKVs
4Zeqlh8b4Oi/PjfZwbfFgOWAOv/pULrsXMyODYIiRLfsV2LE/AQVG82u+Y/XR3rpLeE48LipwN0+
DlOwe6P01kIyXWQznKFLIYneBT1/fZSX3hK3AfKIkQnHoqO31BgCcUAGQaV1C/1QwmXwU2m1h7Wv
f90jFW8imPBb6gbeDXwHT5+dUtYZbbyENgCuulFjFcD/bhdfCqtPbiY6n181+J+fbag0gZqTU9xB
9ggWA4LbL970diFb8gc+dySAHTPP197rOntQKPXZa/fqqi2Hdhpm4LFGi355KMK9acARiIPYwdne
8k+HFUvmSUneEYJpAyJLq9s5p74FznQ6nSJzb9vqk0WdquTnoY4e7yAx6BwhTYJ49Cb1Qv+lwmhp
X5S5/pAXGdxyiMi/HGK5Dbqpwg30KpvXwNP701IqLr0roLss7XjeGDV8MKJmYRsvp1J4nmG5j0Nh
8U+NstmGHh0r3EroRG3DAOx7opuo/jIaPBaUDW3NmnM5QUus6aaERFpPl3lvnvLAfla6bONjJ2Vo
rDGb6dXTWxXzZKQEXqyBaxfzxZIPMBqM0noL21nZN6Nuf+MMnH+Yne7ESvDii92kCtQu6JGOXQyl
o8HUdrwl8IZ8vB0yp73T83Tcd1rshK3qrPuc4KoTE/e5Ixq3i9hfRx2ANuZZ3MnUKCSBiXoJYMFw
05mtZg+rC4ukpb1BPCBqvGjUJVMZ2OgMVlOCOZ1hp4de7T45Tu3uUpdNzBznAQvrtnxrwPCMBs3L
d+tYKTdFQmB1CbEpsAs5h8NcZpeuWsvvr3+Az0Nft/tAKrupuAzw8KPPQk0w9JCetgQ0Rq0ISuSn
brHrT11h9uHaztbFqtBL9+OkqC4FPNzM9zZuOdACSTlVCn//9Qt6YRoBzTOBqF2Qix8rLthA9NaV
EMRsW0BXsoee2KGlNDtgzVwC+mVqG6yK058DQw7/xnpEs4m9H6NqdVsCn05iQmdGBda3GmSd2u8d
G5+AOoFEVmjOKbzk2QZGPPHPQx19L2mPCUYh4C418aQFSCOgqYDtntjAnj9OlISUMzR5NtOTY4/N
RonteVzEFOgYcIWDSdy9b8S+7u2KUu1CfIGnqC875cTn8fzmGJaDHBUIFkR8IE+fI8wOiqwBwBBn
KTNylkxc5Tlhwa/Ple1tPF3SkcfRK8MuAX2mebzkEQ2zLtMyzdDKhXVmGPHkW7Od7Oam/fw40v/T
nVx6mdRLfEd4pvKcOFQzOf7r7w7ps06uDwr8IIf7n5u5L/6KP5u5mvpm+07giBAXjyemx7L8ZzPX
eYPTO2NiTIzDBHAOw/7VzLW1N7gUY4JOuQggQlrkv5q53htgAZeATPqAhHdy/Pn7Um/+fOevNnMf
D7VP5gZJ1mCRcJU2f1C+taczEC8C0+sw8qT+NaV7prh4EgcaEqYEsl5VfqLRYwdTQTcnWEYnvdOS
aWPlddDREVUNCDSsuET2VFI+T2cJ/K5Pup47TVAMsjlLpAKXTC/5KeLAaaFFmi4pvRyCpeZNFJP+
QYS82iDl0SB2xJW26kifxvVmmehjA+y7ihMMWC7cr0rdv+2MMmnQepKLdeDQpSphP3T6cBBut8CR
E+6DVGkJwLy2lG/kPE03uGJ03zp0XRAha7WP/SkGDPIVM7WvceDSsjBONbgqMyDeNQKZoYyUQU5X
zhDHP6YMvhJNR6u6ruZmmK71QmdDGldQCS8x3BR+1YBKYerpeIfKHCvze4ifygX0NJc+Kej+W7rU
0Fk1NXGMm2qWrXk2jllD3EVnw1iTaPJoDkCuNfwkMYWKiH5GbT/WTkM2KJHpyZVo1v4tbrI+tAya
flZhTxV8KttVYEEqMJPGuf4Y23VZhrBU8vLdhA7wh4X6vLwsDaswQ7UqN7qfufF/Cji+m2QgRZyu
67GHcpygjzLw2jQuwq3dXmCFtsA33sJZsaOkxDMCiDWK8kdeJ2MdgBfWdggPrHI+92aMAr2Uin7Z
quSJnaFFBz7rugUW+tzM31p2yQXwUFdirIQnnbaCWWlZlD/q1lLhImLRNjmbOdqo9ZtN5EaKPPul
rdH5+bqkmw4Omjd00uZRH7cKZZV7UyAs+EoEw3hAn7nc6kNle7SANo1d36Z4oPjyUX2n2JsSz45T
VHniUaEnH9V65aNyz4TDTGJn6XZZMGqKZl93LnKQQ4eShLdjYwP1XqjtOEOKU5v4Il7VuA5KRDTZ
FRWk7dzY6mCqMOmWMju08+Bq0QBLTd+LahRZAOVTN+GnayVWwq3dkEfNcakO0Yk3zdWgoXO8IaaJ
89Gsy7zc56wU6Gkg/CIMsJse+qcx5Rex4UzQkeasqv2+TZA4GjbJwIcWZh4B7BCiwHrahs4yV2za
odEZdhkgpMnnC4duTssnXORuVKTFEBk9fe8ItzbilGbcrPc9ujR44V6s/qUd/qX94Cr9Luuu/tE/
pfE8rlr/4vj838b/2ZZ8UweWAAGzKOABrF/bNW7h7/yoi2e7xrNf8c9dA9CdzQE8CYcD5KB/7xre
G4S/OB4xS7CYsKi1/7lrPFKADFTobBx0lgjS+Neu4b4BBECsbBhoAZCSOL+0azwCWke7BrUT/GAY
UJgKHvvG4CHRmgJZEqv8qAz7pifqAi0swby7eGo8GeRKql+btUApZdAQdjBgYRFNHUd0sO28/Nyk
cn6r479hQUDuqn3pkrcA2dy5yitFeV+PGWrcWjW/YIDp8W0SWUNY4pqt59aYLUxZHetspIElXAoX
+RbsNXXwTb2Dva6jb4GqjseiGeNEUFQgE7AvhLyiwl7QxtZOy3WlGgzbOJFWfI7b68J30BjNu7iK
xecRlYUVtqWJI1ZpW1/kpKE9dYaN/JvSTc+vSCWD6iDKMTlvNRVXRW5b28W9lZjnnVqxnBdxb5DM
9biPFbW93iSPu1v7uNN1irM2fqUs1a0ou0uRrfinpIab0E3NHXJCjMc9U0sq9s9820oFYAOmt2iz
P0FNZa81H/ddkEf24GYt2I/1x70ZoDy9mx93bDQ4diC2bdwycO0LieszsNzGg+QDyetQUmpcEjXf
yOEhXi0r3rY+xh35A6fL5Bo1+7SG5jRwcCzqsj3vxnX+umlbMrxW1PiiyqsSGS08moxKxB/MoX2n
GoMb2WruwdDXuuUSNeB0my1tRX2kuCe83Z6dax2TcEoajvwfMO24v2kKfWyqzjID6dgfpJcVV7PR
/jDLsTxh8fDSQEyNjWimmQ7ei08PSQUIs1BH2wwUGh7+DP39rW5N467pU0U9Udht9czxp4WvMkaP
W5MYROTpWBoecXFcembg9CNO5Q5nJuhOSTRAX/GRU5/q8j0rQXh4Jic/g37qhr8cjQdXL9b7lvFk
PpT7zlWVyBzW8kQzZ3tCR3dFh0DHTnizQsEz+uldlW28WkrsmoEGbSsQdebtzMaKQ9Mqv2q9qkaV
Mdkfflph/zrs/sxUfOFJwnbf+iCgD1DKjoorTdFJcQP3D+ga8XE0Vnkd65qGzFlvmdfuevv6eM8x
Ag7l9BuAdlhkmS7bNPoJpRs3RnuZOkbgwR7xV9deUANOxSHDwXs/qJ1xNmtOcUDfdIEuH7A0g482
lr0eyLL/ZUhtuxj0L2RswdzzjucRlKGxFJjdBzTRusMa1xxSmtUKYGJ0u9dv/IXPg9kDPk9AIID2
Y8/8p/t2aqcvPDJWtpTA4uCNDR/KgN5Qk6g4/p2hXIdtjkrNPbbd0AVr8FACckjHbH1Fh/MpuvFS
Quj41Sy3rcLa2pyUR9bmnvv0ZTZ619awaRjJhdvTrfC3p3jO9ok1lZG3tqeiTF58iFuJSI+D7u+j
OeBPD7EsxFSMHrO1qip3D0rIx0E0977vsh//xjOkCWmZFvUeH8fTO3NLJcGzT5ok0mW1vw6xiGRt
jFE2x/LEzHjhs4fxBzxOhCRUt+O+Z+xYpamlOEM4nPxJwpqsfSXKyBKdDEsvnaHjOXH4+u29QNHY
aIYckLAUfvTkeXp/JVTJNBGZGdjWXOm+vs4FVMMO1lQMNwsLhGxsfkwSdtPmCYuccYWsdr54xr/B
9eFKwDHh31Dpu8e8YSBdWck5IQZIKAgdtQrxfmzJg0p9c+qut9XsaIUl3WMz46fXiXf20VuFbamO
zuQi10ohu/US2WPpvrVRHwStZo8X3mYIENvdDyENeammZXKgzDixeRkAE69exYaz/TSL1biEkVqb
RmDFZhaw4xDpSrUWjyjWjW5WkP+brt8Ie3o7YwZ9qEakWSk9hws7KbrLtVPMcCatMYJot0blvLpn
UBEf9Nw0r1p0eagUYnP/aG22EBkYphjtjdC0vGqnuDAzNETVoZFgBGROIvYbVynCdKKYVWc7veQ5
2Cdm+LN2AsvEz4/9aGNTFMvOoZtSIaNsjKtEnBM9XZ2ZVaNHOamTgSihuCkCF7gFGPDE835p0dii
iTbuAsvhMYmlW9D1EA6M7VFbGTuRTsVZB3/ybIKFeWIo+6U3SxYg6wZw0LNGbKrk2TDZqRmI/ptl
Kf2et1GFNKto2tSnutwv3BdLLvzvbfGFgX7UWxbrDJ2JoJygW9S7ChviHQs0n3KnLSfe37ORWAIx
NlQp5sg9gpv3dMIiLReoYcnMiBOH4VoIMxjl9rs8NU9RZ54thttQ5Jxg4MW+8szA2xiKrO/tVA8M
Qz5gYDMd0s0gMq/UKuzFkGGbtNb71xfD57dHs5C0VZwTaR9yGnh6e2M14ug/O3rg5QaqVfjp+8nF
20FbJ/sEyvz89hhqW394jJoK4Pl0qNhOSYruUg4cnhdHRgXv21MVuEuVK3Z8DwqiQBCHx/v7/wDD
bxvAYNAexEYeTQ8mttta+7+Hpf8HULpLhu4Yln72K/4CGLQ3nAuhbUBJghxKX/lvgAHAGjQcMJgN
FIEBhcE/AQZ7w7Lx3KNWwHsM/iqr+98aI2BpWCnwQf4UH3E2/gVY+vmiShtGJxaWwytDHXfWpyyJ
a2lRu6ZSSS+mFS8Br10gZuCaFFilcSftKb6WZARddNbw/afn9kLZ8ALDBsQQ4hDI+JaBduws2GIC
ny9qZqPzVMddZuRnpWOdYbR0Xlj9BVwUTM1cY0WsD+3SHJPrrs+L6PWLePYxcbyl0mR0HBwt3Tta
AFeAyj6xSjtAjzcd3EadQtiAM8GArYywjVLeQl9OTxx5HwuUp2cIRnXh1WLoxYHtuAtmdNKq7GqT
gCC9dwId8WyYN9OCaQgSxwVHGE23Q4Kr2FBtzINcBLdj5Flmbe0NIWCZQOVezhsre3S4ERn9NJHV
7+hV1gDh7Bo+ZwDzWqrp8mlp9dzza7JQW9JnMBBK+z75EK9gDaGp9wDvij4pD2JD4+vZ7cuoQIx4
jfkRcH2cd3hCrLVpXY+PgD5YEeB+V7gLklqxym9w4A7OgD+c3+C/sCnje286I9su68IJpPPOnLzW
2tE9BWsuDCqpExvms6WX+cOtb5U1cr1nhqi6whEGG1crwOu421UOVLCpzftwFqhrXp8tL5BZ0Qlu
lBj85VUOv0elLvFxvbnOthWMDWrsvByqm8RxlOs8peTOQcgCAGu5F/1S4lzupTu091fZZHsXizGL
635YTtnBsqO9cGCg/CbMnCYWEOH285+Ogh2kXZRx2HPRklixz2iUXJICZDUfMAnsy51jDu651itZ
gyJi7G5G5CfYxniYyKfEOeC85iBIwE8P5Z1vkTgsKdq9ydnXqaF+c9RVz6IJZdJlU+rrGiJXvzYG
6xJ3dPWiXp0ctvLQIO8qylT7nCulXMKyU43PhaVVY7QmJeYlwzphzKeU6Rw2k119dquiuoe3n0k0
1N74GRrJGg6gXcphMUyB+kufDCfU+QLZ4txJ1ULDGtTVb/mpi6qsFx9zA5vryCvt0iLFTDHiAya9
5TvkJlL3Y5XWlz8tqYNiX3XkWxr5xR8dDgFfJU/F9tMqFz3WG43bR4nS6Ac3Yy2IKmHhK7bKJG98
bAnMr62CjZq/Klft/2LvzJbjRrIt+0UowwzHKxCIiTNFipJeYKJEYR4cg2P4+rugqtsmktmiVT+3
5UtalVKIQADux8/Ze217R2i3yI8C5HUa1dmCwzfrsywDZtBYxh1Eu4km61NlbCOlBe91iOvK/1GT
MIZqwp8m2j4zoy4cEL9Lrsptbug1FvkN73kFKnEasgPh8KkJCgIrU6RiobEeTXV/V1gxqQrYk590
Pv/Jt2qRhHi7NHkYJi8zmdm0s3YQVfZtir30aNpkkYXSn2EE1C1ZhwHjCbs8OEy9U57e0R/PKKBn
UHPzPus7PGFDu/pJ2PUQ5ELazpPa5Tb0LjASZDkc9IwIA9TBWX/Uf8/YYDAxb8tF1t1skWHjDjc9
4rDfs7naTiCXWZ47RjUTKRXiFUimaNLGMgnqcta+9pUo75yBU4g5JeaxrzV4JLDRuy+2lzKndGYv
nc6J0TwqXvu72R9KcBB43JjL9RVQhFZXjRXmHQ3foLLK7MoXk9AvMCZYcEmIH4YTiEAMuYRuYrpr
pXM0RBxb8HUa54uKU08hlR0rL8Lyd7/2YjUC2stg8xNUg8VhyWhHhLKYs/QIQnH9zwnu/xdUFFRM
RtA/QNJymXjTFGOV/L8XVDgmSLHqitcF1T/8Ff8uqCzjX8SLIEuEkUuhjaL8fwsq0/gXazI2Vspv
GjtoPv9PQeXxH23wfYMinL/593/0n4LKFf9iB4bsyfpJ65JTw39TUL0LynEo5DjmIDERtEQQ0r5e
jKsFRDGeWifqEl8701yST7yf5o491zzpdQMYo5/FrtRjGgejxpiySY3b1JX+Aa5Ec2jKZgh09vyL
mSHDpUgcvcSX5XWfpjTRL4c1Kw4ZA9sP9tB3tRhCXH4ndE6UQbTGfkd//7GJyHzUFU5LJxLMy0k6
S1TzxWpjde5FlRYYNi1pHBrYJ6jqmUX/cnhXadTFSf7LrNz8I9XV27Js+zjIExHsgBDZlBuvb+OS
DFoFj1FEzVxP4cCMBokDOtNs0AD4qaU4J7nKP6gFf6em/lmWcVUOAOjYORAIAgnfXHUwk0lDkxgz
A7BxO/a2vcq90NwaxBzExCaA0aQ9+7WbW/ukjK17s4jTF5B0/Q83rabnqY+ZJLeWkL+gFKK96yzN
j4OMfHYQgEsZfzcZg+sQsVZXBvNQTr+8CeA1TL6yE3ugh+puUnZ3l3krgx1ckdhi8oWBUl0h0Q1d
sxIHkc05tsDZmp/JEG70aNOp36KLWO+8ItV+rvqUrCdl5xxG7YSxn1G4Dk0hPnB6y4BVOefSi62P
TqXvuoEUIJRgPjPTTbaHh/71T2aOcIrQB9qRwet33YiFnQPyKTZGrTxlVqffoSffD6NRRrWWf1de
/lEc9tvTDE1x5lOMchhWEUj7tpb3vWQ2xkwS5eFY2j2ZrvFZgpu59fL8Jk5WPK+5l/Kpptg5pzxI
H02U/vH6HisJo2QGxt72UP/xDiH6MCXDYS0q+9q99Lv6W+KShlGVZovLck6wHub6rmGFCHsx+oc/
Vs1/Ok79Nlr8+fhu338zYqAAJUKb8+Hr6yuzjr05T0Qks9m8TvTUb/cl+p8vxsizF+BNtH7aIFZz
BhTNOCMNWY2zr9nAd/s49ucwEYZ+a3lATgPl9paO4akpTrWZpwCdxlkGbm05oND7JbmXqVV/IuhD
z7G8FOPPqR/raR83SVsECr/p9yHTx6dqHvBI687qeluK6pjAA+11QMDwRQ4ZfDzzehWNfIGuQ/Ai
mczefmqKUj/3+TyezRoxSIAzN/2WZjVlXiO2jCS9R7QT+sCEf+Qgl7XQRpaeQxlqVxXIlSkm/96r
74kDOXg3Dzq8AYbdNX9V6s8vPDxjjEH7t8W5qaz90gxWEab20LwUKZFdQR6ngwy6GBZvVKQ5X7zr
tNjexbLXbsHgF2kUL15+uTgK4s4E3+Pk6/zoUV7YuPhdzcp/LMtEVkKt2Uu8DYK7xzgt+iYiD6JF
iOMs2Hy9qYP0M41WcaXpgGuixsKStiNu1fSpLCve3R6UqBkMiznUOz3Nh2XD3OYrjFyp1Gah05DC
enbHYKZf72JsMUXgm/B+QOWAEgAwl8klHGJp3a0T0tW9alr14qJL2SQzdv+l8dziZUAFlQec/4Q8
VvCjvpgU8dg6p0VeEIURl7sk0SY4OLmR/tpOtfUun93WDMdx9pc9tSncPzSxa7tDM+OOISgJ72nN
p/Z+im3Ie3mt58fY9IANL0ala4HTp23MJ4d5UwEJpDVtc3oKITQOdWjjeFmo4cr0zIbFhN/lvcWc
WFeuccDaXXbR0hVWHYyqNZn/ZzP0PT8B5x3k5jgkJ2s0XDYnX+u8wEe15YXMJBdWxrjjfwaHByC/
ysorRETWw+iO668cFMFPwakWNoGwtWuazRxVmB2r9DKGH/Ytd2gyR0YFjj/EdwSSxKxa90ez4EuN
FlN5l7Lx82dupC/B4mXlRymBb0+5vNybR4+mAYNdNCFvGox2b/SWiaNkr1tNexA9KitivRcqAn3+
+veVZGsgvllHOE9uuhfk8zQZ36wjXQL6OklxzRfsQFjlbUddaq0rPxj2v9sx+EpstpSJGOA3J+qb
HUMsxgz+cEj2ym/S7dBJtI4Ge+5GDtX6dTHEEdFbdeGWdUW0gMxuOsMtPlg13x6ef38GfuZNjcq2
v0l5/lyzDXQajFyzdI/ftI70ZDWO1TJa1yjl+2szTp2Pfsffd+/N3UXOw6AcAbT4t3jozyt6llzq
BMBIZMtEPBoFaTUP0nbS+6IqPmf63HKmzbTcvxAySY+VVesJcGHRfBlU3MOQNDoL7l/uifWC/9NB
x9JzAuY1MsZrZD7IU4xcyT5wQAvLEAyH7+zMpNdaDpWG8Wj4lYnTeIW4kJFY2mzODM66S0LbI5iy
ltT2ONPqIljqwrrQ4kpXQVKvy03fJzbkjBjAI9gxR7/kiKxEAEwO9JWmy0nD3FDVe1wfa86pPlYN
8P+SD7hUFOaAMUswfppJnjahs+OTW8CKCRqpeRq4MsHZmyPdADhEJoUZlaQOMExc2vbT6ODCPpDr
4tMG9FMDkScIJLjFXkf20MYN5M/lXvubFN/vdFsaU0ium8cqRVT3RVe44GCKPoVr1jZmfR0bCeoO
ivEB/EhdrXnEUH1aDry7/k9Owhtj25lXNEWJX/xY9LK+KltfHz/o4/9Oz3n9JJCpwFiLBXPrXr19
zzzpzLGhKwwWVgqpcoEW/sAonozGtSvPPfIihsbzyucdmk+lgwqsG7H5j2ljnHqAI/BK0ulGm5b2
CCmkPNSz10KHqv1Dnyjoed1Ew6RBo/lS19ZyKJlVXS/ET4eMlbDLswOGLQLakwWq5SLW8WDHvrt8
KvkzZ1dvsh0gA4GxgnFfTcwBsy/HCHo/IXdlNfzDAJnyMW/4L6ou/jVrzbj/+zr0Lo6KQ+QW1b25
h3yIb2+D7UYmglY++dXeHBsqSWMBCBhA20nrc6bM1ofais0nQjfY/tJnmii7OF+qH0oqnDbEX1a3
GWLblHvSiGPbbhVxKsTqMgCqSVH5+6fdVsU3vyaOH9zkRGD6TJ/edJKdAjCIFbftfnMl0UDhjIAM
b/o+ltmTSu0vfEn94e+XfBcHwg1CukTPlLEah+K3Fr1GgGYa267d6+7IuNdq4uY4F1JvojbvJSSl
1HDrEJyQU0W2VquBramaF9DsQ0/zeTFlF6SJVz4MY80E350GN75xpQJQFM/UiawPuDRirxSPGWcU
ODezIXnGoKb2O+HI8lZUcxvDB62afmct/nqkp9SgOSh6VxwqSu0xhGdVJRFRYSXxFam1XGq1jShn
JqPgrqg0sPpszCx9wk5ekjFxnpxyEFvrf5DxzirQ6waFCbFppQs4Ao4fCFr0iJOWga7S0tiJPEHx
qM3Dc7WqhPeDsXgW6LkxPHBUpedVc+vv3ZLfbu8bRdWjZEFRTeDlpM4OCaUTL9KUfB0nNdg7j1Dq
K98mtoQipap/dWkKr1mxN7csJ0u94+GCHEs5av8cjVg7VEB2aE25TR4SX6QCVXCJsIH73oSlHMnM
pdRRX1bI+jIA1qnfpRZCw5PRuWPKWb5kkJdIv3wc1q4pDjT7NCBrBgvv7u9Pi709gW+fUJgav0F6
vyF1r/c6MkXJC1B+vrdy5O47sOvWna5gM21U52XnqVl6kOpVeXQWXr3AoNH9CL1urQ9m6gKolZo0
v9GIG9pLZZHleD1vtyjQLc4FgYtSPo6Yu+pPTd/XJ484iJPb0SsNRqOQ3wT6glByTNgl5JC8mLKy
PnH4TaaQtVXR/JvhfUmDzJqzr5LhCuL6AsgYa3YPtjXbeIvAmRZB5AMgW817GWiE3mKBdX+iwUaG
/ve79b4wAPiBoo0SCFsJioHXN2tWleXVZNbunbmpz0TZFOAjjYZ+pusfzK5KTn+/3j8sH9iv4NSg
qGGG8TZrUE0lEvtWFnuODW4bVeUqq5AzFv3SYR7uCdpJtINflv8tx4AlhLKH+SMXt8D8vSnCHCMh
wUg4+V7lhn+Ve12zL/Wuv1k6c/ngAXxfwqKDcrfUTQulAdS517c0yTNkRM5c7vHUkZu7xjICuSZu
ufnaB5Gk21j17bOOSkNnLGKi8bLeCqJiM1m8SmTZXuuzODJzgwd8GLrhuR7d9GxSTo6bsZ9KAwKV
eEldyiWOMwO9b5GPLifIMuNBy4EIAfle3fwIeQMrV1/quFriXKzJTncG69YnJoYya3QqbB6236Xn
YZCd2JFckpxsVzm/lEmeWCCMMZ53gMPHz9KxCdOjxl293VLaZN7qTt89Lg1mAho7uikvY5Bl3gdP
2DuMBE0ZXkXT9PCOb6L3N3W91Bo/TlsmQiPdt+/u4tzFyQT9K0msaKGf99kf7OyJI+RW0KFWw25T
DE+xh8/GGhbjiviM9sJUtvuie8r/+ffn/3fu6uvViVE0BRHeMBNh1dvOaVaVht7D/t3nWuHDmnSG
77Y2uWGf985FNWr62Sp658hxkZOpqRNXUDUPrhLtHhuKfe8mOtWp19mfOkYSIQMSAoRLowwcr2iu
TMRYp3JaP9EZKi5tNqoXHYZDIBkD3ALRfsbBMdyDOiKqu2eS9Pfv9v7ddiGe6MR1MT2kzfzmwWc1
pbaTVsW7Xel7cgWYTfS2GzkDOU2dbmeHcra7D37uf7oowAjs8sS28ZO/WcBSC+fVyqxvz0PoHabB
wjtGF4FBiMawqKsuBi/9CPbz/g33WUFYODnW8Y//5ppxKxhBpnm3nxavY9pbOM5jTaDYZd0u9Qc3
FQ3EmzecIyPYJIItBN69tx1rW+mlo/DD7Ne19SOOx5HflMCK8y2HrvKvm4TgkiK29A9Ox+++o4cP
g6EGLUbmv7r95i1aXBbpdp7kvlvEI62aPA2EXdj7RVny/u/Pzbs9iEuRdohDxWSyi13u9YKpidnI
tdlo92u6FC8WctwDfbnqOR4GGl1esn5AGnm/QnBBXOsmZ39auSwRry9oswORHNzwShEy+gl5oPaV
A8h0oVmjeZzbibwQIuguoXNPh8rBpE2W8nJngGQ8r6ViCjCwb55xbtd7GNPig0X93fSdgQqydmb9
uDux5LzVkFVgC0ePtKF9mmfaj9xQ6CKU0nfk5n4GjTNPtCIn+yIhW+hClf7toKfly7wQbDSSrhst
om4/2NLePYT4FCAmsaRuPBP7N2L1j5bvgh5BXxkj7vXSWK5GfOK7jeNyUvNk31TNsFy6NFyjdDbc
D56Nf7jybzAZmjOXNdN7c9wwlFyrOMv6fVw06xEIvX/we5kj2ZzXK8cnAAc43Bqu+VD+l1mk2J4c
gyBSZvI4akk/ff2QqNGC1tkO/X6LcX9muJZHta2egW4C/nEo4Ckn848Er+9Ws+2ijKiYTfEU0N1/
fVHec21hakJAYG9Z32VOn6bv9QbDuEmR2NX9CVt58UEN+P5V56KbnVuwvtDV919ftFOWmWR2OewF
x8adbiZpJFvfPJbIQD5Yrf/pUuzMyNJRpBN4ab6+VF2stCpMv99beuoG46i+m9monuzeS27/20WF
AQH6S5wv3hY4/eZK6JrKijd52rep5p1xq5MrNurPcMsJ4Fg8jlV/v952k17t69w6tKUoneiuMRt6
86A64wwcgciTiOSW8gd5nmnorbFwCRLrMPnoXu8hSTJL67LjtICX1xGf/v4J3i+j1ubzQVLHW8o/
273/4yWF+0qGkiYo5Y1SHFLWAli6c3VG2dHdlv36/3A5lgIwZD6M49+e8j8vR6+nm5VRwYzuV/vK
XntYdzIrSOLziq8TU9bo71/v/avByJnfkmnpv0v5119vq3QpzFy+Xl+ne3d057Nej/FOjmMbGL2h
XRAt5X6w8L3/VfHUQ2bHhbKxMX7X33/c06oz9LkpAMBW4+Luk2qugmVCe190Eove3DjQT7bgCLsp
L91WJR985/evC5fnicJ3JPA7vLU5td7iY6Dvy71TmMWN1govRMW07HwGWR9803+6vcg0OTdvvgo0
K69vb9J5JtY8Ve6n2VCXNf2IAPeze1WllXiuSzFdeoqcxb//pu9bX5vtxqFuw0mKfPSt4HzoDW/V
Vqfcu0Rx3bUJJSMuesjAXqetX8hCYMqweubJWa0ZuZUqbzTPnc6ePZdXGVmPjDrdck8PVjsJrBDh
KnL9+98/4/sdCM0rrScUe8Dp0WO8vjGWQcd8nHjO/UpvbuslRjZgcVoy7KqOMHqnkdcTp+ljhvzg
18ce9P7im1SBKmBT5G+t9NcXN/ndWZtFHK1OVakQHNxiB/o4osbqNdSAoWnBXe1pfEMAiMuRsTyG
LHPvmBPiLJIFdY5Bc2Oh2gOHK4IKrZz1Pae55NNBLqoKxnxmkK+Sa+KmmLKuvaiN1MpJilnjdEfT
mba8g4nwJp5It6dRa+Sf06GzkrBRg6MdLGkvN0gFGF+ZjeaPO6XM4Ql4FaVbmWkTiSl6Mp1i0xxR
aHUe3Ic1G+Nkw+NaN0s5918AAk+M+mzN6MiCAjB8rlsatLuR9jkHpEyaWeRWIo1DxswMnCBY8uf1
qUyeK6fZIiRopNTHhVyyS2sLqtpZxM1dDMCmgR0Yol6iFSHUjTJqJFpJL71HxySugywkgk22eL6S
NL4NIh8O8FiBwHr8BWGVQ8jnxnhopVRK8jQqLI4fcGPGggg4nX35W0s3FNQa2tk2sPpUQMyMvdai
TymUfxBDQ+Lt1BMlu/OI3jN2XStTYnIMzJdhrEPcemghCsrDBpyennkGEElYCcEoL6k2IWSsbEkJ
aheqtlM+eVcQQd1wPEQsk0z01/Zrsk6rxgyQg9cX1IYD0STrWmtmgAHM6SLZkzQQEc7ka8+G6vSv
01os2vWkTwaVBKrYs6jlctInhqKMjentBkSrAu/Wu7nWEJHB/aa4EuZwgTM2PwLnzOqz8Jb7OM8U
KliD+Ko7Q590HZK9s0CC0ON6JR/OFNedv1jGYRnmZT7MszQH8O/eWFE953QgM1ypKYmyfmvtXJw5
A55rYn2DyhHraaz7dOWdqh0jUhv6jfYb8kZE2oswimtzctPirk7dRVxrRMQvhJl5kYl7/MGXnnVX
AKs+AubHtpMYdHaBXs/7jdF3ymSZtmEbYyM62Blj8Uufn/5gl5S3+ItI8OGzj6u6kKY7PND1t6wo
baVgUq+tL15ranez1KB712VWXxdO1T2VyET6wJO65oRyRjIWoiqs2PiJGmb6vVrls5zi4dkxJt40
o/HWlexRkTZ7QBztGDV65f5yxZj0keVOsqIB0Hi/lEKbs0vkklw2pO/wr26xnW1xxVeh4TR0mWfp
V5+mbsnv7V4Oxq53O57AhgSS+HoG7Y3NkPRwnj2pTLQ1ZJ7dz22GRy8hP/qWDE8tOfWpufhHcnHW
+JwMczexRNTSCgbGoyYRxAsfQjipnBEeZslVwdgFjgVm0IJ0obU40g/A5Z1qst4RJYmlWFLVDgHT
hzo+iLYq7qyWLlJgDXX1meieMjvwYqWf4tbhKkSVwWyfmVIvwUCKTIcCF61pQLIr8XDuAH6SSYxf
4HGdEmgetTBJGSP7Z18UPpHKXQ9gJmRe7GO1cUqDuNCYxnOWO8z5U4hSwSD65qJOoYaEGUG2n1cn
dY09Xr/+exxLpJU6Yto8yok7zQJefO9QpVmTXKTEnDc7TGQMJwu74syXyyH+DGuFFCwxO/h6mKZ1
RCHZa/ZtcOWw16QPFx9yEvlPMwF3IjB4HwucwrNZhnPjNtqut4k/DWOSThpOltV8X85j+6wsgtiO
GmYYDzpkKqbjYLMOVXnjj3vpdaQe0idbT1QdfnXfxCK9NBQLNPoAE22LGue4PnXDikXGljSNL6dx
lf1B2DRdmG7X5KBrPhzXwCH31GKQZPRmOJEf4fJzxcRk51rfazTz/WQ5G5O+TRAFXx2XY504F1Ol
wULRUMfnQZHXxJSnteXHYSvl8B2IVTseXNKX2gOJeSVvLcdWO6ymsfVI+phs/QzOhUBXjqXmSrXY
GOsOUTMpFGlnEVlGYd3Xny00XkHO1JjEcS+Lv5hsCB4smUQ9YkWqLoXiSdGLdXoSqy0/E6xWXy9V
u36fFPkQJwQe7fei0llXFC/RzqwcVR3iJq0f6f/EL16SceP93hvjKFsHXZ200bOmwCJv8WFypfgs
U9dXR/LI/WcRD2t/cJJY2fc+cZhOJBfT/hED2Xd3fl474sRWxI6AKmLdWnizjJZsXIlK85qG6BSz
nwK2PCF5LFv9XlUEchxp/BnWdTp1Q3+cRMyPRShrw9CVIWdxxFzNTZad7SSnamXadUsUgeguW5XN
h7yaiQR0M6WdeSTmHwj2uN221kz1baYNhFQUCnU7Tnt7/JUi3O52HSNpHyX84BH6JDhYEiKQF14w
OBwxr9Ks7EhoaJreuIlNEmhOEKXET12f/YdyMYnpRjuD3HrKy1q/GnUo0VNWiHjnaIjrD6pHpx30
g1MeGM5PyRFxS3aLQ3yaL1ymbtOxF0a8T2kvDZfMe52TqwyK5WQyV/2iKkpjonLD38Uw18DdyEw0
PyVomh9QkpZFAEe7yCiyhfVk6OvWqEERXQXagPg85BaVzda/NAuu7lRlQJ9dojgr/PnLOMVofoiW
Mg55q0O4ljCw703akjXhPot2ITtJttjkWZ3Fy8KFAznJ7sWstBgEaDxkNg/wZhGYR2TxzjwX1Yn4
euDoZDJYZzMdci9sEttPmRaPQKTnfhRwlzwR0+uvTKI+O7oRkfJjvqSqeMiQmfasurlezz9IJsTm
2EgF6EEkIntp8m5JotHlOCMtuQ7PtMfrbkeAOixxJ9X0+bJk3tkF9jgQGmNlmcNe2EDu2RNPmnmH
1pIlgbrlYI2348ge8zhyLgOeW8vhwsmUaK5NRyvmoyZbD+YJiZYd/UNLW/fKZa50VQ5TeWGuuXOx
5IRGB8QnjsZd3mBe3BOHYzr8ua57smbfXGAMpEwbdPgmCXGu9bDuBLHspDWbWf5Sx3rM9yS9PQsn
9ME9eXzGdjxqlxWfAQVadZztWTrARtYlu8iXGb7KJHKCpcmaX7WdwkwuQsFPKY/SSr3DSAmR7Vjr
jJ5YkFk5e/IeyIUWbHjrVZcsaoiqZPDIzm5qrDgDIBTcGHzAiKmbhfgqJaMCJ4BVbCoKPd8kJB3l
WkJeI9mRUgcTQ6Y2/tZM87xPiRHjqs7SBKMCjCjwMiJNGB9rBSzJ0ARhdYNsBE2wpRmj2rH/j+bO
JmzzWOhlTupDvRq3bD3lFxdYMpLX2a6fUzgfZzFumYZ4Q/Ti1E6UzShWnYm1t1jte5ycxTc+eU4C
XWH4/QHq1/y1m1rrAT5toQ6lKWUZ2YPtPNX+ksnAsqbuSrlSF3uzzA1E2BgfHtuSGxVVcsyv0TYL
InUwbOZhQyTRN9CLzEAhX5ppSGC7nl1qHTcxgME1ndrG2mR7qWncjTkasGPatV586bCuM4yuGvei
ZrBaEPGXIbf0SbC+x/jf+WGdmbhbXBdLclBT/DUoW1jFj1BB9eE4VYvp3/StZlyuRM/0N55d6Cyn
o41PgigJAtjHzug/OSw3L0hXfUDjwqigCpa9etQ7M5ujlrw/PxLsg6S05EIRu9oPvD28a4di9kvt
samL8XlFd9fshhJL296wJ+JB09JebwbZ9uVJ0dscglnp1ufKcBhqiWpMYxwPdny3mqivd6Rtc4Zg
Y5Y7aMBpE4x5XABR61NfhhbyzpnEoEFa/M4Jv+MYr95N6w3jvD1bAyGaslAdnmzPOJbVoF1qTlF9
MltrGqK51nV0X4VkBWzjsbZCZjXLd6U5qJXyuJxwJRERulmLhvQeaGpcIGjifHGcoKqytjt9cTe0
yrJxD5bdQ+cwjAuA++LKJzYrRy+eduInJ8H5RBg8aYVZMrdM7E3NZ8mdLT00MmKErwffhELW4Fpq
L/SBlMyLteYN360U6r/w/w1x2JMIfkkuEaYkfh2K43iOcqL98KAsk/04jnF2IgE9IbIJ0+K5NGPz
KHiOInyXy10Ce++xJw85ALVKZluc9v0uHbtGYanpJ0JAK1eTe0fydD/w5BTjfdeYM3rpbtTUbmUl
OtkcQMqIrGf7wY+beQ5J5uo/M+ia72fypX6US8ESIZPOeGiWVNlnpBnl3bxMsX7vUt6Me03Hr35A
1CO6w6JZ/Q1pojTHWdXrG22d/RFNWlefRIZBINTaBP0Fw++6Cp25Wg+T5SOyAthUEn+JFvUJeW7T
n9AraqEfd+uuhVZYE1LjkCFvaH15FHNjZvj0J0STGogKgG5l2VAmslN1wRxP1c8FAuISFSQgmqFi
pa7wFEy4Hit3HeLdYor5SRCzU5LW6lm3GqldnLVnoV8hnhqHyDN9gpDpR8JAGDgWk4FcO2WIGXf+
0vqxc6shxKkOSeHZjx3CTipo10U/G9NASlCmVOxhviAfSGXbc2KCnHW1uf66kFKfhu1aQ7fotHG9
q+2KMzJigXHdIVfBT9Wvibw1tLRCSzx5I29SW3l7QSrzdM3yQ4By3a9DtDJN7q9HoVHoJUIWV1Re
S7bDN2aSS03PhqgpjFMPkpzx5DqeS3KjC1lUS9hjlHKC3HdynCPESX5FzC9WMDOauWc/XN2Lltrq
0m60yeH9knxYVtXWtgJUzOuvktz28rAsXXutRIxLyl9Nkd1YmcuDCqMLNbyZb0eNZJLNAXpiH1GS
FnZkEgnf7828MD5NaITlrhy9UdC+zGJ8WsP6qVlr87IxGyJbtyiqOiLZIV7vND819zmCOmh35YoK
2NDx1V0lo+Y8r9PsQKm0cudqlY2bHAW7yZMutCog7Nn6thhG5Oaq/RJrLYAumojF5WKUvC+Uif3n
0sqIVrA5+191emfdc+Qc8XB5gij4RULBsJn1o0iKk02OPlW8/ywF/hR5wKU5+S2zd7kIhNIRlgR5
Q79a+qHQ8Pbxejr0jBZ/hF3CLyV0BmsEYgQmIOKHtnOohuSy+HUUo+r+YvbaFIfjaq9GmBhtmwRI
jnjrOLBqFTAebyEVzmqQzXVd1dqnaRKNh5bABHmCVtzMj7Qo1CdKCM3YFYvXLJGbriq7dI2eja/y
ar9gWQRTiQzcX/JL1ficKDftV3uCLZlaOx6H5QaOWfUtl96wt5WTGqGFUVC/tvscrVJtmhkawq73
+0DlRIbt58qqnkTLrdqXDOsYN1fu8B2JlmwCgMtiOZeW1Zs7EE+mSfiHcj8LWaF6me1MRVMTJ7yi
sZXZhz6r3Z8lXQQgmSNJ61dkPkxXQ9/D9cZEOH6hKYeUfHJ6coDzicKfHr+8aN0OzXhVpfN1QzTF
+KkjUFtEzlJ2NVTuBCm5ha79XExqNALhqry+8BffHLcnwc13apqar40tMi1QdjFhYCy0WYss5RQP
cp4VD35mt/6z1SVa4AKDGSPU2TVqqqkUT/OyfY0Kbtl3kdA28t14jndICkcOsjOavaPS6zjfpa1T
M1EURX23+H69nK22jR9FaXT2A5QFD85zjuRul/de3LH0bMIwt827MyT3wtyvulVBsetMerO66nzs
E2xSAzUhX5mlrCTAo0qq/oaI3SaOYp2vcETtZWlXZZYW05VZWPl3vEVkECedS52l2t5cd0utEzYx
KUctkabl1jdrHIjTM7Yk7iDG1Z3t5QQ+dgfCsvtMn87XjkOxdM9GbU72dWtV3U930POboVT4HKhQ
WN0Hk0D6fWEQMBx6mS/vPF7OMvSS1D8t2ZqZD4WTwf8zLHMZOToC3HiadT8vji57qLoUmdt/UvGg
4xhQtTMeiOsjdLBFqsq+4xJTWnIeQsW/0B0JQIy4zgUIVmkfE5Ul9mW2tjhJWCbT7LTY81I+9Gna
AYfPFrLYYafmZJ5zLPbDIlWbnE95ywE1ZHGNx9yiYsnLIj35hMn/ctivSPP2dQgpOCC07jis0mqP
8Rjz5aheem5TaqzOEeGJt4Qb8YBcwdhudn6xrWymEccXUDUczkdZ7V+RlONmuyrzcxXqiKh/WTYn
sB1JGGMakfRHG8Pyx+Yutub5Rubg0NHRUvkFAjZhtnOxu29x0xNqRUttbT0LvsDCQANjxGKRtym9
rdwgdLIY8YLZ8Q+dlgm67cqjZdQPbrdB643/Ye9MluTG0uz8Km29FtIuZsBM6oXDHT5EMAbGRHID
Y3DAPF3MeDLt9WL9gSmVhXu4wi17Ky0qrapoTMCBizv8/znfkTex1VLXjNR4hs0yqqEXjJ0ZEGys
sPUySdlcioLmeFVaeGF3DU7iFwyZTFCJjMeboqUaHBMsSeylQoGPhw2e1LACBzGSpc2rqiP+2E9y
J/g5k3L1y4hrThpDqsYcWArzvsHGLg6x1Gt+mhXn4oew3ephnEkbXBsoM+nbJSilKSAp4qF2OIas
YWqa6Vrt5uoQhHplsc3KOcq4rW0p5FQr8lNToddlwjVqPxmSjsjxIZC8UHw108FO0yFkM1sl99S1
AnWbDxR8VpOjyZupcJA+DAEVg6RVq50l2WitMisblGsE84XiD6L6JBBVx5xNuvBb0A4oBMjUqX5q
2QSZaWjdp9nIjXu2ZGC5XGDIvhmFCdzFoExzr+opEWLOibvfYT8oyBkkMmuSRNOqROVRSewHhJri
BI8HvSrWlABksQnhbj2NdQfxkR7IwIEU1IGgXK0P8Ra3iTMcloSltYrpqeFkolViO9kUCakoNvar
qxD2tw6NwP7MhctkxdYAMoTtoNf9NODT3tcV+95MtFaKJ8kyfsyFYHJgBxDea1nZL8f/GkdgY6Y7
vWPWCjGZ2k76rRkMTfdKgwLnHv5wRbFtqNXYwP1ScQZcDXkhnoqg19RvWE+zll7lVLmfosy2Q/xH
PWQl4rmRxjKlTi7OokHmrvWYsfI31y258P2XMFOGlLIEe8dqO0KjHHdAEQxtFxBg9TrKhh1rinZ7
0UHgj/Eri/zMlQE9AomsomcFzvAgJXUqT1rCigCmhdFPh/NeeFMJzfrfFJuj/Ou3pML3bUOaeBpO
E52aNi7h5c/fdC0jBeTb1Da5L6o0fe4bZMimVnZ78NeXsIB/3HZHfW8XLhoYWPSH+DxQsh9fy2xV
FDCQyPyktd1dOdBF4UmrPqmar1MlxisjbpSd1YzGPsCCsVfT6iUpKZkMid4ipGAr3Rc1nGQ3wQHW
ZOlBT4B7fdzDe9ca5ybxQ0OnYepb0vaOb9JOYRVQELR9Nk4EQmjjo5P08f3UhA4WKcO8IB1517WD
WgRuk+44Lm3+20kvNUugT4asb/7gjPVn13Wup141vqRDSvQb9sU7o+zka2dryu6f/s6F1oYMweYf
S7f8+HfyHjoAZrPwazKkrig6se2IZXtrp+H3tGCR/eeXUxGdqjhRAQot/J634yyenIl8g0r126Ya
gL9mYKpljteMbfAKkKzy4+PrvRduLRQhni2ZLpQB/gCDji7oFmKylFn1BXroO8MdktsOUNRWHZRx
y5Go9e2xvnPwnm+mjEI9Rg/UqUmaf5mifPRcrXd3Uq3dHfE3lzK1/yhKjr8E2nOAScwFkIld4eTh
h5ViwoqQwm86MytwIKlasyfebnwWVaJ+qSdkXRuQhdGwRizYGuz5C8dvKAVU19j/WuRbbAieNZse
86YOdEozSi0Gk3ZBzGZBsDrQZONbaeGXa/QRhyigaVEQsVpSrUwACn38uN+JH3ja9Oe1hdGG/8I5
kbTgvSYAuBlUv+ysafKmybafSoeTdF1E5S5VLAooSkZUIJL/dWYRJ/Tn+v+fHfHvLuI41KpvXse7
XIhP/+t/yl//Vob/9pnS9s/v2VtuxL/++t+sCPcvHfuQjl4Tz8MivuU7/DsTwvwL6JUKnAJB0jIl
LLPz/8mE0P9a4GoGGmnAYBaSoX/Bt4iLoDRqLLIHJpFlCvsnrIhFJ/f2s3DRYWHnJGweDYsGb+B4
kmixgHfqRDEiHXSweKVjHZKqLy+wpk7lK8tVlhxcvkAc4Zp+sgyBY9EMGYnZK1Rt/pHY8bdiJJ0c
nQPHDhMwgBHJSyCF94DePxfFtWXi62T6W376m3V2cKB1tTTiPCQBar1Rwl7/SneuXo9GqD2SXxxv
sqoSuhdD6HkgIdhZUWorbghOkFsZ9/WF6f/0g/3zEFAPouXjfTun87ExWimxb8ToMLMsJarWIW+h
kMnv0JlKvwvkryZwyh2UcX1bE/t+Sc1z5vq4i6ASooNjQC5kkrfPw8wDWRb0zjwlHilkExW3VWTq
PhZGGf5Marz4SeWUpJWLcRtbU4FxqQ73mYaiFXbDdKPXOaHYQUg3yi7ynRr0oVfkbfZlDKEchZkT
bd58Und/j8K3G6V3PBCe2LJvQeG8TNrmKRlOInZsTYfBqc8c65xmijwFRehOr8c0ZlJFD2mVqb3n
t2jbfGRZI6VwqoFfBMP9x/dyukdZbgVP/lJ7AGzNx3f88Ho3z3lM9bwUD1tPJrRWwsQoDkI001qR
s35h8f6jBzz5MHXQfKyoHIMQYJ9oixTNsQKuR3JZEtR7LFO9trVmO8vx1I4NNjAnDbqV0wQDAS0K
BSViVjowdiEt7u8drSm5SiTFirVtxs6OQ71UiYhQpleqMSHrEjSmkSrRrGxHXqmy7aQhv6nVYNyH
2Zg3aFeqlkN4p0N4r4Sy//hxQqThgZ3+Pos9HyBO3IrIqY8faJ6FNO9KRAFJwYHHw+4hey+YccCs
i0kiUqh1DdKojRzlASFzqgFVkDX0KY0MTFlGbQltn+rgGNW54MzTBY8qOTMvYWWNw0GWQU/Tl2r1
CkNdcohQ+UTrXlo2fZC56V9MRi4OfhCoySo23RlcW25E35yegrynIYp4rkFCwdfVrUDfFK2hSp+i
dhAeSqvoNN9OsTKtqFXK4ZA4dugiOjJ6Z1oFAZ0GFOEq+p6RaJz4agTM3azUQc8n6BbUSwI/mQle
53w4jORzG2pgbQvRyeRQWZH61aAX/ilOBl2/LZslg13rpoj+f01i8Tpqysi67QvZPYUN8sNd5DTq
SHEtn7D+9G33JDWURmuc9XOQI0iZwe6ZyUhnlt0ZIe5hp8eYqWvoo16ny67zuqGcn8dhrKeVRt/E
8lqdrQtEiT64EUCLNC8O0zTc5FNs9ZtCakO0Kmejf0ngVZHPU6LXQDIzBfXarFo0UkBPqpGSCc2p
VRJZibsvTNFFK11tZXyNI0R7agHBjCsTRWPoueQ8PIC7zJ5SoumR2bhDuuuBPSDaGENQ6Sa6LzzE
tNd+10BJM6+NdYAeBJUZVw4tSOEVbmdatKJs67VqKx0yMH1QyMgOxuWUUKDkrlBMatcKw+BA6WCY
V1AOKFVH+ERpSI6WEm9qQIYHNQatfN/apXo7Wi6XpX2U7FIWh3tNsdDHVbU9tGtKTmjNCkrVnkBk
x48ogwYRjsDOPMZOf2NAqEOJUedT5pPnSFeJsoZSkxZulFd2Nxife2oC+JxoX67nOJE/K/q7Ki7F
QN6neaW/KLwM1gqEa40PS1EPvLasVXftTJGB/C7tZIqIKo3addC5cbrpAq36jCm9LwB+NKbjSfYW
P0h0cNK9TZTPTzy3EbSJ3oKqyXnrVsGJp3HwkPgmUcfZJnEQBnW2NsFuSpM1pZUu+8kaUPZhzNoY
U2jdx2ybtQMDRNR7TansiNHZNPd5iq6NKxa0Mx0LE+XGiWvjc7CoPyj0CCPfNIQNofhppsCklRaV
4j6v2054PRk7N0vra8+0M+ZLrQYray4j6g21G9fNWs3MFPpdMZTjqtENCuA6fm+rCvvi2xTSlByL
Zumo5ewDVlNpRMXeJO1DHMpO7XR/IAgNRMDIO92VUZY0O4DU9ieKlnQ5yM9Qs08BdYEnd2RjQEPI
nc1VTsX+3iQUJlupejHRf9E6kJhWkMgXCTSIGI3JnB6NsTfuZSfH13hOwq/2ZNrfWRocY6enCf6T
zJHZbxFWRb6qEzv7rYbh9EukMfWzdu6ahykHPcC0DE2gDbGLpxE9d88JY/HFVdreAionjYDyUj9b
UHUdp/T7qh4SL3I7PvLCnVnLVwkPrN+M6Ln41J0SHXBAoz4g/2ca+69BGqY9s2w17Ls64EBAsJSg
3aa7rU9Pi6fUJhxm6CVGNZjATo3uCH5H8Kcqg51uzXHotzLFib3LlQ7AYzTbo7XRZuIwUEnq86sO
3WReD5xGZrKhS+JC01RQ9TMMOV7VOTuuTQXDQ3us1GL+TQUbMkKtlfpDUhpNwZ3hUkb9EXTfS8dt
ae6psftcoxGJKV9RQsQobWgrO07jxJccFMl6apRkKeOUus23m1UjRU9iM25BKBIf1QF0dPcJR6P7
aOrqcafywYercEr7G6VzJ9K8UGWi0TSbRSdXyw40YLGoL2zJ+kesoYteLjPK4pca9VW8yl1ERDCO
NYXVisIzc5sYyHwEPhdet30hvpLigugTEL0qvaTCq0h3u3YRx7G7xDDc1KskTca7Enbjyzi6lboy
bMV6MtLUMXymW7l8O1bAb9eIkn6qtcl4MpReFve2FdcFSpO5fVK6qX9JnW7R69VReceyze+UPLhr
FL618FDlWRWsmdZ8cDlCcwSlMsr0WZOAs0OaPDqemwjnVsX5Qamn7WzTS2OUb7sRjCRg9ahTFUa6
OgLt4uiZ38xq2N7pgW1JmvZZ8mKrg/Wd96ObO4PZqWRPhibEF5KArx2N2eSgBlFQenpjqiU4j6Rj
KWwNxniPf/haWKF1GM3MAW2b0zsqirLn3J+BWdz0wL85RjelHXssy5NzVZfTcF2GYd0chjiwZw90
4mx4gEQdul/miCW7Ja029WMZhz59yqT0sWQGT4MIKVs1kxp79Cfo5bipgEmaJCw2ltXqXH3SmDam
PoSnBJMjtLxOhg7sggx1pwcGTdtUuZwbPyrDXt2MtL62FXw8a0PPr9XWhCEB0ULBQObnXBiov5B1
i/u6CRBNsTSUG9QmrNldl9FDjSF+0tdKnETuhsFizoyDIhquzCk0FpH6gkQAjaxRlZmG6ms0zW65
gyhrWCvBFvyRZTd86uc0Sz22Kq1JsbeQ3ytYpNJzorT5ih9YtJ5D78NmXx/La7IEM4hLElj8StPH
yNnSka9/pBz2oLJGDjioLi5oTIA30idgBf1wPxs85ZWAxMI5SMvTh24EE8MgD+EF4oKgVzti27lS
Cr5E5gKE06siVQr9IIMCEYfZ1TGSKiGoUituBSmzchXz4KDbqQ4xZC1SmVqjbChCmcnD1CyIprCz
G9CvNF3R6Us+Uz8r0IWvnHju6XVEbvDAGZEuTJgiqtuqZW7tdRr0aAVDLfSxhKTZbiqAlFyh8mW1
NjpcWKjpWxocbm+i60LA3P6ShhK1O3Zy0+8irpLca7AmbWmtwDmEZUu/WSXhSaVf2ZePVKzdRxUd
lOFLO0JP05Yl++MKqNuWryBMWfIUycLVValPtb5TPDSk9gsEHEOsQR43B703mCVcLM7boe5ihhTR
t84Wp2hnMVO6mj9YWc+5BmmIvVIaI9Z3iAhE5Y/t4HxWZAmILDaKNlu74Bu+in6eNK/UQuR0ZlIn
ybY0KkNZBxYHgC05hjRV67Qwq1vIsdCxIubKnZiD5meODPSR5hNzbglI6spNKUOyZ6vs23GRga9F
K4MvjTHIccuk7X4Lu0plUA/twOtttZm29DKkVrlw2MV+fAp4d6jCFw+OHKcZ1UKbquHxGSBOKI4p
1Ey8eSpiivBtAhq/dNbj2IkD+5lLYSHnrscRGDQdeyskISfFDvThjUYPz/GQE9VeW+MCwKRmfRLI
7Om6YUP/+Pf9sf8eHXL4gQuPEFY6OBZgksc/cKa4b2ujxgUR+5DImkX2D5zCY7hpTEWJ10nZx9uY
VqiGkaZqqH2Hi6rJSHnbKrwZd0PVlnN5qUl9o8RpTe6xkU0+PZqowHueRr9HEEKuB7+W/HodpiKh
isgWhjiu+m2JgtRdKaFdFf7Hv+x9cYVfRimLsBM4YCwY1KfeFhP0MGxYM3MHCX9msLEYUC1qVrfK
kW3fOgll5twN++96ih+yrVqTQ12lbdVCjX3dHMztx7fzrr7E3ZBEgAcIMSpepZP6UqZ35GN2S58N
9JT0gFvgMRcs3U06lyxmdQRSTRvcC6dYdXl/p++XejdTBBxYMsZPnkI+CRCX5nLd8tFwu5ao0SoQ
08pgfPkNc+PKUp34WUwKDhwQtF86/cItLMfk0ztwSPq1TZXtvLmk2b59D5XCYR4Fiev1BXnGBg3f
z2Vp5s8fP993pX2XXpW+1JnhRHFid5Yv600tzRYdR7CIgVyzNl7rpTttNLOdxg3nZ/smVSaah/qC
QrYs6xVhitjVje7spSvbm8StxSsNP3E9hva+ct3bj2/uXWl/uTmOKgSbcXs4G0++skkEcVMmo0t4
nxo9d31W73NYZd+ovl5ZKLkP9YD1iXQ9a89GOd+M7iJ27txqTwp8s8pLgp7mOP/cRY7lYyyJEc6V
V1VeqPR4BeonQX1ujvTqMa3qC3Wld3Zybt6momQvcxJkkj8f2psnq3bOlHQNOy7ayR0xcHN0NdeD
tYksnU+ljOJwPQUTbEDMCqsEy5KXKV37HUD6S2k35Q288jb9u7T/f+1Qnnvd8E6YdoCk0DX8A/l8
c1M1xHOOEQkKjZH0rW62Rg9QirodsinZxtBv7rs8dLBhuByQlab6pE653CdVDQOxzLLKJwcK4WI0
w19gbbt4f2dGPVBe3p+t4ovGjH88HFOUiLIPa83LeaqIQRBXoIsmKJeqsrkOdN3ytLGxruu8cvc6
9dUvMu9BdFqjQbEst+6GoQ1+626JuOLjwbhc+fh7pNKPMtGmdserPY0sK6ld0f6p6Hgn5Xw9GPTE
1Qj7n4tm78Kn/341AyqDjpTmqWvSRTj5JrVI68wi4oSRJYOFzq0gebdLXtlmxhuNBMsLFclzvwzI
BUFiLNmsnyeLp4W2S4/5jwdvQN84Yx9tKycrnyeVPNuPH+KZeZW6Lwvn34gFQGbH73fqNRmWFQoh
F+nnw9yqJRrQuHu1Jf00r6CA/hqHMeK1uol+ZVpmXltF2F8CUbxfVbiLJVxLhw5Ja2T58zdfwWRP
sTrkke45Zupc9WWSvVqdi84LMP+yyKTKyqnBnuL2MTENsFWqIsN+TbX+ddFUvziUifm/xvJedIbw
8R/VK9ST8vHjp/X+Y1ioLpq5lKhdjW3U8W260iC+2hh0D2qjuJqzWX9gxHUXlthzo41jA92UJRPT
PPWvD2YswyqDwpeM7GJXFrtCfELgSBHEzE+zy2n94591ZhICNwJMGbQ+TWXr9PELWRd9EeMSjJOi
ewmHojqg/mt/czztNm3XOAczaoK72JTm1wpbC7XRSNtnFhqaOu/rlwCqyZpJIfgaZrV29/Hdnfsa
4AHSyqLhYLIDOn7oDVatehzAprVWhMGkJGAtbi2xJQFeXHjyZy6F9whiD08DUujprhWapq7Y0KC8
IFGzWyNxHuDuBtdNOF4YSOeeuMo6ZNPpUOG7ni6kFOvhmdM18OxRFp/zUakeMaSUiwx+Qp+a0jO/
o4VlIMSsw2Yku13a3SpsIIqtIquBih7ZqB7DDnXtyrQgZmLhAMt7YXo490Aw+9NLhMGC/ubk2Tua
IpqsV3SP7lBNaioNLB/kNF5fdE3l+uMXfWaBXgagiskf2z07DP34TSdmnSJ17LiaoaY60t9oegha
6jdXZYXEDLC6OkefnXQyIP0kofw6Zi7gZkdUw68ck983DHFI7IQxkMf+X7g3hgSNYOArFm/s+N44
/kqRy0R4eRRlG0SYw24ODLnrQi33iSVND/gB+wNORXo5qDlvHYRnqw47LiLHthD+NLeXgs/OPTCI
MywRdHuRJ+gn61JUzO7sipCbErW2zkNsmKFRNc/USpN9METap0jRxlU7FfQ/XTw842DqWxtN8wE/
YfaVGtylSF91OUmeLMvL/hDVDxwDILInU3kcGKkS2DkBfUU2HDCQI2emJk6ZRsgns8VY2czTtNUE
wg04Egs0cUjpbSCU9jMl1L4tdY1dNsb9tpBN9qCUAagLexSfiSLKDlQ9k18fv9tlEL+7Y/az7O15
vTzG41fr4JHB2JMKz6pmuUGkNoEwl1Z0YfP8TiGG+AA0ikv2HsgsYDon15mwOuJiJg+gwlNdYbcj
d1rqJLjI3CjWOFXqrTsCI1Nln3I65ymgsel+yrKaaIsUIV+ew6JAIZCjoIFiXNXNNSX9yvv4eZxZ
fzTQRssChNaFifD4eQyWgfw3puxCWyt61AAPvBhazNmKGeJqRD934dtaRsTp82epg1bHigc05mRV
VScMv5XTqUhcS+e2oMW36YYsP2juUO1bnYTH0erzC1u6MwUDAsA4xhEEhxfJspZx/GbLMfBrqlks
KQustt8rKAKHik33Y0WlfKvNkYVUNAm+Y7J2NgCMo0e3KlWQE3NzyFEUb6w+y+4kJmGvCzrh97He
XkkLv/1q1hdtfjhaeLlDgZsGnADF8xEJcAjqnJKk5lwof5zbxvFraN3TuyeUUCwT+ZtfU85zhsZF
qNTABRXaCc82cR4LnDDtnnV8cjsgDpoPPXxet9SdSWjtjM8fj5v3IgIGOKMb4hX0FD6mk0cap243
kF3OiwRAYK3UulQ9NlGA7gHXr/EABSQdKVA9IePrK8WJ2Dn00bzV+h52/sc3c24aQmjDuYr9DFin
k3tJi8ipRjIsvEmS6MHBTlqraiEFeyEFjH3QW9ZTgWvZE1XZPMO1mC7cwLlZ5c0NaCejWmlsURn1
pHpiMuYHpY2edawMX/8LvxIBIO19HTzdEo7z9rWTx8ZOpugZxIbZ4TXPMogV0I+IcJ56Z29Qjjnw
5U2egeln3TdRvvn4Bpaix+m3axsgJ0y2eOyIT+YKZTZUOr1kbzaUXfdVR1LLmDam39WVukcz/RMv
XXUoUjW7MOLP7Ey4HCMNgTm620VD9vaXE2w3pzbmas+VFqhI3SCKK5X9DT6YS7XTs1MF8wQbk2U7
jqD0+FogUnTFYmnybPSqv1hHyOozQMdcRSylhwDpMRuxvG/BpkC4YsqJfKAScqO0hqBOE5s3NEzU
a0tpx3hV8nz8BX2JB0hYZKkZBUx3BNwHnH/uHl5F9ARTZKDyaAK4w/lzSQR89tEhi6IQApcV3cXJ
zynjbIgcSg4auSB+OAGIlmIu7mqhXmJVnV3zWLrRblu0xNC/HV8L7T8N8Rqz34yxe7zqTYPOTsFI
nunbZUNI92vg1RFBjOxzMEVLChmJqvOak2/5GlhQozeyIUY2x42v3FHhUF4DAxfh1m6j7jkS0ogv
bEPPLX8UrE0LCiMKstNbxjoXD2EZqJ4WgoKr1DgjIjJqrmMn+wmqbr4Qi3Bu9eN0g+KJowc7y5NP
uO2wIpgj/c4w62AW5vpzX+gBbpYs2zpDba8Dg4bKx1/tmZoyB35qeSgFUVlRFTt+LQVKJb1XmZxQ
IFbdgd0Oj9hJR2YL6dbUGvWsOhCN5OhrwnOVbulhKfphaFIqPzjTDbryQovKC7PJuWMRhQANLbVm
UZX4I2V6s4wBdFNLBqXwImWkEyRCU239wqEygQSn6O5REdquL2u7yTaoT+ZhG4UxHDsOSQlPqs+M
L4maazQcNUSJKzztISahQQ0vDewzs7u+jGhaMaYOpP/kAZJvjkZHJQO8MWp1bbCk+xkuB//j93Tm
S+Xf7rJ6aboNJ/ekEGQ6QdcHvYk5l7PZfixn8znvunuR1Mr2n16JSZzB4KCdJhn3lEdIJp6ULYIu
CMjEFsY4V1etokHIqvvi4eNLvR/wXIo+Bu9yueJpeHtUxKHe6I3lwVgIfTx+wmdEJUhpkG9Pijr4
+EfGC0/y7EV1IuPpENn4+0+eZD0bNqzDDrxwROLNSrWUaEORxfHdtEmv49wY99TOL/lP3k8lbLko
FAlWDpfQ2eXP3wznjMqZrtXovMwYjKRol9POKMwtMQX5FutyeWHnfua7RlAgdLSnBHJRHj2Zbgnu
GLqUc6Inp2l+Upyk/iTyQWzgc7SrgUDIh76em03YVMEnlaCkTSI1HX2OPT025XRpjX6vPKRuDDEO
QTK7epSVJ5uwSLj6QJSPhZa00eJVCASk+jbES4QHLqyezhEY14WS3+oHGtTjt7aMtNtsluzbzADD
BqGqVv1blJbzTYmMqPZRmRCEZOZD/aJS6kv9yBynEuSWMv6sa6d2fRcj4iFms6kfkO0rTx8P3jN7
XH4StXCe8SItdk9+khoR9KmTReLZaj2IrYVEg1aUoZXxyo26otpMyjj6ppmZ0YrJFazarHf1bUZG
6EtJRcjYf3xD7yciijP0pCgkLZr30+qYBOAkAh2Ch5ZIyIhmEt83Xdde2MyeOV8sVYY/an0MTlhc
jkfybMFBVlBbeWIc1PJzULTB3RRrU+7FHAR8YtYBFnRJhulpghEVQcbdQDO5hE3983OO95t/CuKU
5/icmIFP7gNGQZeGlmtwautpksugb5Gb0Ea7wmKNHGtCg/Hoiiq4dwJuzpSNc2P32UsBktSnAR77
YQ2FTYvn6eXjF/F+roYysHSVsIGpzjsF9QwxCNlnDXoRq/M3y0kKdIJR/KXUCAb8+FJn3jndfI0S
GdoJJuuTyay1pk6oE/orq5LRD3Ws1OcqjC/sS878Hi7CQ4YGR0HudF8CMWA2+omBPhGYtUkNIg3z
nlaY6obhhcXnHf3SXWxzb6613MubedKFmRM6fWGjNcEVQZ892pDxMPqcrueNgdSRMgd2G4SvwWGM
iI2y4/mXOirFfWU49ZUAIbFNxkhcVeNsPKWlcuHdnhv+Rzd4MpEPAGwDkfLEZ1Epug/II/XzuSg3
I+6qcFVOdXU7IyWrfOA7FCpTJ9rOCjzmj1/8uXeCHcUhI55jCF6X4+ckbLfJqRs7dNhjCUCD+zoo
c808qYzzpbLM2R/NqW4pWy39ydOpriIqpXKziqvJWW1Qgw3QFirkjHeG2cz61lXzOl27sbY4u8mj
HHYaas8lmlwE+aUO0TKmTz58jeI/Q55fST/y9KcHpFGN0rZBvJgo9kT6PY2LigzuYLo1Jxne5rbN
Rr3ROxgYZE5McRmtY5vt48ev4MySzgeOUwghPazrUxVAj8mowBDAt5fB8e9nvbhRBzbuUSoaT3Om
7oKF8uxbwLPExTjKs4yeLDhGGMdJry4CYTc3n3pDizYO+tGXSkUhlmPEvZ36aCo8a6p/amUP/dDp
y+8f/+gzRV3UHnTOKVty1HeMkw80R8ApRcf4p+DCP4nGENetIs1dx9l4qxUoAohbS34bI+cIbPj5
LitBdrhDGN2GLacITiHFHVaSYttL3VgjHavWfWKjLhzs3FcC0qc/vuVzn4rD6FVpGYFMPy2Izaap
hBHZkGw9jO6J0niPaV8YWH9N9cL0dW46RqfB++ErMdzTJdgBtBJnFMPpng3yW0JL5lARohNd+PjP
VPsXBZBOTZYDNUlZJ5MQDJsZJZDueASAp3cAn+JPWo8VQBZWvpIOAV6mltagMmEJwlzrPpEqlGKd
zNUrqeTiW5Jj7P/4KS+D7+SrJI0KpQkHV4qop4R+o9SnnM0Pt8REXPhzwxaN3mBu+MBw5nA1TVY+
bzRRhY+tRD68ZJ7b6oWbOLfNZI5CIr44fqnm6sfTYj2PZUeKigtUiiF1mHoFsqK0ybaHeTArnyPC
hRGoMmnfIcKNrrO04t4UBHzD2ozb+BE53vxrglX0FXw2D7iz1CpmwluM8am9ZOw5ogHyYE9JtVfq
aIg2bAITthvwK2bfEYH94+MHe2b4mmziVb54jXbBu+phHOsN1UrHG0fdXVeEyYerTMw/raRWL/Ul
3k9ploYghiBbpjNBK+n48cUavtqO2BwvMVjgr+iBtc+BaSkPOjLy33OQ1mg+QHncxGD2OKwRtfKg
TCrAUdwd44+OXMFgrVWotVcSfBFpr5ae3nYEt/38pw+FPe6St7sI0BCjaMc3ismINLKeQMB5InJL
I/rAG3UQGj0i0QvTx5lp989+2kLx5ejMXScfG139aoxJNfKAQLjolIla0FXGcl+lE8GwY763SQHd
pk4rNgQ/5hIbR5deuAt9+UXH3xcKShY8zN70X4nGO/7FKFm1ggOtC6SUH/4F0I9GnF/gjBLKyKA8
u43BaZZTlHitG7e7VwxzMr2Y0nfkyblnKOeMoy9atzw1V1NJuWYtQcVYlUZ261SzWa/bOAhujK7i
IKbNJYDdyJbtUzFjM/FxJ7lmDNRHuM/AxPpnIMa08oAeriqw0MkKsZzYjtlk9JsGhmdHebNFm/jn
vf+/43/+UXYFEvDPv8K4LN4amKlFvPkE3nmfb0o5fJ/e/YW/3c46Ifeo4SlpoIgk82op/v/tdjb+
shCMAjLTNJM/QdzzL7ezzV9iM48K2AUEQYodf4ks5zb6H/9u2n+xraEjxrSDJ3sROP7Hfz8SsjUn
//uto5TfcTRySXNHo7CYSUlwWUTAxyM3AHBVQuuhkDum4oelqNWdVZp4AhUNUS5pWG1+XUPFvbBI
cvsnl7UWfTOtXFzIYIJPNiqzbk9Ck7O1NjKleKpM1dpGGmkhb97C3d8f4NGPW1aUt98laz2pbbiL
eYx8l6d5BJQiAT1HIRy2IO9e1MZQHsxJkbeU1juyiWNTe9TbwQ69WizeY2pOxgMxek0NFLLJ+1UZ
iRYAdG2yNaIUhrZPHVAQb4Bohj/EnydEOAY+w2wc26W5IoHB5kWMzxAYjPopnrK5XYeTLOdN3pRi
9G3wv4+prCdkgHQrK0TNPQShUhAXs4KdZ8AXZseQrXodtCcNiab7KcCtk9E4lF3DOliq35NoTh7d
LtIMDz9kGl7BbB8eIhn1SJ6jWDwT1IiOH5FYAdnQWiTPub4YRhPLRPwQ4GJ60NHIQQsLhiUeiHkj
vysnPcu3MwY6e0e/SFieG6XqQTZ2anicxqnl5n2q4zqJs3DPUSouN9hj5Q1a16jZJBmQb0habWh4
/63IiHamWGmtRVYbd0WKxXGV10N5lc4jyJqkjXhSsUjiZI2IjlDnj9/86VrJi6dESruJ8S3w1J4c
Q3r0qXBYFX2N80TngK+oOLbpUNdGgWWE9fHCSPtTmDwZaXxAVJnxWPK5nn5HkYP8gcKlts7mqmjX
BbpU+9omcSTamGxBbptQ0+pNOxvKZ7dviZIMe8xRW9oKAA07QsEw3sWE664LAre/oCeIXvU5xIor
rG4YdjZtxd/p5LQk59WLgRKOeL8SVa997mF4LK8qtDGfNI0Oh3GQ+7An/dUboNmGUIIT+rhNBvDb
D5Iq2megxeC52TjFVrqLdnClq6Xy3PQNxjEI92iD67qVB+ixCVYre+pIBM7C+BtH6aT4e9U4mpHe
fqRnXpXLeVGl/0uBHmnh8QzkopZ0ctNW1/nQA+LPjBDU3ahgXMrbXVy56gXywp9q/OmroqOiUbJH
KsuCfXxBFbiYmSGOXYeBbr/mpQJiztRLD4vOcNPIGJp4Fibpxuni8JGWeMhinOU1/k23eg71FAt2
asqn2ZTDuApUS8oVB4Eh2xJrV3/RMQzjDspLAU2Hv+UaZnFhcL9rdHK2RrCzhCBR9EFxd/LIwsJ2
KCEjN8yL0knWTdjEV3mR4YQHpezi4Gun4C6L854sO3rnBAizSXA2cQrZ6j+ZO7MdObm0S18REvNw
GkBEZjpHO22nfYI8JbCZ2cxX3w9WHziIUIS+X92t/qpUVVJJSQCbPbzvWs8KC1OuKVTJVGCZj2D6
4sPtwHdWFZrJXcz+ItqVjezpkNZD/8GOTRcZGRzY1ZLV6k8FrIRkB6e+JzVeKLkdXv50t1tqbo4S
5lrMwiIP/Gizl7KlWWpmi2i55tYf0NeUYWb15c2SldeiV092j0gVaU1T1FoPoOgQ12Xqn4JWxs9o
SVJTAgR0CtzgbFqiHQ1rQmMtKRu+TGUaf1sI3b8jZk0/uLZJ8ZKM+0y7siCersNsmFmD8RKwJJ4g
mKphcZvWUOIQM2hD4R/r29KssRiNi6NuyMzU72q4XJef9d8F8PhbwIG95tiYdDZJ8tqcKVArZU1B
izakhojHuCtMhP2iq+tHgOn421QBRyywChfDjpOhWxyyxGNTm1nmfd60nL56rF8Z7AW5aNglc2fe
tV41OH5GvM0TKQoCYhVuZ3zcpJdH9+tBqvWlHtEPLjIj/jo0JbNcourig5HGubFzIzIgfIzKwxNG
7QE2pmTVgl9gpF+thGmItHD88aEDWkkNdCftmUw9BT75xMnpi0OASnVrKgq4kHxx1PRFzH16oxWR
OYVksNS3cazBPiQioXgqaouwcWbU5UDf0kTE23sTyk2Oo/WVYX0yzdE2NtnH8ILRamnmZqPVJUsc
EUOah3oxeH/SrhE3zaLBQhBJtIfveq1He/56lOJIn3Lp6q9Hln+G9sSyQEWgyMNU1vHead152dmN
h+/U6swwmXNcyZcH08mHS+cTKxnqAWBBDiqx4yvOkx7bWlzloWFOBZ9rQpaKTOYPCnqa18uXOmnv
cFxB+EaNBW0tRbft/rHQclkBRMxDbZzG+6lLjQMkMTpMGU2Vr2C5VeiYijXdizKqP6ESc7HGUg9Q
dunQ6+9Xfs06TRx9RWvPl9mD3ToyJqq+x3feJRiV9bbOQ75VrbsluGR+HGtYV601ZPd1rFSYH7Ll
9+SSCYE6W34mSc8NF1KZA2PW1sSUtDmUUZNfeSXaus/Z/jLky/w2uqnMdJvJVNGsaGwyKwuNKY2y
A/Au7cWFbgTiY+4IHYmyuRZIHFkfgBCm0eLXcKS/L0qL81WpvcX2ozlCbwKS34HDOQzps5qktXvj
WFWMhz9X8u5DPjtKe6Vad2Y08XrxJK4Kg/X8dPxMo6mBNToS+4SVyr6pnbT5wDesfsRHdlXQvP6t
zVOiR4VRCr8ADe+tucLupK0TVK8EgLflZwV65I0w4+LHjKPi0eXo/j2xF/sWIzoZBFJ3f6ZlZV4p
IJ/5XtfzIYOI18UecvP1LA7khNi2I7pksZnuJ9WsXnu7EAfLlh6sh9hdkis7r5NyMV8RN62zRWaa
wCyxmSMEoI5MqYsoAHRbWwcIjKoIctUkvah00+JzaRTdUxzlOUAdS8E/LOtmxTHz1nyA0hOsSm9A
ZbXK240AVeba+NVZpWojdT6LBSAzaCdVfB7Kwq73V7464/St0V5k1SaQDWXdVqdbpd28zjhOUHUR
6JSUOJnCt6O2H4GVE9TjL0QCjMDfHHMITMonUJVV5DQc0Ar7lzRjpdg76mi0O+p2+nDl5znrw9sM
KjZnTE/8UTxjW3uIWcdz2taDE7A+0v8Z23ZWgqyOxidQ6kSVIGRzny1UZVTY1VH5AJYEkEuzoGA/
oCCGLpmMSiowp3vyfhKDBK8wNEUbWNIVBDJqYLf9tGvrx3yWqfSRdLZ/iKVdC00KQYoBVmWL6CVO
DgNiQ0kSmfTqsv9sxO00BX2fJK+2mtRQSbnC8G2ELJE8pIvNISG1RPYYgXB97WWn/wLjnb97tZpA
4WYf37MV0SGX9HVhoKdRVygM9h4AVHlsuU+z5i2fIn2Y/pQGP+zBihPONYOjdIwXEiNYe3FoIvNs
DTpvDJX22cy66NsinOGjFOTa+OViDTdS2BxflyguvqW1Yv/OjEn+0SxCO0JVBdFKVFWf/8DYQ8j8
LEuWNic2qCWDdMwZzJ0726ReCEM5OFEyvcVpRhw1OORrEtYzX67NuodSfC3xoHI8nqniGIMY1RIl
YBqTD2lkKD5JMTa4d1neAovRr2z/T3etnL1Vujyr3IgVV10/jH+WdpIVRJlS0A8GItM+teNsBnjx
u30yY6NfWnNgGz87xp4jqPxldU6/TzQa3pc/v3U+2gxvyt600kEXQ9PU16fyz49gN2MKxW7Bbo+a
uc+BQ+zacrBu9clIYep6v6c5TT5q0pp3WNKSK8/gZLvMI1gXWjRXLG7GX4HaP1d3ywUEiU49ux1p
GQgNSltUassv0oIOphbPt4aSjldmaL6MM/cMHNDG92I4/I/NfGm1iuIxayhBEnvd4OvmQDCG35dN
Aht/yTkycbSCXE2G3TjcaKKg4VOoZvs6iKKANz/BDTnMpap8yFyRAKNeQVFBYbuTGapLar4q1KZx
/C+T+pOUAMJVSmWW8sZaIia1xYTbuzMSoVI0LjJv2sFwsG94uOh6Izh6H7NGABnWhVcqGL5cCXgq
V1epa7HAb2n0DI5Pk2jylTw2vLMAQtynMVbk56pxzT+kyhcvXd6KZ5mlERYVV0Aj7sSUg/oAH/YC
1LhOsKUsy2+L2RNEtDVmlKSV5Cck0BmODspEIyBykZ009BtkVEBhdCgZ/ZI/IBJgXXOx7Pf+Kt4l
hmZRsA463rJ4d8OYjN/pBSnKzgAa8T0iZUcNSNzoKNok1fgTXHsP4Q6Z+Md5LifyjqRYVp533X9c
pAYIYDKq5mOVpZ230xuZfq9tE2E7rSC0kL1hpw/ONLrqzka42uzAkFlP2PYIX7JVdWnxdSB33BGj
TYZjMUP6WPMhieBqOhvRO/YyU/Ht3sjv3aptez+zHOUtjdLkd2NBHUDYrdqP2VzWbxZUfDIW1ar7
ow7Tai6yp/qmjVTrXUNvUPqeaRbPc9LZn2t4Bs+t2TefpOKMX2bPIE/U7CL0tiLJQAiy8pvubtQJ
V/SLWom/zpqelTsxKF4GsaNT1m4TmeC7gbyUr4nSksScdjQA/Q4QkoSmUbqvorSnbLeIWnlAfd7A
b1rYdQVpVamHuhBedmfbs6reiKoQT5ljIe8DGKXdmi60hJ2VrbXKmMZWf6VbfTpv4oeyHXYg6xmc
XPPjGQRUfT9qXukgXRUJWSMR+PG+mh8tsux2Kq208PKMdfr1arClbTDTeONZkzfXA7C1op0LFmRC
CJgzjOXZYrl9kRqMosuXOr01dT10IQSgPg8vebMkFEOeWVWaMT2RCfYFRXL26ALd8mlvNwfqc9dy
aU9vjfYC5Ue6+PQT2OgfP0ptMHqnsqQXVCSR+nS5yrsyjnN2Orayv3xr51Yf1jn2jGRUY7L9yx74
Z+rV01jJMHd5WJ9aeIt4+6yHcsKrMYpZC520M4G5xzI7lGM6fmBXK1/GrEd9c/l3nFkBSK7m4SJS
RUS5pUEalWktphigv+kTiZASiw8d7EyRFG2SbohCrSO5iGipOR7+B5fGPYAviUFknAhuIJhpheG1
UZDMWXFHdGa/l9T+bidEuHdLMTc3yKKzK+ehMyc5dBLUD6iP0VPdnoeUVo4WoY8MqUk30FPTQ2Dh
W8QkdgQbsBh4dWs/FUMPOc3r0itr35kBzXjmXvkB/IgtrlavyD2oEGwFseOYv1B8jhwUOyBllYCG
19ey/nb59XL+OF1s6UxhUOLstbZ2N2NaV+cizRayjiqSRNO91i7qjzjr5bjr26WdbwZvnqCdWnlc
Bt7kRtpeS3ALvCBcgQDomRWFu+yvMA5szI+FI5f0E1tVPHQA6wReKiSb7bKZhHc/H3Uj9eN4SZ7J
EBE/yx6r066lRPqQ44FQAsTr8VvKbr8KRzNukZKNk9PuK6+x3/BZLWvkzsRKh/SKkGPBJvmhYJcO
BHapEJR6HUxSZkDPgKXfiXmHDsOCwCeK+MPgUJEJEZFRZvXSqLvTGoO+rexj2PL2KFRCMTQ4f0sx
UqdLKff8KkEGinBI9fH7WNou/bMIBOvI7SOxnxPWOyxo1Q/HGTCz2XqvFQG5T2Q7pUbP8jYBr4yg
eRM1GtixO35ekrl5KjHMrr/AjYRvGkuGjVnRldfcy4jTScpJND54wohGQp8oP1hBugqV2UzkgZwW
GJftnC2Y+9XWVmhiJN2fahysj62hiXc2skQGjU0cx59SoQI1AgVev7szEDM/p4dPLElljJ8AjWRK
OE31TCKG1ExyNJKsn3bEjCW4msFWKkR8jm18XxPg+1JEXt0HROCST0mNkFIFpUKOg9Al88MyOPKP
l2roIdVqUr+WtEwoX5ozCuuK3cVd1KBV2WEFxfk6kNFMz454kubrhNH1FzOPMLH75LLHSTzVeKTY
s3Cwmlt6gOw02p0+VeZvZh14oZlZTuNBraoifzLI+KoxPUg7DqKu5q8UadSa9/R/Fu1WiwWK+i6K
MSIUerWMO9OrsiZUu5hqK+1H14KMlHLPVtwM34nxLsqDREdUA+bsnbcpVex8Dar2WPPZgkMjMw0I
KLAuzJfBaJfpxoYtDwuijabAJQD0l5pM1q/Y42vaAcjy3tmcWc6dCx2wAlzSO+lNPqtWc5dS5iGl
B0zMu7Esk6QQUYh7qKnJgD533ekD1htyYLHm/G3Q5fShttQyJZrT0Hu/SkzxtXNL85e2RGv2dANY
0E/tiTaf11Rtf6OnDbx7EPwmKX+Q+7Cm1CTbhZD2FEij7WwEZtSq3Jcc4w5+U1UtfmNrpBSTbDpK
EkKTwSIbpixf+SV5Fegp3iSAdstk3GpqZ6YfWkHlfF9TsfnvBw6NgApaEhzpMdtu+Sqz8FqMIzgU
07akPNJ08F38mj4ryYrqLG4lTLhDVslry+25WRCLDgcsjEfOCcknJux5cue1NMUOim5dApTUgaV2
qLqKzp5Fs8Bp7OlFLQic2png7q9sZc5sLUCFA/9fS5zsMDZ1OIeEok6RGd80QZ531lBpDzHQwV3q
Jd8vT/mnKzqHOiCKrKkcJ4E3HW9iYGLJ2JlMN/CKZD14ELMRani8fivW0h6s2jL2wxxbVxbz0/tj
F6pBrKIBpK3KyeOrVo2sTBUFWUDE7XLL0jBTOgBQsriQbC/f4OkSzqXWrRNYJtQb27bdPBm52gwU
rAiVrR4yO54CvaTa03XosByCjXiBid2/kc5yZTU9c5Po8Ne4E2ztDkbb45sUkEo00ao8WnvUHtVK
ch5ITPfLwgO9cjI/kf7TcuBwDHIMPw0Au20bwCqHWO3NzguUDnjBt3pO1aAfAArQo867Pw75xBDe
Soe4ppZzMjG4TMchv7tLfOjJChwZOLaVD9TXlLeAgtsr544zD4OaJwJEGqi42LZiLRKPmUdcJyJS
SYwPupYtN2WudIEJ5PTKGz8zpKERAWFDZcN+cTukE2F1YljMKHBaSJC6MmdBVvWk5zWjQhCUPoT8
H51xZUifzhkgvyglYxHjCEJP/fhtz4adL6tZPzDod8WHVZx2I/K50DhPKybEbVepbmn3asyyeqe+
OK2aXoMTnHvIq2UfxyS7xpMNI82CAsODGgWY4Ir3kmLKN3We0T0UNApfLn9XZ54yjXCoYZbH+Y4P
+fh+W8p+pp1BSUwQ+EMonTzA3QmTtdhr5pRz14n6xeqi5sqm+Mx1KS8zVxE8xtyxjVOoY1yyE1mY
QeuJKoR1I96hgMclVaCYdxyP3QHV6vLfD3usQypn2LU9jjJtc46dbCIpMeKueG4cLgdnZtiy18Ll
gECxu6KWODNncYerTY2XiKJ+c7FSdYCZ8aHgEmr70C2J720VtJjhEM/573nuzFvohY65s70WYvjl
F3tmEK0gL/yHnDvWCsrxi3WyIdEQYGABJCXyUznI/pbqvvqgEKZ35VJn3iXHdNY50yRZgJny+FKZ
65JrY6DW0ZYZD7hB7n0Y5S7nyIJCMkxaNSOuXMjoygxxeourvRL3MvVcGgVb/XtjlTlJRbRpNWk4
747aVF9V1xW3ZElYN5ef5mmX8vhSm1s0xqYTIxL4MI052xNtKxTKO4ivrnwW6985rgxjj8OzzPOk
Kn7ihqVM2euqmLNQlEl5j1BYPpV0vO7x2SBuQ2S2v3xfJ+Z1Cz8eWCwqAWTJoCzfrG49Jy2ht1ke
ekixEbKIwkvhtrDQ1KGzmPUjFsXxE5mG3rR3EVm+ZFQNv9Jcaw8RjZ94ZymaIvYlNaMEwZjA6F+M
URXUcy7gpke0by//Yv10tK1GcjpDjmkhTNxGPXDkERz28bYmQ5uWyEvj/HMy1kn3RMZCT3MWQzEs
cfg9XYjJPXnvHQhFpGoUEPoHLydCM9YT501FwAN6n/xjyr5Arb+3eU2/w8hk9GkojOS7qsvmZUIr
BKIN5Ac04bwYPhc4BB1yP0033QGSJBl2SL1Z39V6RyHh8r2eGeAUsYm0YPCBGtrmrWlOYXAWAg9g
TlhLM6TSj5Ob/YgiU3+9fKUzOw+EPKv5xoPLhWfVOP6GRT87RDWSy2BQMN4TcKjtM2NwnztXGDA3
9eWZ4KfxY8+R6dGskLGQpRlJznf1TMK1VobESRRoXiOHZs7l33bmheN6wJLJFhOJ4NaYs9RDTqxh
ygvX2vIAs33Ze/UCt30Qy5PWsfNMwRRfGWYnfj0+DHwuq0Tir6t5q5JwU0yeE8zpQIN1btEMyPSH
VM2XJqjLcVJ3WUloog/vRDP2eTbrzqsFxfa3DtvUe4gGSfRf6414C6OZvEcSzBvnjWwaTNFFb8fe
4fIzOt22cLhi6liLmCqCFf349SHRiuO+osZBjqsIzW4G7dw2Ux4H6hClsO0I2tuRGGfI0CRV4ZGz
offn8k84M0XyE6grosXm339H2D+1TZZ4Fxp0jGZzSYp9WyrDHzy2y9fLVzkzQeJLRpXqredJw9jM
V80s0RQsEbydeMkbvDaaEi4Z6dOO03cKGwdO+5evePpprBI3cA+U0tDmwCI7frYFqOGqaVMrVPu5
ijk51/mrtTjNAwrpaK9UifacoA46WHPd3noU3NqdG4P6AhfstJ/GJMZHtqTZIdXoY13+bSevHc8E
5UwkkjQz4YRuvtpG9OrQtLYVuoukdNSz939bgIbGoSoNCKvV1LiJz0Yjfp8Uc8TCUtjoVy7/iJPv
kx+BVHj1bPF5ctg9fj5zTE50UQ1uWE3liAyuWG6RUyPW6UD4FQO4nBhD55U9h3Hm1vGDs3ghY6Cs
ulXndHo8KtA7orCXJpYPaYJ037NvLZedbgxZFXolucN7kmGMjzrh9H9QW8pfdlKMP0cZ1VTbDLd5
n6cF6zLiQS8CvedS8FrmPPqhVyoMM6VZ7GY3dfn47oxI5JnvgfnvYxENL+Ngti9sYlOk4mIek6As
UDb7NnP0wU0nQXjpZEw/LVtUaii7WHvOBxXr+KKO8XILu84BJE36+U7LiMPyDX5n8sxOebDuwG4b
9pX9y5l3tBqQaThTC2VLun1HxD80tdG2IVHWNfTson3qbCPeg0X8wPkt2XOi9q4NjJMZgRmU2vPq
Yedcy+qyGRgSyEVT1TJsgNbeVFSNx109OehKLg/A07bKumNaveKmyr9Yw44v1I92XdcaYLuU2K2H
nr6Lr0xWfDBFa4YNOPZAeHK+8ZIWQ4HVTz51Pe3L5R9x7gmzAaa+zxfAJLi5WSRiRkNKaBu2GrnV
ZZrOIfPB6E+zNMLMNtdQaUbflVs/OWLw5eHHR//K8wXWsLmqhk4I0eYkCViXxm25YEYpVCW9tXE1
hQn2hcPcyh9YUdUreZGnt7vqyhBs0IUEFrxdHhOFbFOC8GSI/Nv7ptNN8jNyAwxSkEWxBJHExNVq
QjGvrMsn8z83vA4oJmT+8bZVgXYRhWNFDVJsrc0eJ7DJBxLA1duhwwI6FqL/efm1nqol1wuy/+Dx
Qu9jB3I8tlpTibpiIYIoJfcDipQoQEIXpKitogn33YlxYdiiLRy/04xG+rnTzY/NuAa4pzqG4isv
/K+k/+iEsP4eCHQUNgEXWFuyVaU4ycSaIkNlnqsyDdqoNcjIaYo+DgyhEJAEJxsFTYeLxAvHRKx6
bHJvCXzAG9v4RF7JD2pbDfmd2xhGBnrKkePOYXUAEz7YuULmC97QQ5uTUE/dZUn+LDl6ojvE3uKJ
eOv5u2Ii9WeLrSvUnvJW3bUx1dygmVS2w1mVmsu97BfxTelRYuzG1BmGwI2QB2b6ODs7Yar8qLxP
7aekz6NXho3xZhhT1pHh1SRfVCWbsNHKBehbZmrg1aeYgChZITE8gMdI3nBcWI/LWMxzoNG+uvEW
1ciQ6KLXDLFkGFFgNXk1/Y5aaoThiJT3oNObKFNi3zS6fiIjC+q19WR6cPK00fwyHYk5jVJjbm7Z
Hcd7LSU9inSQSnwuR436PyagxbjBVYA4aDC6Rj9kQ+/c0NBVXRQkxfw+e23bhEAkkM9dHoQn5wDe
OaQ0hwmc2iCaneMxWJNepo9pXYUtyLsbREuOr5piubGo1l9ZV6kN8Mc2A4wKH4V6jp80xLbkDdBU
hBBAfA0zzozd26CY5bfcLTWN5sKqlVNGxfnJEZUgu35Kp2/sjgz9UykVkiTYGqm/hCWnAb1jDuOq
Wob2HfZNpASuqizzhz6Ku88ZBVUHnD/axDty1if9fizLAjF5K+oKF5AzvHpdW2lBC5PFDIS6wM3X
uqz8JHLVSPy6QaG0myaOpcGAIu+zJ23Mw6sC331uayTvhOzYRhFECH7aoFGh9O16B/fO0Mu69wcV
AxYhawk57DT3EECZY29Z91abtM0NB17vaSqz5neelgvxTIR1qbscueOLBi/CIURFj2N/7Ezkh5bX
K58qZgI1dOKkuqfPCR6TM4Bs7pxmKTrfyCkv+RPjjpgAq6i+Z2RxoWzpbFibbpEAbLJG27nxKhkP
+2yiE82cY8VsaxONLClUhgSG0W8dgzlHFBLYBefCfdQXLG7L0jgUh8uxvEkLG3wfxh/td+rAo3sz
4wF46tSplIUpJ6u39mBDIJ0nS9Q7pIqIYTIlUX6znSEWnfig+GHIO/frCMrX5W8Sq/5IQgY5DCYq
nB4CkDVHL3PcEDg1dpkDPY78oG/o782BHo6R/pF4891PUxZ10yGZhSTIj2irbpcTB4m3ij6YdVcb
IwFlecwvIn9L4t7vYwD8rwxtmT21sG5e8tjR8nCOsDcEnfAWmoRTbe4lxMAhmDWpjA+eFmdfAMmm
5gGpQm0FtmLPgTO2pemzB5Sjr0YmyYl6RnVup+WExR08S4FbMquzFAdJLmriR/UcsXXkH+vQerSi
Dl6dLXjrtAKfc5Ga7Ts9R+HusWE2rU9cgvUjzSZvovKt0eKMEmN5jAmT+igbVX1rEXHAEBliQU6k
7qVvllKJOLAmKV8zbcJcpGU9P0pG9Jp8PG/zI/KW+KeNeyLeeX1UUICRQ/w7dgaM9/xHTdI2ViqP
fEGtq15knLf5i9HbCwkvYkBL3bWZEYh8nN/6tLdeL087Z2aC1eCCvQVZDHts/XjaMRoS+Gxd9iEV
xvHj6EXJ7RyVv10Mdy/UEK5pjM7sZdZS3tokpNXDYnt8udhqypkAqT4sIz2Ld3Q5OMtNSpNRf8j6
EFFNs8fvmd+WKNauAAK218YmzD0y79Fv0OnAbG9VG+Kyp2O89wq1eiaUm8OUMas7zSzWTC1JoJSE
7+pVrXtlwt3O7Q5FaI5NbJCpFqGx2sztiVKW7ox6fK/WWfaFiJ/Rt+APA/Fwr5lMTvYy1LDhiK4g
Ilo3NLQ2u0Wrw9ZJYJODS8nxbixqPo/mHC0gJ6Vykw8Wcm5R9e5+FEYXVhaxwh5U0y95qcrP/21o
rb9kfebrqZpWl7M5xlMxcgiNHJx9rIrkptKnV1cM6cssYyxPhWldKauevF6PLsM6lP8mXMN3OR5a
uSiNMTbsCVvh1Hyk+no/D5r5lo1ZccNGNnoGetr+7B1dufmv94kCckV2wHOgL7ZlefGwsdaIRd03
fWV9kKIqSTBpuycni8nKhAH63y+ncRQgRMml9L2F0aUoBPRK1Nq+o/Gwq1ioyEcjPakfSTMmYUz5
dfl6Jyev1bLDmgOZFwUd+qZ1Cvmn6JOuPDBbWbS9CqP22fRG8dTHdnqoEo/Uzxly1C7y7PjWFFnx
NhO36EvVpMFz+Wec2FLXnwGG0OKsQZUG7/Lxz4hrxSqw8qp7iT21/CwRDdmPai20t2Yeaiaw0UrG
gGjIzkS7U7p7zDxzfa+ieQe5lRvLF93how+byNAWcDLqaIH4SRsiBGeO0ztZNnbnE8UC0B35De4k
kkPYHU+9QC54+WZOx6pNYYsKNw+Vsue2xUrZgOxLOWr7qrfn2Z9nx/k892P9lCl2dGMoZG6m1GKD
3J6usbfW7//frR9idDYqrCX4KNf49s0M/H8pvn3zsv7fxLdvptnR/b8c3749P6+Peq20W/87vn0z
I5nn4tsTDL3z7v9sbPvm4f9/ENu+vpnNoKS0wxfOtMzyvDWYiUpOCAPVyW/NzrmH2kvWKg0dyutK
rPlYyEmfyHNPZSefjPvWzOwAAoATOrpQXul547TqhHLlIz3pm/H+AGFREEAbAqdqu2xrSlVgANYn
3+q68bueywHZ/jx4X8alcsEKRwrhjYumxUGi9EsMPldHIVbUan87qYZikSy8thAXVVGfFHpSX2o7
NZ4noHfDrrTS8hrTbbvNWH8vnzYaOLooawTO8Qw5oO4suyGb/dJJ5TMisfSuR1AfYEiLr+xoThaF
v9cyeVcUzGE4bs1lY27jX86bGSbI0r3qilO+KkoeP8T50P9sYtXcGRPmvEavU1CiDunwPTERl2fR
9X62owbnJqWxv1uMLdrRjmVNHCeCjcpYfitaCtmqBafht0Ik36wyU6/d9Lpj2VzwryAGLx1rkGVv
dpCtqpMf4wpSOJee1Go5J2DZXPXGaEDCsVC46G2rzLmNjEI/FBPrcTZNc0MZOhpf/vO9r6VxzmYA
lRCgbcqhg0d3soqbZWXld9xxtwSxMMs7VZUzfdDFuLLr+Ntd2t47Aje2AhqCY7gQx4NLoe4ccb3F
76iL3eroS6dHBNfw78AIonMnVhQNb67Iqdn1ZS9sP1YN80dv4brYmRhhqJAaouVsGinzz0GQQrgr
+4R+tGMsymEim5jI1Jb0G5gp5kuck+29X+K6u7Xszhr/456N4btCSBi8lK6B7GweXzxLAF/VNPtT
Uio7OdrZ4+w6En2yrvlLFplXKKRnlgLCL23IfOuCf8J7bXrcG4jaZr9xsh+9N6p7jNAE8zVNQb8m
Z5LIm2tpbyfTAX1UtqMrQ4ndN+Wl4zfWLHGbU5wlkqU3CSNbCjgebhZThNCvmfdPbm+9lIuyAD8H
1astVreJFxCeisuldKncI/UeUbCVc8hqZ1OXr+xwqWR35ZmevT8OU2vDbrW7rf//P/vSCN4IcUbk
dppG2vxwiT4JZKuiqFjVcZe/tpNNE/dHb4WV3MBZyGs8vlQrGP4TBdXAIfv6TSBN8G0SIZore9yT
NiSfMmUGBgrtVX1t9B5fp8YMgt5iqIIiipY7S5bzbvJ4sEG2pNGrEWWlz8G5/k6OzPCUaHN8a+Co
8wEncqSOOsf6RUStuSd2y77yBE7mWrg9FAvpPqzcOk7wx7+s1ZtRh/BfBRC8vE8c+qYwxny3m9uZ
6jzFsSug1DMvF1w8fDwLbZrBGD6+HmXXyk6rGVde5TgUkbQkmLFt+DFJ1/+DW2PQ/r09PtHtrE7w
8bzgvSsDEC7EOouu2ckY8lRXyfxQzwScXx5M526N8zmSA+KJmH42MylY2Sy3Jod1Gdvup6TA6Fg6
dfOhd9xr1tttA5XxZFkeLwwGDmjLrfLH1TF0mMtSBSi76J+PaA0Rqk3GzzUn6F4i3H+k8Dko+wbi
dqhmXXdl2dgedNYfwG0y5a36aBzbx6+x6kBKRiUkHdtppoeaUOOnsi2am9Xn/bjMU3o30glIdl4x
FfvLj/l0+7Zem5BXDloen9O21sRZtsLqF5XcNnncIdZmMRxc3CitXwxEUzQqZ687KhEknAP6Vp1D
ZBYjZA5BtfM9W8pm72gINR8aQok+NzMKy51clOR7TJeO1vdQeldWpTPT6NEv3lRM4qJU4pazfYAP
QX4i72a4HZNS7J3clAGhie6nwSyaK8/p3EUduvqg1xEgUZM7fkXgbifBWZhYHS9K3+e2pVyrZfln
t5Dj05R2/T4exjy88nLOzKgEyOiAjJhUV9bd8VX7uVhICyyqIMExn3xLPXr4viq7SHywStrIQSRw
mQZ1O5i3eSKz73KBgxriMp2m5xGJJb3IrsH2aRAEHu/coRGfLv/Ec0OX58FWh9M/X+nmZVS5mBY7
Wfm+Y+HsMXtOoUtT4VaTnfU+9JP+qDZmsXdrwmsvX3l94kdbLQaui5iOxh8Gcl7M8bPRRErCwZzX
mMmMjpaXSgQ8L8L64oJ1BR/Q/Lh8vTN3ujJ3eP/ABleBx/H1GrxfeeIxS8iM+D3ENwLLaRX5OLbV
sJiS35VqiDcaeNdEpWduFKIxenvKEBySt51tzy5TYVGMJfIPW6ZmdsVtn2d9oCuKeYjRJl9ZX88M
OkzxECeQkqIl3Sa0IcNtoiqKebBs+PR975KGe4uI0LiyeJ0ijrHesz1HvkQGLMrnzX6hzog8cWGd
EixM5wPOq7APQx/J+7GV415Mk3JolBq8caLBaxrLvnuwYRsmlJwKAsda6mqjposrZ4YzXzq5POsR
kf9iSG/es5g9ujA9ybgmcaCPvU4KtILe4qZsI/nRs0bjvhXV58tj69wjZzcAoBMXCbvDzVc0Llmu
l8jnwSDIMsjj3H5wlKS5clQ/GUiriQAXJH+fCYUT8PEIFrVJ7C7dbb+PhXjUtEA4O0UkKvLNQeuv
TAxnLgY1nX0aPXpe8dYsAuO/GolgcHmtZeqXA3Y9Ik/dYJp69a6P9GuOkXPXYwZaFaLIeFHxHt+c
U+tSVwcH5hdsH58NnndAAG8/qIhefAI8+yur0BkONdsFF40L8Dc0N1sq6EKDwtEnaNgs197kK3ni
/FoWcKehhD8AvWJsgdJbS43gR48zY5eYiCMhdWLXD6lHT6Go9NYIFVgGK1+eprGV9km5BwSQvBOL
ALhXH2NYnAY6qF2d1tn9mKb1cMBQD4tTiZ263F8ehydjH6MiByGXoUjhnBjw44dooNssyxpwmmsp
KmgKOoqjvzRLGZZo/w4andC9YY3W4fJlT/Z6XJbNDxUKWk5MkOvn8c8ZJaeP5yo9/GsN+nbrN5ON
C64rjYV99OjdXr7Yybe2XgynFm1v+O0w9o8vVswqmjOLi5mr2e3GFQ6yZ1lO8TUx1rkLoYCGQIgL
DWPw5mHWCof3Rik8fyij0Tc7e/xYVVbx5fLtnBv3gP5WngjzKI/x+HZGuzLUfJ7xa+tO91EbV8Ze
n1f+UqfqbdcAhb58vTPvClMQlhwERcxV2/Nym/TDKPsi8osyo97Yl7K671DLaLtKr9qfly92Zjwy
f/Ds/o5Jb6ubG2d9SAXOLijYmnzQjPmduE2Yt3XW33plXtznDNkrH/aZB7qK57CS47XiILeZi+fM
cTjcWLCp3P/F2Xntxo1sa/iJCDCHW7KD1JLlJNmWbwinKeZQzHz681E3x81uNOF9MRsDeI+rWSyu
WuEPvf6EziwaPPPIJQC5++fc693GN/c2PD5LZJh3YrID0pxxh4cYwvkbHC0E6kuavsFcKvFxCNGf
CsksgrrLSfBSUJMiA+TfStCRo3SQECUXOdqD7O9G19vC0V19fJK55ecQuNXVeUoo2MtOj8LAQS7m
mOPODsSBxm4OUYBcPt54+uWvWz/8ksPRaKL4oNF0/vAOIPFsjoiiShFa+ok823lKvaF/TBDG+Dmb
s3pXN4YLsF3rjI21r50uNHjAtXNR0XRavWmzs9HfcdBKT1D2xbWryh4Rr8sAsMrmc5cnTPrjASHH
22f6bQS3fuQFJ7zkcwAw13KhjT4OkOmyMCiksKYHwMFp9wqcBkxWVypjUwaJZUzgUFwv++g2LhpB
Q6+1v5S5QawB9WkHJfwkLvKj6yz0XX0M3U9hqA8yiKl+imMcMd72vVa0dQBu38t37G0E3TgcI/3n
nKvRc9K3Be31zgafZPY2CA0TrZF9ZZeAR8BfeMVDqowy85O5UJNDq7tN/LFwjP4OG9Vy8GWT5y92
aAEYmww3zDb4Yle/CVJsssqlA8ltdH4sJjWMmzLBaAQmrW0sOLzmPzss81M9ICvc6HP+ffSAw4nO
q+61OWng9XvD50wBQox+2FRt4cuvfBZM6qFXkV5QdqwtGrTOnZKuGfUgDovu61wPGFsietg/INFs
LagcITbS44uuBN0tlZDAjUgqijXl+RbURVWXg4dxZzs2ZtDN9ohFM0j2Ka8a6O1KS5c5qeoi80lC
JP292NiiGl95aEoOsmCyc9RC1to6KWgk2YsaP0525a4yxMSSDVJte1BM3VOXT+lWUXB5vSzecQRC
uuh4Vl6AOoHsM1yuDKQuy/lxMOvcBzKd7Tyr2+r8Xj4dyFFazSxCJXkBoNUjvaOyUY0ADXPqKrWY
Dk6X/EQ0L97rqE/tbn/3155sQS2iEMnFyXjg/H3ayoBEOf8EE55+exdN72PlZuUXlKunf76jKdvI
TTmv9Cygs54vNfW6xCjcRko+dcBajWXc/ey6wnYOjKnMbCN7uzyorIZpCQNArguGuavVnCmmrogM
ksaUDnqZZD8RwAX1mybYRcwxuoC7NlWQO9HSqvypZ4OydWldplpwHmHALQMLGOPr+smTpoPs9GAE
YyXVhzmbjc8cmm7jQa8dmIU/inE536S1FqsbLAjwVSZQZhnR/PLtCe3s1FCVfUHX6WX2CLq3j8wF
TIlLWIWTqBnLnBJS8vKL/kqMVVkXfRHnBvqXnlsetFHv9m3XwGICL/gB+IKqBJmd5ui09dhrM+ig
7CjCV5HV+ofbv+Xa8YVkqINvISagrX3+U5qp7etxyIygtSPYu2Ue3cWQlY8LSndjn68shczx0hDA
+Y8NX2Xo42QYitPZZhAmWvbeTNzPVOLhYyPG59vP9AZZP7+KqXOW3id1I/p/+irGAkuAjwM1InBG
WXyi1VY9h+Q/FRnBFMMzRFroQwQzbtqntWhGf4ylg6JNA83Yj+wGVk/kFB1+0HVp+5Y9AdDU6hCF
mNu/89qGLM0BNB+YY3IlnO+9i654k/WKETBYhViQFGZ5GBORo6hu65s6tsvdut4UzhxTDLrh3L+r
1RKrTru26YwgB8RuWH5ZaR0ud642R5/cdDKnIE2EfEWyixmAq1bDn9xlIDmb/HeBag6l2PoMlhe+
/kUcBMQWIMjTMlr9IuZXUs1lokKyRPq6k4PxuwOXfYBNo/xqU0wlfNdcNPJAQ8TAowv1MM1tsxHA
L9NFqGVL6CZdB/KwVq+KitmbPVUA5R76qfdHysj7uaiSN+FwnBfQqchemcrmGxO8a6d0yYRA7aH4
YRBiz19/HJqpEjq5GoRFNpxUs00eUHWULxZyGCe6oNCvclQSo3omBcywLv/eq2p5l41xfyxkk30W
XVp+H0o1O1lorv25fTivxF5oyJxO2h2UhWsAo2sOWZSXqRrYFbwjIyuQnUK+KdrApV5iKXD9YkYB
4YMOGVT+1SGY3LBEhQ0yWlXrNsRsqE6BbCe38MVY1UdUj8bnispNJ1fw1PfJbCWHOYnERmp65RJg
IAVxzFt4flwE5y9jsJHrdGKpkozl0bOexvVXU4/jL/ji2A8jeNWNw3/t1HHfAALm2uGaXd2u2iLB
Ubmg1S1Zuu8L1xH7bsjyk+4N1X1r4EYyMue8v/1Orx45i7p7Ed/A6m2dhg08TTVTMQU2V96PZQ52
qlBmfq7MpjgW7pzFsB/C8D80H+W3nLkALn/2gvenPlefTDHak98KNQcl4LYfhxxXiI2v8dp7sOi7
0YtA45jO/Pl7KGfGTdwd8GIUjKW7qfI+NCSoGbKpbf3RMWe5cc6vLcjhY/KFdh6xcVWSxKnXIY6c
a0GvlwIJgnqKP6LfCep8zO24DvS+R+Lz9nu49m2BQKQGWBRJACydP6TSOGpl1ji3q+hdfYad+AWa
9fB6e5Ertwsp8P8vsgovaRHhIMbcK0AVFWkqjVmotvc8UeS+g4v1/7KNAGRhBzJppdt4/kjhLLn1
C/hMgx0Z+Z4isBv2nP8pMAc02fsmyve3n2/5/avbgz4OKgkW+Q/J4fL8fyVRCi5ESlGhbtvEen5f
ddBwx7SxDh30jXv4ML9peVQnzDi2HLGvbSzKnTp4CAaWUPXOF/baBBOQxtUCEMHqCTS6heWF7J9c
2TQbB+XqM/IdLMUicclaHZQEkIRiE/mDxhOjfNVyLJmQ+0aDhMFyYaDo2UziIAw4TIGujeJfBUhI
VMkXHGIFHyQok9UZSrDCGiLUxgMd1tRBTCP8QCxjPtQqqv+3X+cl/IO10K+E9be4cKLcfL6tFbOy
ElaPHsy2PY4Pdp8M43s03NC7NZ2BTUbWBjBzoaZSeZeOZqfeywan0jybdAWEv6H8DM1Ja484lnRf
IlViInL7J14LFRg1M7Flnk7lvgoVgJgQHCtDaEEiaw8VDhM7Y46aRzguvzFYmDcShGtXBJk5QDfS
ZvKj1SeF+1OZWuMiDJvhTTvlxpce4t8dLt3Z0R1qZxeaUXt3+xGvlSb0CBl78CKoM73VMxaOFRu9
RmgqZtkVX11Em0+m9OpxDzC1AveZ4HY29bPS+V1cKMZpaFIkJZUImCJid3q0ZVVy7VxQiAKypKKn
+n3zO/rrOwd4oJWcPjVAN7VUjqqw8ANWRF+n37KqcryDrB3cx9rKmFE+FYhx+mT1CdvTZ+a3RMv1
ntocfLSvjoWYgb1rYuvwXgnoxAFuESRMYOvbq11rdSWnWm5U2ni1RssGAUcEAafD7ZdzJfDwt6Nq
jrQ7gkBrMQTGql2P8g/cb4qJ+7GcrS95131EREs5/utKBNaFHsn03yStWt3CHuZsshWLELI65MdY
uLXf0ij/kSBi+/n2UpennKWYSfEalxXXd2EEgMFosM8LcocL340VzEkJOYibQz9A3HQ4QLIfN3by
6qIgA5c5HwC6NZ++nk1nwpDNDriWsETQbBrx9ADcg5c26WOcm+O9V6v6RjS/jB8kLovyHeF80VxZ
ftVfJzmLBWqYtQMdMvb0O+7gMshG1TrGNaIpDnZ8we2tvZJbm7TCjDeAIAqVa/NvbMCGLqW/E8hp
ml+ivGLIDtgr+9zXc4OPVBW+01pV7BOpG+/C0Zmem3Laui4vuCsLdpB+OBw7pnILouT8sSPoxoMT
FTYZVqU5KXRpHRM0kYx9gYqShWUp/FnjJDpn/N6Wkf4+mxGGZTYEj8jXE7v+Ty1t97tVJFX7zsqH
+quGhmB6iKwRT5+mV8bfde1iX+dlpnuKTUsaJygmysvt3Vzun/N8g8egY8p2Apq9mERr0WTiF4ze
jaPVg3q0cy12oYzqJT35CIomSO9xPHSEsHSfdkaMrQ89CnMjhb+MNLQLaP/R2lAZs79l+H+dIanb
jRoawkLIX6bvAa7FH5uuazdO6mWkWephB6smwHO0J5Y//2uVGVZypaADFajjoJWf6r7KlJ256H1U
qPmqG5fO1dXoglF1wfi/MKCG8N6lwvbMwIPeLk9Mjobk3axrNMAcuxmdjc/i2nI0oTSUp9Ags9bB
elbHhdSF58Xcxu53200KPCCj+Fupo5Ry+8xceVs6fQ3aLWhrEkdXLa/WnjpVmzBbtysZ/ULzUPtS
iXgjT7gSVliEnTM5GMzZV2EF8LELqpJFZhVvl0OHFveBpl7k+vMocSbK3VH7fvu5rkWWszVX3zSS
zYlw+8IJPOHaJ1AN0d6w8/HQGrr4RGdTfJ4nzU0gKQ/jMRkj9QHBqOHr7V9x5UWe/YhVxmiFcjb7
NxFvu5v3KcIEqPFU8qvmIWz570uhocv8FDgDlelqKbCDTU5P0Q3gr0g96Nn0kzLXBChlnLd6A1ci
Dfhn4HdkPEuNuNrciqFh5WUVuAmlz4xjFWXGB9NqZuPoaXmd7rxYt6rAbtN5uNPtAUItsNow3xhU
XdtdGsIcXZ6OadHqWKmhMCVzac5u2ti/IXrmPyjax95PDH3YqoivnWE+EMpvMLv0RVaL9YztMQNM
WSyDyN7PRvGEeLayj1IVk3B36jb4stcebuElA3RYNOHW43BTxHGCibYDNMVRtJ2hDAisa3i/hkAA
+/LH7dPz1sRa3R28Ry4PJG/hyK73MhcW4PyOT5Rynf81hwGvt7qNMS3Rs0z/HM/xhPqSTTj3YdMU
R3Tqab0UADCzto8+KiHCALd/07UdQCuJPHJxCqUDsgrxlqWIaLYcSDxm95IL2QcVw3Ro2Za28fFc
i4LIy7DVnGY051aFjOvNCEvSAw3iZJDfE7rqp6qYiy1Fu+WMrDaZtv8yXqWKBFe7OkOhM83AnEDG
RNaiWrj4O/4WdZrSTlQMw5dKrn5PkIjZiPFXvlYAeMAWKNGWntoq9zdLA7clgIfBUJlucZibqD5E
5JXmoWjmWfjTZGM5r6uVeG7lmKH7MrSOtvEjriVZhAs8axcu9kLEPn+d9TyWHfoBmMKHiROekE3X
5p10gA37+FUqnyIkzOJgtB2B0gfIFOEjwTEPWEa38bOKxd+fKcvKVzC2bGCHPE4cmJ3jCB8RB6MJ
XLWBYObgl3Ov1Fgl7kmFUHBIJBDPf/80sZ6z8WEh/KGHqJ8/iRLHRtPXALnG0fB2jP8RPsnU+bed
1NpG8/nyG7CW+x9k/oKIIZ86X6oZjLHswzbaMRloH51YH3YNk3euEpx4bn9ulwGOpVwiG2R5B4Li
6nBqrZNWk5AgB/uuPqb2OPnoDBbHFGfVjyA1tkAwl98cXdQl2aZbCix0DcBRqKk8kLdKUHi2QgcB
cyi3S7ZATpcbiLkZQ8zFQ5Je2GJE/3eeiO1tkTUtJBHF0AtaxSk3Pi2qJ6NqvX8+FixFFwAe/lJC
rQFq3ti7te6NDEZLEC2y6jpALGEWNK5RHm6/q6tPtSzE9oHVWMPzw95Ac8aboDmFdnjI8rJGe1yo
e72SWwniOmbxraKKAQIFmB8j9jV3bNLbUUXOJd/PRRGhPxvN1D1Ze1fUOn2fdtS/ZYkxbwSL9Vlc
6A4gO6giqPDBZq7yC6tGHpAEsdwrbo4dVllZ+xQg4sE1R/1LVG/iQK88JOshjwd1itn1GgnXdebY
FQJ1p4L+y7GyDaQIyYz3RtK0907Y22ju5luWOBedrOUpof8AU2aytxzR87OpaKpUjRbhVqVVWof0
1Br+m8wa72gnHZQU16oiPU0VBCFfNfoWzgdFan2HHZP9rUnNQf4Puw6g3EXjcCE2rFOORs3tYrJj
uXcUL/pCAY74CKZ8uzZu5r0sxy1xm/Up5vkXRguMNAo4TvGq9kibvlASx+w4tmXyqa7xKcETx3vE
CCc+3v5g3qLX31cvay0SIEtFRYeKMu58r+MqcgajS4a9WqnGHWYh2X3F/3cXknnseytv91kdK4e2
TTRkwgV900yrP6NKBIA2Ydbil4U9HWpbHwy/dlwYU5NEMEaHcLyR9lxULstPBZJIF3fpbKMCe/5T
u7ceXmf2+6hpsi/YW4v3WGdPz2YVz+DmBzG81mWk7iPFsD57eBPcpV3Ybm3YOmlYfgX79OZOyOxi
fRjCRVEdonq/Rzo3TY+giEX+nAtDnfYZ1mvNrk6n+nOkNbBfwMpq6l6r0vylM2btq+gr3djV2ME9
Dfgo/kqABJ/mxBwcv9YyNGMR7ui/AiwOP5uhNj/fftdXPmbaj0zmKA2Iwut5WUkTC9TejHyONzoP
HQZz+7aP+we1ogWSYLV5mud0a9azvs3YLqohchsQvFRf6+1SBK5lbovGvOMmzU63CvmlrISxqYS7
RiS8rcOwGyYQHboL8D92JolN2MRxqeyMCa6KW7zKRhdPbjOY2N85k7zL66o9ZJFZV4dFN+8x1MLi
f9hjgCELop1npvo6P6NejvKk5SLrUns4jpiDqj3IOZI7elPJI1nlbw1BrX9MUMA9kZoAgnxDZ9Ku
O18T7xRmgxlrxkWS3WddNP2M55BkEBHGaJ9F4RYk8EqAflOXWLhPIDDUtbROktl2l6sz4jVjnNE1
n2rzGEVz2e3Y0uiDBl879OdUxzmrbK0YoVoz0p5qBKC/A63V/tw+11cCA7N4OtHciEDuKUTPNwBx
zzxETGfYuyKKfkyCEGEMbX5HaYhvUtPpu6JQ+3dJqi6e916Mp7ApXm//iIs0fnkLoPuWIpFGv7fm
WnteL5tJsYZ9pxmNtq9mfDcDPS+8h8mzU0gbUuGHuE1TK75jSvmxnqcp98vJNT86wtInX29FH4LU
kPI1tMc62ydapYwMszX5OimhiHy7T+V9GnfZcNfLNE6RoIz05v72k1zKixNj4cTTOVj0usl7z7ez
Rx80Zkgz7PEBzjHfmJu73EUzH7qvwd5N2kiIlcl9ipjwHoS8ZmAphkWmj40xEsRqnPlVG5f3TlPl
pzhSq73aG9VG5/EyDMPCRCmMZI+wgpzE+Y+s2jFro7wb94iHNCivZ5HfFiWOU7jZfcLAc/zQF8wZ
c2zJ9nqfyI3v/OryKIgsfWXwT+vSEfnaZATqPe3tqG9Hv08MOfqT0znhY+6Uihs0UpsnrOcya/AL
c8SkDVe4UNkqg5Zv+/z6hqZMtsCbgvxEY/R8G2bLzZZ2ab/nFqrcd00BwOYx1rpOe49JHJ1SgWj9
B+inOPYoUaQ8WfoAT7+Nc+/kFW2R3jH0N1BYKIdu8lPT7ed9ps1MCuupHmO/1xCb9D2l8GQwLvOR
eyO0BlyVUMOr700lVn4UBhQFhrs1GelYmDkueGEJUEUblOSuzlPGd1kf8RbGrtcg3lvRgxiyDpGR
WGIvnoha3Omz04SHYpjcNnA8kdzLrEjQTI7U0PPLNJqbU9/azQ+3HasvMuzNT8KO0vRlAIl1T3HB
lMueSItB8ZvVcYJO9ej0dgFaHQ20jQ7qZXYGIx2bYMpOuHSQ/M+3vJ9ahGV7kw/dnuLHwqTxk5UN
h1wvt9hfF90nggqZMPgB4CY0Cdac+2HBt/V0YkF/6DUjoKUlnewqnJQ6P0xMXSJVYUT5k6aIGl1M
xs0ZXuTj7PzSGlmr94XdNdEzR3GzP35ZicBRZxoGemNRlF5zYHEN6+qm0dt9N8fKqxXBV8cstP45
9M1XYMlb6nFX8lQHsJlJaacyw7nA+vV1qHZtsUi/CkOpcR0UMQc2HFQn2ZXg/DrY5mppnMK2rfKd
x30gd31eZtphHJo+33uwKXoI9D0GdSVIF8WvZkM+E1Cb/kMfjuGHHiPGf4WYLz4AGl1YvswF/73G
1jhePNjYqKeof4fIuCdt19PlH4aHqolCe3c7cF8eTNJRBCIJ3uSoJCDnB7PhbhGTPpd7TaudEz0E
uXedvHwQEFo2lrpy5XLJkQQvAXDBl6wKUU9SuVkO3bHSivpHxKSqrwoEm4OZ2aLyW5a9G0gzD1ya
AiP6OHqhh+xu1GWXCS2D0UVBZSELLVii8wd2Qk/HsMKb9xbZ9S+8XZxnOCiK7suocvYKpnk9noxW
6WzcPReEoWUaiiCnRjH+pqe0uiGj0tD6sE4o/kYMn0+dUNUn2cxpypBzVKtDJJsqOUaopL4mUW+8
ghlPni2NCfVRzQb3D74L0YcqJZU7WCl+Ddzx2KT5SVfVo5/JGCx770wTLpIhgVwxUMb3scASIXCl
qa38ac4tSMOliWmkHXbWL1Np3W+lnATSA+i7zKc4V8dPcozRJnPtrgKdyS/7Y8vGAScb9l3voxks
0vumcaKX28fw8mxw5IEELPUy3qcXUEVJgwLfatfc9xFFqxSejmytWkkNkckoDvdGPhV3qos7szaY
1SmJOzV6MPHJ+Xb7h1wcD94SL4gmGnwdBwbt+fHAGC0ydRHP+0WtN/Wx8azuZdto5T6FTu747aAA
W+gVW934OpbDf3YpL8NyaA8Ls2RpEq3O5VRYiN1gP7gf9SEqTmOoS641DG3x2uys9KWK7EQEmNVp
A86P47Tx3BdxgOVhRGGYBmsesNPy53+NgFOhjFqUNhSeWcaF61ojXuGJdphdBGpvb/GVJ6UBtuCv
6UqBTF2lH9jF41dUyHkvXISBkSPBosIX9jjsIznYj5NJVTJ5mMt6Ubg12HvjBa+2GQCKhxjHUtXS
7jt/zjhWKehEpe0temKLpP9QopntZfUjSK8CYjuuDsVOcUPrLov7XGF4U6CpXDjorN1x0VjoO+fo
gd33ocDRWp3maYfutp7so9EMe9+WmflZ4ee7uymak3anO0l4yB2tVHetWurT3i0HvWIYXVbvZ32y
vsdFZEJS0GrxXxX2qRfU7Au2LDLfEqm9wAMTghBcWprfy/5fcHysQauMLrTAhbrdUJ1URdN+j4YT
yacuEvTdvbwsxSG0nPknJNFZf9cKeOIBQ66x2st6co55I02xOD3Pd0i+yTCQdISLfw3R/EwQozDV
KI5cAFDn76ir4iKcjEXDu4kYaBixnDEqa1x3fMfMwx6Oou/wx3T1OdzC/F0mT6yNZBk4XfIn5mSr
wzmgVUSUbvU9DBxlRq00dl/6vp3+67SOuJjGSFO7JpraNXP+J5q5TRVYvZ2+mpgTI56IV8Xtr+VK
ZMRilnGZA64ASOaaze8aokxclRNroPH/qSz66X7mptB3TpF4dxSO5aklY9hBYkg/ev2s7+aGLG/j
nVzg8jg7IJcXAO7SZGTedv5StFS6bMak7lO895RTpaooVIHk66sdCJrwV+UI2vOmhYNmX0grvYta
ZDJ8FT/wkuFT1H4gpDWOb9S5qQYS24YtSu5FdolUIQgvRNnwHF2g9ue/UO/s2M1LB1krgOxPJU65
iEMm2qcO5YOXLKuyn7ffzJX1TGSEyGjI0kgwl3Lv75CJMRtmaz0swNoMi0CYTfiQKEr66og+mnyn
oLu18RYuQyduejSslvfA9HEdOofSiiMxpuZedloYNI0Xp76ap1L6xoSHapJMeAQk4XxAfRpi6T8/
L0XzAt97m2ut5wjwgirLjS1zX3WoH7ZmG/5oqKEzMosMmYkx1mdj4/Bf3koaoJ2FTc80HbzQ6lbq
Z28wzFpY+xEt+hNo0a7YlZlUHqQdAwn75+ejxQn0YYG1MypZv89Sxy9jzFnM7ehLN6Xi9xkyn1Oc
/8anpfpHCgqsDG56EABoW+tQ55d3/dfx8Rwxal1ciwM8ceWTN2iMcRVzauD+hdYpwmxq6/Ssc5u3
FR3IoZTcXPHOasWiFERPC6YjIdt+dFy7PcRtXX5U+0QFW66XTNe6LSc3Ou08yN9X7rIsnNJF1AUV
ZjBY5w/ao0fuwHNz93WMkBRZrFcdsrEev2kd3lR+5bXGb1MNlQR+ZElzJsVb4uThztCiHRwiyiKo
qz8gAYD2VW83horXRJneF3oSfWz4DyjjCwOEzAQ4/lMdGcVnG9uOxFfVtPuNykUxHMJSLM7uRdT8
aGO1+5qP7Qi/yZptxyd2diIQSqNmOIvF+LSWdCGfZres/8x55sBMQn73MGD9op6aZOxOelE7Kn21
OPoeQeCHW+dW/eSrTelUgTcN9OhLRZI6uI1gDqtUc49Pi+WY/HvT/xD4bMrFx0L0uyXb4K/CjfIP
p6RDj2MmuQ7iEkeMqcQLOojMtvyTRhIzmYQoWvsynMZkn0YJDy6lEpo77IOUDx5+DNE+nJzkcbJ6
gM8Dorv3nsq73iPy5uWBrRjJLwoE+C0FBy30R8+WLyFZX7kPEa/FUM+atM53BrQ0/aEz0neKGuO4
WhpD1O2UDAS5Hzc5Jl+NJoXuT43SzE9zKFCJ7SB3UiWYBgqoglblo+TPPoY5iAzf03tFBGNRLNle
HiOkS7lhfASt2tqHvqz6P3bjkoyNidl8K7FJ+NP2JdULRa+LzVQrym96LqfCN4apfsDsHHUHLGQG
17cTLfqPokIrdsloV3rQdaM34fQIe9OfcnOudjU1cxck+Ht8dUDnibsEKYS7UHeGIpg0zKV8sowK
YzepUt8TVSb8hcqyLQJu+WVsH2bRicmIMFiNkaGfp55ifZkwqsCDpWc242fxCH/fE8iK+YnetShV
dpqN1pWnSAfVgx5MY2Xl0+9ZDeFPD9MsTFwB4uxdh4Picwec7b8kDK3fLt4tWYCzKS03O43HhQPX
R490cdPviZXy5Wr5AMemozi2fT2v7F/lZMXqHoUV57EuveQnG+fVmJjGxOXb4fGixbvgp7CQZpIM
g5hLaNUq6JYBRjJ4+QHtI+R+tcluYIpFPdVKDNbXowsdksTTeq3+U0cxRlxFU/4LcIdwdmYz5B9A
Pgu0LavSvauqxTEuct3Z9qe+0JWNX3sZ60AEUQsvxRT1/noIbaVNHhthVR0YAGpBWWOdF+PU9qPL
4q99ZH7jIdXn2xv0ZrZ8HugI4/pS3jv0nChwzgNd6SrElkpWB9VGhdY3yrC8G9NaRZEjaSjSUfa0
i0Cn1Mv3poKYFu8ph2NT6G1jBc2k14gzCid7RrCp0BcKnB2+t+veRk5mJDy6THax6XIy9yXGui/f
2aNWV9QZNhNEF4eoDzHGje07Y/Jm5hhjKXcNzKb5U1dGRvxej4wJ410TAOEYxTjf5srYgSIN0y+x
a4o/ohPWVwvHnBiXbG+cTqmeVT9mxlHdLkJgG0CQ29LYVfuI+Y2biOIpVsb2Zz73QjnQWKDRryZa
+4w/o5kdC7b4k50t/QoPbG9zHzaFA1jTGvqTBeZxCDrGr6/d0NNBc5IhfueZmI3xOebFf6jCIWjW
I/uCmppAGhWgTknfEANeOKIFhHllmCO6eE7WAauvF+U5vuL+WzVq47CLjLST95q0uwibSujutDq9
7KWdAcseB7ydIDhoYb5Vw18eOsTmyJOZ+9NX5wI9PwAWrOpiYFK7TArVw6zljLIaRuJWqwNLU4E6
ZqMp/zFH4nplG5ZZ6TJeBmpwvqjZaA1oHDc+qEZZHd2GyYI7KRMener4evuELwf4/IAD1aSDi54L
mQtsw/OlpBBpJiIVd8VaKgxsTKt/VCq73kA4X24jKkLAqGFqgP7h4z1fxmVYNNtZKw4GKAZtr4g0
fL/gdhaBNbAz/VTH76Vmb0FIruQpLkUx7GTeHLnmquyEHa0wu4mjQ4t5zl4Vs3aHLKfxRCOmedLD
CETc7e288L7j1bkYvy6gNPq85tq/xjHqqRCmEeI6pzvNz24e21e6b5Xce7GSeA9uLaK73ChU4UMb
Lr+1fdiQ8GsSvkRbh2H2xWlsfMZyhjdPaeHp7Z1VenUd9CGaaTtdNEoVNK2mvWherrdBwzzxVwzg
ojwU1ZjSEwSC4MLQqCzDD2OFhtdUIAaj8Gn0PnyS6T3tYVP6XqgbxcGdLPUxSqveZS6VmYChsVBW
drWaFwdy/znx8zzsS6zFMJbi+lVRZjaSzHjpFJ2KOcra7qsNzz/0y1pxlB2zxIqBodq3LWNAker7
bBRmHSRTVX3uLHQYjkiBevMh9iL0nbSp0n7CyJCRP2YLpySZEgfnr9CIm51q1tpAAVSgNYymgniQ
qa1BDWsiu/DR4i2eQk2M/Q5BPrTIyyKfkz2jj2E6cmF6v6XHZMSfLaYgwSy89NekZsW7rPLUTcXB
y9O96PQy78fklXp1/RE5tTWGmtqnh9mIdCsgYiTPcMyUANhwX+0zK9MD2YVE1KjU7pu5UwKvS9Ge
y0rXSmgwDerMBsbtH9Cv09GZquEb6N74Pm/j6bMRms6D50qkDWy1jHfjNLu+J5E7KYQoAmmb41Mm
rGLa5TLERLfcwgi+IULOgwS3IDMFyHGMvBgxnn+9Mp8Nt+295GAkehTtUqEbVBiq2fihXeNp1o+1
4895n90RLw3d10bbeilxpiuOSDiPqKTgxfm9Req/euwNqedP43IlgNoizaci60vrHVbtKQqDak6u
Y0wTlhh6muNozvvqSafVsCjfe71o33lROg07tzKSKchHx8VIWCjOn1ZmyoccQu9vaAzVln3PZSCB
LmySIzHFYbay7iGNuK07hTmlB2ssi9OE7JyfCDrIBXIER/p6YuMGuAzLrIdYycKmwbVgDWVAsVj2
fVWnBx1lDe1dTjrcvPOybD7ejlfrapwEkLBIi5rF6ACttXMtTQxzwRk89InmvUscWR4yVTbvJ6lP
u39eiuk0AvRgXGjXrrUkcZyjPWeN2aGBIXq0kMzam43tfqAPs2V9ctES5rGAqy+NHHr+DMRX1w0i
pnjFu3F8gGDbVQ/IqUUnwfTfexr6kbmLTUylsGixwXSTzqaKyxAzhytpTdimz3Zy53EHZk9hAmx0
p1qt8cFLs44o3AGF23FSZHRq21q6O6loeEfZPaLKuocUt6t14bijj9N9qS1z8ZvPZyY7EwPpNlBh
EbxMZWPYeC/T+HwMGzt2Ns7O5Vm1+XDehrKgNRkAnn+ttVJig1e1+UFRlbGA6eJ13ufQUZQHJZNU
4IrbD9bGy32r+M9DxAIW0TWchZHgYFZ9vmicZ5raDENxSJTU83xEpvVjkzTWQ94pUOyh9d/lMdZi
pbC7P6YisI2SbiwDzyisOy/TMh/FhvKdLGa98+m+Uux5eYZhoaZ2ha+jIHF3+zhexmwbE7LFMxcN
A+bXq5gWGWZsz72bHXh3znFoDdMnC91VtcVI2JH5Q+tE/+pwQ5VlwdUAZQkOmr1arRlWbpqT4srD
MDkAkbPUsl5w/AIRVjEKu/18S+J2/kLwOccLGMaTS9DWVy/ExMrb6sumPCB96+3JKPdemR1yN7HI
tnLvqRQqekGhob7eXvciojAH5skQ4rFQx6Lzfn4QoB3WaTUO9UFO7gv9hYSu/v9xdmY7cttKGH4i
AdqXW0m9TM+M7bETL7kR7NjWvu96+vNxzo1bLbQwQRAkgJGwSZHFYtW/6Kl+nAet/nh/qJuNzlB0
e4UQO9U94uT1UBKsuIQeV3Vcojn9peWtfqKYlP+g9091xgqXHT7VTd0eWBcqI/SZIHfR0lzXanVC
MhIRZXXs5hJsZ5C3Aoo8QQls6/GUGwo+p1HU8edcGBdajsUxx85wRy1662fARER15v8ycmvQUZ4N
VW/lUXOMklj6N1EE0wKBkANM3GmkRjbqjzrWTYiuzTbecTJwKNR4qp0jf7v6guCBbgd8HZKfNTxs
ptkjL8bSH+VMmZ/7xkEUGD7qA5Lgo8yvkED93f/eN1ua7cyjwFHBHBNo1oJGCpznPIjj9oj26nLO
VAqbeNgmpzyclmcDDwa/6IvFo0WXvZG6AN8DIt0r1IcaAOjj65029JreLFXXHmOzTxWMq9X+Uho8
rkmAkj060k1kEoPhu8bZYcNR1r0ejDMrzfVitke71bTvwAuUc9uiMl/rsFscKGUP0zDv0fdujy2D
AuTUkShBm2CNz20GaJ+xjiiGTQHHxykqOiBtp56zKu127qetoQQpkl4J5UVwutfzK9KFZF512qMm
R6bb98N3Ne6HL3prhR/ub5iNLcrWhLiLYBLJ2ytW8496vFY3WV6NKklkJFmXeZy6l6SXf0RJhMQE
8gF7Bji3GxRskrgEibgaMr2rgGT0k4S1ege0QRqzf60gjYRYr226tkHr11WnXGvg2DSZL82G/emt
k9VAWhjomnAg+UuklH9MNkpapwNxSIqqZPYp4th/1sopv0hEig84lf+H4Tj1UIccAfy60V3VQToO
Cna0S7voz/rS4vVT07syQiv9Ng71nkDH7amgHMBnfBXREbSQ6+mJjG6IKpPptfBszN6cLnLRB37d
95WrwHp7LCZtD0olPtjVJSr0reHYCPF/UH7rVCon+5iAHXJv9rN5RMwtd+cRFfu0qSuPapzBO04w
mPQyezKrYc+m7vakCHlthP4Q8BFeuGK//fFJKzhMdqW3GeggFamACgJmwAbzHZooO9F8a3kdoRpO
6iyesOLP/xgqbCx1pG6XHcdJGZ6KlPdXkOXmcx7l9o8is0eAlKOzE9BvWvMA+AADkH7Rb6UfvkZu
AcKxFmkxsqMZjuVLmBTmdMJYhWr3YqkPxqJNfoeZKQ0Mfcqe4yzp3Sp3jB827n3eYify97edIdg2
FKiEiAkWVpzl1SZLejzykiiVPFXNSN0Tx5gPsRTMyE9b73NZ/31/uJv6++t4lqgVUULnbbQK9TIV
G9IkNNuXFNin29XQbN0ugPhBs5KXMM0kuRMajxFejjiRNU7vdp0hf7OpOAOjsLS5c522MWoAtUk/
vkMfblRPJFzAbtylrMG27Pxk0XL/80iIn4wZADV4nqcQtFYltQBVgL7TaIVNQWl+Mptp+pSW8eTW
Pchnftrgh45Vns1Eu6hUfZ7DmMrs/d+wPpWvP4GCHhHdgsKylgePZmPUkQqivDKaIOBLYTcS1eox
afISTaNKfbDg0B6oJyZPWYsz1v3hbzA3r+PbonNCqKf5uTorVoSZPZr+dANTW+h5Y7XkJfTffqqa
RG+Z4nTr5mFSfotmpfkY6Ut85IQPP2leNliWaP3JoPh1LLNhCA6JA2L3/g9cn+XX34dyMqkqIiA3
spSv+kqJbEleVTv2QU+DFEiwEoFCivoTzsGzr7R5szPo+u4Tg6Lyq3PZ8ubmkX8dQLIYoHFLW8tH
MsP4ElRlCdm4GXy1sjp/ls3loY/j2UukIdrJh9dR8nVk4TaEXDTw2nWtpMbZsbHqjLqUohSulaiW
7+SBfdGMYk8JZ2MooTIqOHIC87nOQKVIjYtZZ2VxrIR4b40pCI2pHCd/LJt8b59tHDUGg24Pwgvw
jLPaZ1DBYv6GARyq1mx/i6uy89Gc7H25n+XkkKlZ+BsLdCc4jjqXIEmb4bjRVOzdDVuzFi8erGmY
PUDf60/rKEsKhBLTQPCuceg5ykRLOYgC67G1jfx0f/NuDUYlGzgMoGkkV1aDla2lBH2fh76T9RaY
YRlAjjtA5EBanQr6noTt1nAilHGWhdnAGsA8lKpclw3WO7UzomssZeXXXMZfQaI7/+XtMxMcFagG
LCTE5OtlbJquDx1UjD1JR4Ak0638nLQxvf6J9tJ/GAotR3GpCruI1XslaMeKq1QLvHBKHHraixZ6
bTLkv6TE3CNAb60gSSekWPzrWUTx539kDjiUdjnsk8DTdUB8foE7aHOifgv+Orfzbtg5FVvDcWOC
5AOlpbJProdLtZoPNkqBp4LQfI7MMfXKjOYqMgdauLOMW/cz6G4+FUUiir7rmyZWcVjv2zjwEh1Z
mkfuw+5zYJjSJ61Sit9LkNatixCR/g7dEQvZM4pZIEUVu/LScZn+7WnMBETAcKJTTDIBGsXU0vc9
Hfaf9z/45i8lgeCUItPHX6tjA25zjrCTFscmrzClzWyMNaWg6g5Jbekfwc33ihsuUfW+quVo9mee
ewepVwY3Dtr+nRHzhI5hlxGhwUcfAJkvZwtNmj112I27W+ioCJkLpPaRUbj+fGGr4acxGzDzQ0s6
tE5qPZF7O24jj9qBQo/u82iBSFYPreFm7bgnMbJ+EnJZ8DYCtM+BZ6XWJbgwzkdHT2g2F23eH5te
Gs51y7UYTNM7PICk8/3vsjmccFs2qdUw41UIb4wZES6H0AkX6qIaWeHBPiRFarPxpExvd3gWsxMD
0YCk7Le+hPNFVttRBuKcdF18bBBDOmBgEz1A9FW9WkurAoyH0f+1DFn1JbSc4iFqB/OhGRZrp2Ii
juEqTaQkR/URrTNAYjcmGa069BS6JU8b1OUiiDWUwvR2Z3k3dhOYSeI2qTMHdW04S+4jOWGgRn4P
PvucLlH4QQLPwps3r7ycbuOx40e7c7coRxqqb0WksJl475PxiLsKvdPVZi40qbe1GQVlkM3KMafL
CHdNsd2iiXTfqA2Zh3+0x7nZCIAYcQH2E7GdgVeDdsokLNrRIamVwDog9Z/6AGGtQzDux7+NDAT0
LY8zBOc5LWvdn4Yg7nASI19ZmiX2EPI1P+v1OF0aXY4OqpNOT/oULy71ULDmY4pHTRfGe+a9GzOG
ME4zDKsTHE/Walpx69SlOpmhHy+jcupKEkpUcLIfPYnaXsQXaepq3+rCIpm6JvUiqm/X8SkGa2Yh
zxpRAsvKhwpR0L8aU+pORZxm5yFv669Z2jniYi3gQOLG+KA3FbY/mRF872v8LacO76CdB89GFIHa
KkRrxU8C0Hr9oxp4DLqWoIYrOfFvrUUqWAsj+2DmQ3IqnXbaSeW31ps6IHBkigFY/IhT98eNvtQ6
cvaVSqd5KtDxHMFcEZ9rHI0idC7/w9yoPNLjBI4OZ201GAJZLV2qnsHKVublOjlPTpbYD2WBWaLX
aN2edsrW8w2pGyibBoKFxKZVHgYgX8oN7Jn9UYuU09Bp1snCohCpi+AEmuI9hgamQC9lD1CWDLeC
UfC+bQbFb+OhviSa1h2GsAoO9ah/u39bbC087xiAZghUkpKuLvEEhsRsp1rsl3JpH5PF/NLUKnpm
fRDufGIxx/U2pzBKtgakDkWX1WsNiSh5sQyCCHIn782oy390MHgoKJTdk1Mo5othYd3qWFL24c1T
pMYktDNEqggJ4npvBZKpB0FQhL5UKPVhmhZagm2Mhao2/IdMEVkO+LIobZIvrl8SaEg7fVfVoV8O
xXIyYIE+mhEuVGlb7DnBbtx21AfRQKDnBc9rLcU2B7T9cjErO1SCZy0KteeyXKK3P41oDNC0JAgK
NvBqe4A6j7LamEO/iIcQlE3TO/UhGeG5trG8J/m2EXM4lnx+VpDi+Tr1RU9nVseYzAUZMuPJyQdu
tLmACh7XSBz4gaR3O7t/a0RyBsFEoZVMHe56a6TFlKuFRpif6zI4WdVS+yBufkemFj4iAr3n4bM1
HI8+LJLFB4OWdD1cE8rLUFtG6Ld1LfldregH4lDnRktk/5229p7EzsbhhmQBmoFaOaxAffUmW3Bm
D9pSD31zJMtNAyow5gw1FgzTf3jUUiyGXSGTCPJkX61kUQOWHnSBP6qrxY+DsvGsPDZeAi4n/83n
mT3yypkhZOHPeL2K1tLhn1Vomd9r6uKGQS+d5ZBGcwRG6O11HspLDCbgKsAVV0PVcexYxaJn/jzW
7XtNzc0LzNLxKVmkcedS2vhWsLNMHrV4u3A3raJUXqNWY0Zx6qtRhQls2kWVp9dNUbvpMEw7Syh+
9yoWC/scwcPBTIY08noJtaG3FwuVQz815PozEsX1YxvumlWL/8vNKIBKqWqjjXNjqgZOuxfKp6nf
4tZ3mhObvnxtQYJYbJC/WIS6FvoAXppO+aeosd6KxCRVRg+FG56EgmCyBoDWfM7KScbUn81oPGFB
8NIHcf5X3U/dQzklwc5eubWwpvtGVR1BAl5fNMNWF9yEsFymKXXip3lDcmF2gU5t2AxGfwqc/Lmj
nniWusI69HpcvwesV3xqIRA9hYWux16Z19p33YD2cf+0bHxqqnkAyGCqUtBb335KoTqNlpeJv8SD
jMC8hFdQlO75Em1c7qI7LqIaXMsbTZRgJonqwUbwqWcUPPBhAd+r8iiBmbOk5mkaLfPRHMlo7Mmq
9wrBG2eHOhrBgKcR1eB1aoG9z4zebZr5WTYnvwpLCp/CsTYvsV3sFNS25gn+A0wehQSoSKswp/bW
UPChkdMtGvPCuyR9IBeQD9TstcNIY/ApMLrkRBKgn+9/x427g/uXvo0A+cKFFGvwR4aMmIZcGQlz
pJEe/+4Moz2MszZAZkKa79yjILETkLamSsWZ8g4zABsu/vyPAbtoMetlxK4i7eXhiIjn4LZJjNcZ
gjfHNKntl2BYKlfVw/LlP0wVfBQNUPQGQRJdj8xjJ8ZWnUXWUTFz03Ie/27t+Z9ZnqaTXTh74LWt
3UPZAElP3ta8J9cTneGZ68mE1+tgFF+nxgg9ys1g8KJO/f32mQlaIKmGyHDs1X1SFc3sFIuc+epY
mBiGFcr3osvyD4OCHKZmZs4/98e7PfxU2SjPAACjoM8Fdr2SUJ6bdkglOB7xknpAeMp37bDoO0j7
2wW8HmWVZgCZTYsyw1q2UTPl76EoqK0pBVTdkZbB/QndngJCDOmu6JED719XIhSpmdsoW4QHQGR9
MlX5H2kpzbODBcljVgx7fOXbG4zhBLKC1xs8gnXpUB8NpU7lsPBt0ZEveaS2bqqa1Tt5WhpsvCFI
ucYo3m4TvBeuM4SFdo7h5owdagO04xE7eEVm/XEMqwBskYy7uw+/y0bGrtCrv4yp7S+B5kinDLtx
aeehtvU5hQOy6L2gr7LOUodCp89iM6JMN+2QVrFyWuzIoQGl7/nabg+FbhmRm0/6yoX6Y3KtXjXU
d+rCx0m8o89Mv+JZZQ17NwsMZ0exauswADYSjxmAezycrg8DUOTODp2x8Ecd90L6QYULvyzeSwPE
FXCd9ViggEUeR/Sibbc6DWnjyBixt4Uf161Obcoc3MwcTNrTkOoTbXKO86xmh0rt5pMdBXT7AzX4
df+Y3MZubgH6eABIKFSS/VxPVbbSyC5tNfeHcnAgPPKSKtD1fYD9mniBPs0PbPrZl+d82CnCbm1X
oQNEcsWjA7je9cgQVBcrqIgFXWrP74xk/p0Z6pCjuJWYHgiL8XB/puIuWK82prZ0nAQOCvzf9XhJ
huFEKDOebC0/R2XRe2RBx+JpijrL6wt6lH3URTuk663lFYLCr6haNNhWg5Y4TddZFxe+o9MVagPS
Kfxtcc/OjfS575X0lMZO/FmR+vDt9V8LjKsBzBwKlSjHXs+3iNG3UwOobFLVR54mFe27OQKE1M2o
wmaFUXqmmcw7z+Qb1UVHXMZ02umGsKWoh16PKhV2ZQ6OUfoUZ6cUeWgp0704M7V/CBFhdwgBkBQP
Egzhzm2sAMwS1J8GEswwaT+qdlT3lKrFNlp9duAgIDKF3STgs/UykAT2iayU/mI0ilun1nKxHRqC
8JOCnTt7c/IOvCrSeyEjsPbjMKqwNfQ2KX1Efke/SnIoTxFE5colk+VCNeLhqRyj5QvCOGRhPBiH
l9kI+1OtJ85ObL4B4vIlRG+Hmw/1GcTxVxOfET2mjJYnfm5FqRd0S/4N4Fv5blKC+GzDnCXrtvMH
Aztpv0T+6AhXZ88iaCOQihcOQsEUuUTedL0blC7QFkniN4AWGN0wG6B9teX5/sHemilALQZ6JYsA
SrsehWiZS0HKMz8k+ZOf68gYn3V7diDKNynrTJ4cla5BIto8SWYcfQ6ypBlPFbWDaOcO3kgDaDWj
NioWHmOb1aJPiTTDSAtTf1Ha6tKPqn1O4VBfihK9b0kLtEvZDciWaJgiTBhP7oSb282OzLwQXDBt
UgDKOdcrMcc6BN0B7toy5xhbgD32Jk2K3KGXGv/+qt+G01eHIDovqLnBX1yl3vhkVyh3yVz2JhpC
o6lUn4cqnREHmPIHqcuML/pkInFwf9SNb009BztjtGF4svOv1zPsykaZLJouXqF06rnFqMlPcRd9
xolr9CFxENoWU/0ERP08j3b5qExtvvMbbr4xC2uKtho3J2CQNe5SylB27jTYf7MSAytLYxT+MXct
M8yvBslyFXsxPkblHHcU6pupOFB+3dO0ull9fgNtalqXPEN40K4+9CgJjCDYHvxkjfCC3lp5svQa
UahEsl7GPnNcZ95lbdzc2K+D0pfVgcpTMlk9f1qlRfy1qhDVlsoK4+qoPwcVCuDtnH+RwmA47Xxr
MYmr0C3Gg0kAmsIBVbFO4bHbHDQTyVxPynLnc5mZ1aVxovaCqPrsa0a/nFG5HC8kDNaHpk+CFwgX
xrnvnP6pnGTtnzrsZmPn499c6KKeCLCOFr3IW9agSMJJWmpyI9iRkn0sUDGBQl90nt5kk2s4aOim
FshbdYDvcX85bs62GBkp2df6DMn6aucb0AucHoSA12VOeKibuvGRRU082Dp7GMbNSYoCLYkZuf26
gpDTIUZcKBg8y2ykdzGoABdnRuXc5Amq1I4jHRuhHSDT7d3JiTdHZkjxnifLX7uIO+ZSSE7FJG1j
QHCnmWrluQA19kNoRp5KxW5eQMs3CDfnsraT9W8tsPi2r3xsJr26RtS26hqzZGzyl6HxyljT/u0h
HluHUnfSvU7fxgkWF4RMZgYOgXLgdSDDJ3cq2glbHDuv8tMyRAAxYxg8n8axHU+lltcv1tyDxr+/
izaHJTfh5UGbnnLF9bCylGpOM6WojCKMeQq00TyrxQRrJFnig9POkSflcbOzdTe+qsr9L3rX0OuR
Hb8eFDMNSB1mN3ht2iTwupreh66K5hEeW1jEDMFPzRrDh25JhuP96W58U1UUNATihEfqOk7SIlcG
7GAGTy3k4gH71vS9rY3ZL6VS1J2tuxEdqeVyH2JFJDpE4qf88UJFUF/ryHYHjxQQKcsBER+/bar2
KYOg84wYUvP3/bltfUpY/BR+yW8FsPV6QFUNMTdv6wHYfaQfwmTOHjLNwRxZLlAlbgLd66e42KGZ
bS3oK9qBEhgRYh2Tice2gifLABIrmo7BoDaXsWrDR+w7o//w7ejEYrkE9J/mzaokJbOcJgdx8Jq6
xyU0aeRne2xyL7b74Nv9pXxdq9VVQ/GLtziVWlqla4lq9FBSru5w8KRE6d/3UpqAmuVOMTwcCtH+
izVqDcdZV3rTrSUn+OaEQ/ox051ghGud9NiJ1SlMt0CDmlwHU/ZBk1TJ8IpRjqxLl7WWg6BRoH91
SMmfkyIL/6nh8k2oJdBlcGfKwG8Gk1GPJQnlxKH8zUW1CmcIuVZyNDiE0j7Rn3qta0+tM6SwLZ32
EVj4Xtf+hmVL94v3JtUvkN2c9DXW0lTmcNFqUs4GNIXttiEk1V8UzTLDTbJgDC9LNyJWx0oKyb48
z1+Ses4QT+nUCSUlK4g/2EOAQLehFvg0U4Lt5i9TNk2YEhuYULhLvwyfskEZd7LmjZMLjkQY4nF+
icSrlaINm5lRIE0eDzYMRA0nDn82vVF37y2UIEIXY+bY2nkoiDi72nBiX1Oj561Izi5+0x/RQult
xEdbBQnHaq5eQsf50amlurOttwYRJiB8GFB31FquB8nbJVa6ViVliLLejQqkYZqqSA/3D89GHKLq
Cb7t1YPHWAPNlqqyY7mTyEWVYTnzSYcHfUEpeJTD+bzkkNnTyNmTeduIQxoNHMqBghbEc+B6aomO
wnm+kIchRlj8HuYlWo6BZGn0G3LqOW+fISA6KEDsE7LfVRVHHpZWQ1Fh9Koqzmqwe3r10imR9KXR
AGsmMqRpuwnNnebGxq1JPRlMOw1lRHrXaK+kHRGLhU7iTaXcdV5YmPFLMqv9YejHXAVLa6RPsp7G
zxkiwTvfdGt5hWQfDA3SE/qN18sLWi9WCofgIbqCh76Z5fBEz6NdhLubNO5cKlv7lA3KVPmct/SM
QnYmMEvR5FlFYX7jm6sqyk7mXsVxa1JIhcAHhC7LsVsdh8Vx6sagH+9VQznD6qrax2GqtAvOydae
yebWWGgX0ZUCo0ZPQHzcP873xO0szz0wZwQXch/uM+lOq8jNU4KY+056tTkWVWguLnId5GOuxyrg
YoNrRLiwUaT4hHA2T1M6vZdZVpKdk7DxpXiOEbTp3grs5erY9eMywrzlJGjy4pzaSg8e06KpdvbD
RkCmgAg7FlalgN2JX/HH4ml60aG/PbL76ohOxlgpFt1Do8sRX4jK+jLj7bKT/N/W7pBGAg9MhopG
JrXw1SJSOqm5khBjl+cqRvgukuRfUKb053gM599dEoCvUJK2AmXhoITup3GYn+RaalXYcGW3p9W0
8U3F6xeiiYisJJbXSxDlIUCrIiF0U0Zxk2lGfx3919OIENHO1DeGEpRuJo5mJoXC1TdNxklNqHMM
XqGW5sloO/PvHv06qHJptjPURkgzhOI4nU0OO5CL61mZlN36BncsDwi/fnT6/GenGOM7yVKn98aS
yme7zkovRj7ow/0IvjVH7luQ2IivCLOR64HjjmUMNOZoGHP0DiMiVD2XeKwy5Gy1+a1dTsFTZx1F
nYTz/0qH+GP79hYek/2M7F1htenfaZIgVYjd1xMw3eTh/rw2TgrHkQkJ72Dwaas4rdeIH8qDiqxe
Ko3v5lZRj6/o0ZYd7mvNuIdL27jrGQ+lCQIbEXTtA5o6autUitFzL+ASEVIhc6Wh/ttUIu1sZc70
UKB3frw/R3HyVqkSYY1vJ0QAsOla3b6mhOYP2ui9Nxt6mrshPcLW1TEsehdi0IzknTbkXzL+W9MN
q7r8S7XTsjrc/w0b+4dqG9ARTgqkzrWIVu8ECtQ91jk00vzfSJfSj7PszM+m3cV7ifvWGgswHpRB
QWZdPyTNBtXjUI9419mz+tBrk3GAIoU1lIWKFmQn3iSgV3YC+9Yi/znoaiN1SqIsockDqDKLwUsX
a37IlhCWcZRabuAk8SM+kj9zHr9eAVTg7TcYjVD6rXSu8eu6ecqmaA9FYnSc2nW/HJFNwTtVcjF2
bHd209aXhPVBV4JXM1fL6mJGTl74j7C6UzTMZ6Xg3ZXBQvG7xFR2hrrxg+FFBFKax5cA4tD/WEWd
Ug2LppvwUsPnpz0sTZU8LpKaPDZYH/xTWhjRuk5S1x/rXvWMpD/3VW7Wbq43MRyGzDiJ5J0MejF/
tijgJ7y5e+M74gl7FW3xcdcnDCqeYBwJPudaGsKeFtUExj0gP19IP60pgmBfpHL9sa2gf2MkrXx6
83GCLUHI4kOwNOs0Asx40aVI13ow02L0lrP2OaemfLSacPnyH4aC2ySgSbRknNXG1kbqfc0g916a
NNJHrUjBQaVzTtyqB23nIblxvXG5gNxnFYXA1yqHoF1Q54Ux915tF4JwR8Ox5Zz/1ReJdERVtDpX
gCndZurinfi0kZcxMlkZL0rgk2v4jjq3FLwN5FUzzZTOQVqYiFdFyk6QuO2+AIqgpiDgHrQXyTWv
r1GsCUdp0dnQUq7mF7NJP1gWHmyjHUoHPZSCjyNCfO4kw3cKK71wJatwdm68jfNLXwuXKYeVFhXU
65/gzJreshDcBjKnVg9tHfcMnrjgBt8qCsfxpWhI6QSPGAjcayeENpShSSU2u9SZ7XPUZqmvwTY+
ElXeDE4QQ9Gmh0VE+gkD8XpWthxm0UJT0HMqKzjEA+WiLlLDUxh1vdfxfnazsNyj0tzyMl9HBRgt
I+PBA3OV+S2RKedRofXe0Ifqccmt9BDG2vLOLhX1TPPYmo9YxNTH1E601DXLrASMGwxPAQZBR01N
xtMgjUPhWyiWHzJwHH4BuiDY2XVi7qvoJBJz0XHiHxys67WpGztMwkzhVLXh8L6PEczu09K5wAtM
PlWZ7aBLbMrn+2Fj4z4UgoDc6RZfA0TA9aA6OglAqdhmTT8ND/BNmm9psszP8rIkp6HPU8NVgz54
ShpkBKSoxzL1/g/YmjWnTKDWUfO6wRpOCaJvdkTWo0mTfcpae3rEpQhxej3u/VqKNG9RpT0pqa0w
IvYBSgXUpNiL17OOO7VVS8rz+P6U9jOS52jf44N3uj+1rSNMz50ysogk1CevR5l0tRqDgGCl13V7
UKqi+LfO219BUnc7D8kbDRdxhIW9Ah2P139dvSR7pOpROht7r2oDdEm1UXpfFd1X0+yKd6qE7G47
66qPRufsBQAtL4Nctr7U1DoqM3n07T/MW2AERaGM/ssq9SiHMRpSVVwPRtAdtU76MWT68BcNkHKn
F7GxebiCkFsCgUAbbW3OXLSpSm4edF7qlIj5tkUvCf+CVnfj1FneC0/Dly4o98BkGx9WoOipNWvU
cRj5+sMuidMP5VL33kR57h8lqG13Mjrz/ZRPu+z3rSniqwJilXqz0Oy8HguZLLi1Ol926WX9WFXR
9DdiJhQm1NHsBcnV8q26aAN37NquwA8hsI9pbOEHOTnFydHLGd3qIklwANN758GJ6UD5oYQc3WjU
03/Y8sDrSAYFtp6Xu5jNH0/CKlOaKh6dzosjirCZE8V+lgTJkzk0e9yorY+AtLOocr026VdneJLm
spfqioWpIc3FUxX8QGY0fjSt0trZZhvhQrxxRUbApkao+3pWTRxLechwdE1YMQdt6IMSdOpf94/N
TVYF2RAWIMvG64Dm4epLxzL6OYiX9h6sgOglrsbpADMG/43aWly4vwNiV1zNbTnv1X1viRoMDeYU
WRFQ2Eg5rm4Bkb6XpcQ5mhtb+d6rZfQrCEZz5vnZ6se6AxwCzUeLf0KYWj6z00LHDafKQZsVdv0B
WxDkW9mEzcf7S3Kz+cXvopSpCRNFKPWrhbfsXJmkjkiC1IuDgnEVKEdrHGI/xAvJbdpK6Ggq9Kbu
D3vzvYG9iNc/Ium8aLiVrr83mnEdRlgsh5kH6ZeisCPFHSW9evPdJ8YBQ035lM4fkjbX48g4YqFe
bzLOJCenTMeqGVTNFGveWAvhzrksI1eS+uHH/flt7DT2M+AiETWpqKwuppQ0Lx86xl3CCEfctkFx
MC51t4yU5eAsigPCCKfYtMmzz/dHvl1ZSiUazXGiGdAtdRUf6kk29NiKqC8kVv+M68D8CcXtdieT
unnnQUUhxwQRT3wQpbDrde0jSLzcly1yK6HjJe2gn8Ekfl+WbjhHU7f3rLzdpYKYwf2OhjN4qfWk
wGU7tL6Dlo5tXmQecIb2mGIgfU40I/iIRa96aaRdn6Ob+Mck4dCIK59bAQm360nm1TCZrSG13sIt
eAxLlDdxt4m9OJ32ND83hyIikZwCs7x5IHT6YCSxnXReT3H1R1ROwc8pyZT3CTXBL/c3yOZa8rjj
2FNPIHu6npWkRCNLXXb0CzXZ+jtXQ0QwzTB2CmS+09GibJ3FJ1AQ+AnfH3lzkrxL+Iyi5r+uRM8S
SpU6gkOeKdfBqTL19NHOc+ukVdYeuu/2/EEMA6TLmWeOSIRdT5K7ypAktWzJxQL7VOlDGp+cZhlO
mlbbv6wQ4rk7z4b1rBeR+c/9ad6+bdk3eM2JjUp5k/C2GrxMYBZKnLmwaTADzW0Zkrlu9jV9lbBa
vsS6OebHcBmavwy7WH4jXD1Ttskgs326/1M2goHoG5F+O+I1f/OtsUgahXmdh4tJDhhhDgJPyQpb
2/myW+MIvCiJouCir9GiIX5YVg9IDsRK3jyGqlQfZxUF2/uz2Qo6f44ifsUfqY+VmclQxYxiTX3q
KQq8ArsN6tAtu6o7Ulkdft0f8Dbp50vSyCDLEtwpyFrXI5ZWaksFTxn0jnP1L5DHOtZAODi8Kzp7
+TYQgy/43isUKuxRe1DNuXvKHC3+CEk+v1iR1u41czaXgI4A/TJLoKBWW6ucJDtOtbzz8PRqP5tS
mV3m1FK+weS1fBuiTrfzZbfOLDkQjx9B3gXTcr0CRt/lTbfEnRekUnweg9Txg2pODx0WGQ/3V3tz
KJH9QWAhOq1pBktnLaNpzy1JiNQdF6vIHqJZRg9SGY3z/aG2woMwkQfPRYAg87melZlLfdKFduv1
spVZvoE6/q8OAU5U42tdPNLhqMhNLB/lRUtO98femCZJLh0PuNAku2sRhSWZZw3Vss7De6h87uda
fglHK3Oxv9kzVKeisXEyESknFSD5FE7iq7xTb+lE1k0sCscFR1OaUht6Sm0KulOqlR+bCOunI/by
6nJqlB7NJDA0jt/YjdS5emSl8VEpu+6TlJrSd/wqgk9lEwSmi1hurvizHNSjjwWa4rhgmOf5NCsG
5nBxZsXyqeqN6mfdaHp1bJq++9csCqEQtsA5d9shbl9mmX6sF5uV/tOup/Sn0k1JeQaBoWe0Qqvp
A838vnTLVBdJeqJl/wo69OfCbhrTN7PK/jq21tCe5qVMvgr2QulZOLGZruME6ccYf5rRbfBG/AC5
r40S1+p0+RmBOKc6oxE2mCLlHBs3kZfm5zA0ZvYuMy3pOJtBVh7JWsFTgbJChHbK4gYvqz7D7EqD
H3CMnMWOz2gS4k6X2NjDIaQzF5E3l3ObHUYZUxBfKpV4OlIGybBZyMYOWptkazjNzHX40gx4wy21
Fn4vmqL/CgLaKA8qmmQYAiQ49vn6sBjPEAAALVujObxbsk6RfAnRQATPHHVSHoMkr3SXIJH8Wxhd
JD3bVqR8bEBOAXmKreATL0USzT6pAnRLo0yK3VbGV/TjQOs9OdhD2VEMxFDly2xZUeyqaofHfCvX
yedlWiBYKAvvYWMpjdDVhqh9LhZ0A8HmFPym3lCCyXOsJf4FETIEsKakSujpUzq176tuGS0k8sKi
OoZj5TQewUN9J9Fxjy/tYmC/ZVkBM42c9BJiJWag2M/297ig9K/lkETfx1LWvyaU5OCO0U+RPWNI
5lPOhaodYsWoi3M2JTB1Az00HC8rkpI0GxDoM1WweTyEpVVr+O8qEyaIEfTaS1T3c37qKg2MVBEG
X4Z8UQx/tNto8ptRSfSj1ZdO5sUxbrTPdp4qMExyVDxrnJVQQQarcAw7I9IvEn30xrPDTk/dVsuj
yrUHqy/OxmDJKGz0rQqa3W7nixQF9q84XsAWVdHCR1CWzhkfsrRPgCKEsvVdH53aOJoIGWKTAFbF
dlWFguTHfirS+RQ72WQ/ICMHxx1cT2mctP9xdGbNcSpLEP5FRLAvrzDMIo0ka7f8Qlg+Njt000BD
//r7zX07EcchjZimuiozK7Mo+GGWRcSZ9uvAOrtFMz7Hrhyf2EQRc3pLNbmStui9aF3boNosaf8K
wzoIMxc32eiEBqojmpHZJLhz4oKsalRxDSpPsLrlaFRsHKQRgQp+kB/Mn9lF69Zd7HD05nt6bXJs
Injbl8Aq0SQCNs8kqeyTJPFskcWfJYz29uzLYv4zFu7wuQUQZAdtaX9PZ7Y8xuNe7s6/CnvGK6vV
NaUorOSa+ls0kU4SlX6UDnJKXlVpcVzHXbbq9ozb88ZZJI03XLrnohQAiRsjwd0GThOd2NNgkhyI
Svqnmlva2x5i65L1yPzb1FqkukRR5wUsCIf2cOysQhs29Lp+OesuKg6Jsw8+sZRx4V7aXY3t7aVY
/4R74C1Iz5L2JYHQjA/r1OsLnLF+n1ZrtNMdy9mvcOOoHAb089NlJTnwL+P2/hX4MpQH0nQ0N+Ue
bBApfNP2QcSJ1WddvCQvc7jqIceAvi0vVmX0ls295RC6MuDlk3sx4XUHNhNITFKT9u1z66l4yuep
LSTZ7qzsZ3oH8MT+d7DQPxubWKiqEGV8wESfZM5pqBp5BIVcmseqWkDYVb3s62Fvh34910WzFffJ
MOrprsZRVaVVhBo1K4l0WC/kAXZocmbVqmzfSjgYa9/Qq0QVUSskh5Zb98aE6//nxLqC2hXVND44
Mna7iliZcTLPio+jc1zjJv8E2r/1V0d60XZid6yM73n40ALhLh2c81hrbOanPd68+r4wFl7BMo6a
8b/QW8P+Z1l1AzVx36VVsn0Uxm00n8JgSqLvsC5V/F06++zWuEmvWEznRQkK/+m2wUTmmSa2wXqV
ftAkf3faRcFK9T5M1smuis0hPhNDIy9JN8dlW/CI73gr9nQoJ73b2Wi3xLRBXKjqN8CUjV+1Z2Lz
n+Wsqwygk0Mhz0UZgI7eF3FCzcqcOpntt3lbnO3Dgd2AOHNGRz8iAqjn/9rFrdxPy29Ud29xq3iZ
EmFZ/Js89viWo4gLIsBOzEd78xxurasftq3ayRQLumSOrVT1joWjxlRM1vi3JuIcL9DEm8flFXy5
Hu9bwkgijBNiw9bURPToz3EwgS04PvZSPjaorXwkleU2XkvkZmGQLn2gvLfYtVgNiIAu1yIdtCea
F6sLVVvmo9t6DfeVnIsYq0zfraxXnpvtHTBGdtVTbPgtVmpUr3huhfFLf8dGqQrG9bPz/M7NG3uI
d5Ftiom5JrIt1sUZI7+5epz7ZBV/+9rgaZFqj6P/iLHFHhwd3g1bpnYwt5af2yA2zd9bJmo5HVaP
RahLxQRNxnwR9o+ru83zeULUiKtLi4DjPh6tm81Q0if48mQhqbzF0+6ORK9lWLDvRFsOQiduyoTm
L3UqMLSfMfXfRfJQdVFUEv22qCJJQ29PiH9FI56Eb72q+VKysrN026YzpiPitLVJs53bfvHdM+Fm
yr+0JIvuV5LLyA8TocOb4He3Zna0POwwTb8sNm5gVVJW/8WRWctHgXmnS3Bb368ZPqD7LXEc7+hU
WZXyMpdwsCfFi9kd8HihMRWdNyLJcbWAOxwjuz8u2+j5mSRhE1/0hpjL5ICIs+9TAlgdO129AVZ1
QE9zuyVNUR0QfAHhB87SPRV6ajZk0E7zUc0TtrnjOgfWyZP+/pQMYeml7mgly2Fd3fnTNs7MQnlN
GT9YdqkvhesuNsh4tGHpXsP3H+o29J72blM/vS3UhOr6ljOlzELFdjeIBMPEhQy9hBU3vN9x9GMJ
PQsjotIIwXP597buym/s6ho7E8SfDec9MN0VgTcbn94mxvvZcuzqoXDiYc/NWlRPK3WPB6dk9B64
TUxLadw2jLmwEKNm8yA7laHi3TDIbBaag4jUVlKiKjDVrJnYeM1ECfmXDrZS9i9B6qpOqzmZREqr
GEuCAyPhkYcar8kpxl4zSLUaRHyI5pHKPAlZ9Zl0FgXdYy/7/Cb6WctTXfdGf9M6un7qlX7X/K0s
3QiUGFLqU6GsddkeS03K59GURhsr1bisy5/x0M12RIjRcPMTxohgyqUKdZdLp0ysb2ed7C8xEQjr
QjXI/WLr6RYiXJEVm+51U0e5zX6gle5VIHuiYWJ3vh9U0JztIqiHuxW1XJw6mLctz46tbZv+G/+a
Q0nenMlDJrrpfp+3fTttm3RnGtto6TnqDQGnqBNZW3D6BHA27Dczp6GzasQlQYzZ+aAqc0huLob5
Wk/0ZUTioL14pBg77SMMStU+1/PgDE873v5R3njjNGYzoUavfSWL7owaM7rU+JqLTBS1MCf/FiGN
OWIUnPyO1f7MZuF9yaeW2eV5DHfPyyshYwKtLfM3Eq71vMlbXzp09fDYBv302aGlUWkkbVoUuSE/
y6Sve+JJvNqQsWC87pu3Zv4OHM174kojwqsws1jy0e7Df2G8lCr3Qi17Er3G6N+6+niDlhTP6zhF
Af8ZtrccLRrcPnOCscPVUSb9q6ZMvPhKzngohhNnaOzroXiEJfKmVC1tz+mRKzauQ5e4L5uomzGl
PR5/mJ7b7aIql5tWDI0p7riHJ51CqdPFzqSXUrIiXEgOGK3K7SFB1vWAyy3hMuRor21KSZVjVlm4
WlhT3atfsejbZ2p5bFJvHvqPrW0B9XgTqtdCBPzQJWyWmWTrvqYzWy1MN3RTk4q8log783De+fUq
Sdqz5To6SvEPI+uqbZNhOEzKYhxj5TvJlAw6J6u2wn6u6oaMx6VyUArOsRrvyay0+0/gOfW7KOTo
ZevqiOmOdzI64cgceF9hRSbrufX7pklhbIuPdW1WmcZbYNSBiMvJTmnw6l9zKOejJZMB558VM9w3
E8a9ueLkYdUZKPA833XbIr5XLzF8YASLUVp6eKadZ58q0DdjshxlNK3dHTF05tJOfFsvYxFXV2el
MubEABLczqtZDBfQjrFPfQmTe9WLkQqzTigEgmMHCDacSdFVBfu8evkcsV/4k6WIdvjpaJu0zqGS
Q/OheytMMjxifIyEmkH2B5QReKkKKeffpdXZg2bywdaIYIdFRNmW0N+BX7s0uORXuYaUwk7Hd9Xk
tW3Wi8qefjYErsZpGdXFT5faGqVhV67vfjNXX3Zr9GdsfPkh92h43HthfkNvNd0F5xFrS+uVk3xw
e5whT8VYDe8EvhVAoDUPb3Diav5tLZGnU28KizcdyvhDVmGynstZJd8x2/7qFLCS678kmLEEudxd
/09hkX15SJohiC+UcUoqWd6G0b7tnGsQjeO1CmmqUi6KWHJKhP2y9gzsZ+LzHO+x0tOszpqlM4pM
VIzklSqztGfti8Z5780iph+tQ797FWu9nZp+awR2Qqt1xze5/fENRggnVof18KOnMfWu/uIv/6q+
88kdIsE1Sf14jmqaIVKmsmVsUB7OAXlTD1XdTVHujKNyngo3ttoL+yjxf7a9JW8dar75AphRu6lu
usF+WJDrXHTd4m4eWH68nlblFbRic9CdCLfV5bke7fqHtfZ6uw8Jw9ZnFTvFsQKSma/EowaXcHVY
4i21a+z7nqfDklcUWMOJTcnhgmYzbC7l4HlvXik7mgtvbmsWUWLv07HNLYFtBLhNrRkkMZv8oAMj
UJ7b8tuDvktjl3N6GJGR/1x0QQ69xJni1Ai7cHPpOuLF1dIbMu5M6/625tscdORNHqebX5xKLae/
N8MDurZixqE/qbp6obWd/a9g29r+4k5iAvkLJ0JOqrmJspXZ1/uBE1DM3i6m7+Rb9m6XThOGQfmK
tJUMg57DdKCCUtzo/7Y/jl/hWjLK1cInuozrv2Mz7WW+hEQb1TomeT3tnNIDO0Yov107ssen1F9m
oCKvrjEyJRphGI/2jsLvxJA3E/YWW6bSY+oM6DwQPcTjoxtY7XaGrQZJs338QD6YHpLpttHS3bum
Ce73po8IbAOrdp4bth3NEdDLDY5rOE2fWOS4eyabijBNG6SgJNVlmM0hDstu5BjXWLxhEz+msxwt
58Rr7eKpS4/Snzd/k8HFL81e3zf7dtMJxE3hp908GosZ0KriLOY7kmfpVdFp2UmXOFB1HJVaybYG
R9wkK5nFXBvmYSr3dc6HZHSXj9miT8wNHyenZ/UKgIwChGsVXouF7W3LiHc0ISHIkTbYieJXy7S2
ougVd9YhIk2n7Ku0HBeQlrgq5ZRa7VAQ+tP28onI5K5MWyQm05Nf7dG5tbGyOIBbOT8o4t1PTDsr
P3U3f/iuLL+/ixdXlSkrvXZ7EZo+MXXaQIeHpjX+SzPP7S8+bWOnRctW4KkBo/iatPDesAFs11Pn
Stnl/uwHn0Oy12Tfenp6mH0up396tv130fFA8l4yrS7lGhsmkhDsBwht/0VUh49Oe93cKtONa9dX
a+JhpdU66osYPTXmReU6zwvr5da5mhC+XQPYAMLf+zG8Hwj2bQ/jUCfimMSF9xL31oTtQ+02UxqG
VjEx9P3/uzU6sf4DpSPEGbtIoZ4iHz1xLhcfH1oW2fE3WSZHvQYUib9mpVPN8D/rg4vXqfXdntx6
y0VbmiTHcxLJZtvE63UTaubk856c2i3prPdxaJdv40Z6PMxd5cmj4+uOEPjON0+zFKq7rGjJ5pT7
0/vonYBo1rhfquLs7X7xbNxx43WyLXpkTYw1tr8VniSYFrAXVKkqkZk34zFFGsYsPb7Wkq9tKUz0
JKIZ7JDjM7tpJ1vcbXfWts56RUaYusIDodwG254OfiupWaJYBi8jrXT/vVoBcdxN0ek2raOxBjbs
5+pl17fMHZK9lX3WDa1N2gaqfZ7F6vlH0NrpbQqIk+V99OYpqyoLfrOupvi/W/DxJbKYH1OwBHHq
axfsIZm7cfmeE1eqIybZHoG2QTlZvw1KzX/JVBMporrKvxZTJ/6LAYbbvNm1/75gsXkxblF2OS0D
eVGBxmwyjYEQ/3kt4FleLdN4W/5VWmZ0ZLDxKd9+u7xMGK6b43zLRziwU9pdfJrpLjeUwLekGDcI
u8pSH6S3bi9byNXT7eBEJAxNztu4V6t/12+ie952XdgvIU3BQhqthtwkuzomHsTy1FPncm6IEK+H
J8swPOY+DquXGBLQzfCFTsqHYGOBXnsJkeCAkl2fu1Uzf7qDHNWl0133KDpVEPlTBvN6cizVneNt
dOu7/iYgYcgJ+hGwqxtpnbgjpnQrdP8fG+rbDuQ8sQC7zh7tvC70VqV9aOaCXIx4+4yRyHdpy67i
j5uZDfPgFmN6g/h3ziNMl37Tm3ZNZs+MboeIHh+7GSfafoqkCH5Yo2z6U9lG/vsU+4B1KyZQhg3y
PQEGHuPm97LWt6/aNUEe4n3+daM9qkyYofGzyVrM8+D3jHD4Xi7mYOyiwuzRlPKHY1VoxXsdLbwI
oo+OsfYL/biGMimRUpg5N4QZq8cltuiYyli2D7Q1e409dO2uhy0KtZMmQOdvY4mE7KOVbc9jMp2t
Xm0GsK9yZ3TJhMfOy6PY6+XqjxZRwXss+WyUPOF7aVtN5l83QrOd9n0Sj2tchAY2wI3rJ68OOXCA
zSJt3ObWTJdajqdyUPhj+nbr567Xs27gNq3zOuOPOtwHZV2cFTfK62gG94oPLaIxN15GPF36pDDP
VlKR7EW6u0tEvEEt6tiWcB/KxQq+AQcDcWGODx6MHMPyrI20cajutfcrWGX7XVCxQLGlaK/EctVj
SsOlPjqv7iw4HEs/hHpkKXnFYm/NZoJcPGzDYrLn46K0m9TWPe8nr2qic3xMme34dNF1j8vIzx21
yadmYFvlieV68Ik9Wdhc5QuI7RTEybdSt4rNm5gCOguJJdiQF5YHH6Ms8oYW4xsnKx0hyhTUg5eH
SQsMlJ5zx8zKG01M+wCRccG3TdhgqMZtzoDU6yt3tOUc2j0a9zyszFpfQ0dx72z0bfIRhHJvruvI
InrKOporLr1TVt4haNz9qWhM/6uR0XxEWIF43YsRoD5iqMVjG1y3trJWzJ15IKmy/1wDOrAPUgDn
391aB8FL53kKKeccLM41Rod/t29+veaaGATeqMKrfbDUIfyva8kbSyHNxuqhErZ+mJWCR1HE1/1k
jzIiUwCE7ZndOxOlJGPKexEC1x76viKFpWjW5XVa5zrOg72bhtT3SgFzU5TNXbnh/fie7Im73L7W
sDmsWo9fXiT76oK55mbl3hq0b3LbVk5sjenwtzcBxpUbAM2H1l38ue23D133JdtMSUgyyWEZt2VE
4uwV4izJlN/uu7gdnncO6H7nCVG8x6gL/bdh7COZVVDQ21comumOFRIEMMb2iFzpJ5eMKpzWEhS9
1PyZfok/hYrSiTUbZWgl5wKY2DoPyvKsh65Gg4DBotf8DhuP4MNyCmlLVqFcc9gHDHAOeg3WPbes
xvvlLbOyUsdKBpUW2yrro9SwaQfje9MHkE5ined2n75ZJtb+o/D66b9wtpunGUOwNuNyp6jO7m63
x9bZtMhYu8f9hFcH0VBZJZe9NrX71gY1ZBJ2EftyQCEfJZ8bLFp7BlHe1mtch+qVeKFi+1b+sjSZ
cOaRQh/2+6FjCtiZ/xjA09VsYXDvJrxP53Jl0epaGxEIYEdEmRfciffuTVXVVKc0MbKC4DHAqYoB
77bHvno1TzHaAbPD9lEH2h+eEz2P/9jZ8gWroTY21UVfWtN5hicUZzTi/EHc+4pHg4wsOCM/ifZs
nIL6TKSRPx6IGQLmcZ2iuIfyCZgH6iF5IHCEFIi+ThpWUhMp/7EV6wHiDgqtfWiW0GResozPhbdt
T7Lppi0TrHIX3KAiwVMaigr0m6K6HEoctM835RfrISJa6h9Qri2iTekXf2wmdpU5fYRLGJufk8ni
0JkeawTSU1o5tfkN/QtFiFw7KFLSf+lUyHOiZ+2DYLsfw3X0zkq0zScGMFSOvjHlH9WPRZ8zc/OP
tR+ivEakjQO7WEDPj00fF/+ZsJ/+4m5Ns61bp6ZPH4Jn7MVb+SjrAmhdCc/KaSet6ihrOczPwarF
2aG/M6CPXTBiL8zEdAR7DwTBgehUgb76/dXDNMp5kczf8rRu2vpIunl30n2ViXOqXXq1S2vNtKat
XW0/YliXJp9xF2qPzOm7zqQxjCygSbOde8ahDhqlnP2nt28SMjEZNobTuBtUtrHQtWFVudkvS7VF
RKxULFyb/5+PAfF8d9jseYADN9ppDyvSvJ/2ZCoHJkN1fwanCHU+WuPsZVVvh6c1xjUZ18CteS2l
JZ3XZFiHNdWu6tQxmaSnTu4c7SA8i3eLFBu2IDxCl/kNML/NXpNGpmXSYCzEcAf91Iu0mIINbwJR
+ywslyN+cwXJU0+GXCBaQN7Rf4OKumsnwepOnd0sh6JlmSJvKCk3KLKXHZoVXvMqEbcuYNJuw/ah
B4Qlljm+tkEsrIsnnLHJBYiAeGD0LJeUeZ9B3uuJ/4HN28Rd0sbQzy6jKVx17K5jvnIJACCXFsDc
2s+/J89rYX3jYRZ5NbiSSWVxRZ8Oq9i+Vj0p7r3N607IPktDee39+oxRR6PufPhNnoNzO7Cd2Mgw
KGm9MDbs7DrDWAh8TI2FKg/gKCX7FF4x+GkzuuF4LKoqwcFtrBL3jo1BxBOWZ3jprUF3dt7JRTzK
toaPRFtSxSmDifiif272lEG9C1MnoiXDMHUcX4aaDYP7RkdMQZYKNtKwa+MdBeHK08EMkW6uQSBF
n5MJFQOgBFt5j5NWu1+ttayvo9IG5e7sQuH5W4V7sCrlMp65puz30e3tv4G7sw1S3RSqIDljz/5V
57ScN6vAaDNioBE51vwEkK/tMHxtQ0cTv2Lb/4ht2y3PYRsmlfku7iyZtHY1pfFY8XXgG2dd6sXA
LOBi3Pkpms3qtSVv2znOSwGXRXuz3ENl6+qkHB/azjgl/7pU6HAuGyJeAtN2fxapmYZuguHc15cS
Mkpl5NSSKqqLFS7eM/tyt/dRUx/pmUmAxZGJIY45S1+SvSWxEpqN1Gv2Hc3L2oaRfyiJHYrPXdXX
zqXeyuBDwk/eaUOiUzbC1Ze0TIvujrsYLCvtGCZCxmpHvPfgKh+D2U2QWfomUVjjsJsPRa0i5ml4
e3lnQVC/Stom/51pUIkfvrfJ6C+4e4VMIKohb3oAoe3Q6coB40GLSNdb6vGboFQlTmWiXFp3zy4u
Rd+UUar21q8vHoaDRJgiSvMOsObF/i+0DP9wZQh6RamBS5zxlPFSxD+4kCqZJMc6roKIetrvRJqT
af7alLL+VS7wyFmlcJPEOSJZDXvxQ/MXTsOBYDBwcTXlfIvVcTdidg9gBQgh6MeRLcJVhVtaJXNy
P+zTBqxeyR2FVB+gKVpHIb6ZFGgFTBx1f0Z4szXdalCo3OnxcLnf29bLd7bq1qOpXHkIEL2LC7PG
ovKuXBbrUABF3bn+TX2Ac1nYZ8gvdm44jC5gykUw2Bjk+WZ6GvdODmBjnYMbp6C0yQ7NwXldRup1
PIXDD9Q80n+2Xb6nX6EwnTkv1HL8g+y1Cl+bWLhRbpVY+/3aOobmR3gPah3MMiCcqwhRSUVbdFNa
AnPxtobdAMzSY1FB/+N9wBxx9fdzU04foabsf3Z+3TGC3u587ndvz5ZkVm9I/Ys2x+yJpUIes/iU
eomWh3ogc/kCygLr3///TzF23Pl8wfQ6zyzLITbYhGk+d7FXWEP020TKoSgbeW3qGhOFYTHishGi
Od2k1lhEubJwuGonK/rpA2VwshCH9NnW0kocnd7nqor4n7+lDgINqh7bb+G41f/Ze0W+KKIT+5sY
0rC6LyYZ9QfIu3A+OrsQb3ra+7+x6CaTs/DX6KtY+iXJai+WMidOal/ZldG1d+c4qvzXWyqucAet
xjlt4t5+YQZCfz6Dd7MwZDNkrW6MEqsJnJn7W1HSs6EohM47PZV/FqRRbzNKes0f0DjhIfYJ8Ugn
37fcw5QMpf4lIjW+siCYIFIyquyObAW56AqqOjz0o5rR8IMv7fbBdib0A0Ymc31gh6eqr6rDESJt
2niGNi0V4L0EmrwahAAoi/Yt+CejVbfHuRbyffamKUqbKd5f+1A4Tsrd48Fct3HpXo2gJB5uSTDm
bgYeLh7kpID4ldysKBfk0OhfyzrYfrY202I/QL8T/eQPAjs81yq6p1gN7gZS1XGLEUZp1udQW2F4
mCaSXu4a1m04ae3kP4QFpg85Xj7YgRqSTe2c8ibstIpZgTpI6Jp8jMVkWOxE4nbDZ/frECsnPK77
6mCSPEqx5wMhqCE83959WCvyQCCChWfeahSAz0UdJRTsRYT3BX3Ca+H5CL68BNnqCk7DwkkhQ31M
kil6og0ZvyC8vOkxVm1znm130+dR8qPzve3aR8cneiovpRBP1tBG/0LT0SVAuMbDER7ef5pofb8g
C0ZWHRn5GNg615WZFFsUp0GFAOJS+CBMVunG+m/rVWZPG9QhsKOa7PADXSbSF2WgQESv/DqXciBY
pAqW+ldgl00M4WEzMqXobuhBbYH0O18gAeu0KEhFzOIOsiYfgr5EAQad/yLdEYhr1p76r9gpY/fN
jDzjUDidsx7EbZJklG0WGuuirJ8WtfXTW92i97tanrDfbqJSk8b+bs4hqLL6YpxV31C1vfc4dwU+
PahmiiC36FyvhuCXOXPYd77Watv8FD0EjsIV+P5y3bZteq2CgARzTjIlaJ8Dyl+8BuJxNOGOq7Wc
9y5d9d7/CvslaO+4z4JvXSz14x4G21uiZNhyVQao3ZFLtO9VVazE1NogriiZ7PgHGL8/kyHLxZOK
qUrCdFnC9T9T+0Dy2vLIQO3cqn0gbblGJQWXD7AxKeQQmKjEdzTpXnWoHBiQwx6W/Ztecds5ooie
7KemWqk8zJLTf8O+NaTKFdiTwypXDGJF1x6dWTQNBCJI7Oc+9LNKVwtTCPTwxf444gI0/QlGsz2x
97rGJ5r7wsnnYl4TNIxW8suINmAg7OwYVAlVkfMn8tAK5u3qjSfbn1nbW3qvovXDTRTLSRVrdd94
5TbDHmio5jWsvSdhBctvrl29Y6pK8mruzs74WTZ4nWSJSoBUhsTeyjvRLgrGU/bJoyOW0M/2IoZa
Xsmgds9lMg/vzN49lPRWl08UARkdKjS+32KPmi+CUQDjb+DYp9/L6q0pRi/KSjAj/mbWzzmMbRsf
C3Id6jwydvne2dXonMMZyRHqoa4oEcmNFNRyU/IF6iNJCz2OcLqj8gCfFKpW2oe4+tktdafyNk7E
W1EXFAUUA8EPxLEIuRz+vudeBUlAqSibPl0m6auHpbfKLwDWukrtuh6LlIhtymxYturO8822Yw5W
6+Wo1br9BdVraSnmxXTZ0kBw520Pl587Mkym2ywS2S/t0o0ucrWNyHUWiPtHk7Tez4X9CvdujR19
x9Dmcqdxq6wn1zeeeW4Bv3438b6R2b5ETBWMmWV4rJc1+jD4ATaPpGy6JRNsN3yRKRst+RbySKix
tWEqqdVo59EezQA/VYfNRbMkY4WSwisvYNHNcCTTr7kPPZTHcOIdV2q376D8xnTub2vzSa8ou45I
YOgY96EBZLY4pXoSB9LQPH7P7ro/d+V14Qldvz67DAG3cX+SP2JtuVWugoCTGSPC+prbHlhUl96A
dLyrXuopKstMLkvwp79tSGb9MgTvTj84r3VrrRYqubBFlJasbLvIiNbjaPVz8BWtc/enrp31A3vR
MMxCPNroAR3LgGA1yZouQWT+rUhNlpMbSkLAWML1rmz56581Kj551NA4mEU7N9oZUm5hl1GyS4fA
m66tJrxjzxBnlbTFg+ju5yLSQzYpt3n3C8/ZMz1Hm3Uy/Y3yT2C2n3u0UXAnRdR9oODxR9QIDg/K
rcMAypg54kcdzKVORZ3o36vdUG0s5AAs86OwPOpdxzoFqy2/inaxUdFagdPje9n1e2o1MO80jwlq
j7IWTQ5G2v/sETIizZqdbj9s/iiQlCsTzWcAUkWVd5QLatiUzwXHGnF5bQFUqGmIkbT44WCybfHc
c7U49nCWTrA9hVAaTTYj9olSifqwSS1HTdN5G7jssf3ZIV1sH+D1R9QW1gtyKUQZpZqb93WFoxvS
lan1rhjhy9BX6RrR82zT71a0ihBHlvBPZpp9UmCnKJH8wBI5HfqH0aQjImLC9aZC4NqhJgjDZK98
Zom1XH/hDin/NH4R/UUPFN17UwCQ7Gj6enQ6+K4d4oTkiLz0NtclrFOZtyipXT9HBLdcFht56OPN
ePOPllZlPyLGCNY7NW7d8lQ5Iv4fR+e1HamOheEnYi0y4hYql7PbdrtvWO3jNiCCQCDS089Xczuh
bVeBtPcfn+E7VUsknXafJCGi3WVSTvOnRfSN5Mq3xyVprNk8uNgk56QyXnmHyGTsE7ZI6x2GsEB3
jFA9dbuQm8Kdm/pZdVb0NatyjP9DbOiNB6zGjQ+fOct7BPOAj53x4281CWAlD2XZXmMpLRK0g6pM
xTT61qlaJ7mhX1239hKMGYVKzeA0NPegLvTvIEOyJyPg/w+LbjtgeC/P7MMySMh9q++rA850qskb
ttZXG/1rfWCxCA96LWxaBUM/xyGydWJCsWYgFitIt3a/CKQgL1Nvls98UNOjCUXeHUxmegiCUPcZ
TkIbNr0KfB8kYCJh5cAaFlzzGelfYg+xMoeq5vR5n1u/0l+RNXDPrU0vrd2GrK2698Ta9i9BU85L
YncMCwj3p8pJTLWYXdiz5CYBsncnoZRN6YOR6C4O2GsjmJguqB/IqtmYkpE7Hlx3cvFBmHG95u3E
UV8XE9IwrZr8uxw7N2ToBp658lx4e5pGOAshYDsX3XHPFd5rfWt/joL+a3YFnqNMzdpPQ3uWgD6C
/GBujb7q35zRBdZhUYVdnG9eA6Tk/dgcQ5+h7JTVefuSVyVhkJpoiJaZWs5XNC7d+2oF/XWtc88B
sCo51uweSySU1Dovzs73ZuHsrY6Y+XthZrs9jo6Z21OnSnslyINJGKQJIDhxwjDiwsY9d+oDZNwY
jL0KYZZyqi+WIh9zkXZmkhxKtC9I8YsJNUQsi2tQW3BCRVRIngThLfdNq716jxCt3dtlqBTrruj4
VepFf/rDit6nmxp1jt0OVpknAj585tsYnocuR4ipa7+7jztuiyS31iJMEI7q7FFMTolgiGq5+KmI
/TzaV6YIyvtoYhdKnVXH3nms86Zl3AjraVcsRI1B8/bjHXSzUkc2WPMcGB99Wu5juE6cTLj6zLE1
jKxqSv0TEcAWovtx5CDfYtGmAWqm7BAIBS8LWKScswGdODB6cJJMhdl+6bKuvqMInmzfLSCxSdQP
5rcFzO5xGrLwkUBn8vWgkJpNR9HJAa2WM9VvblnMxaGpPNtJXIvLdW8VXQAx3U8zN02bEwUVyk68
bygnGMiJrwL9kAvS/hndAPuEQphbIs8FMstom0LMYFNuSLhukM7BOj2O/D3LHnd6qdNtM3RTgCq1
9X0LedQlZezSYVJtIePtxue+8F5X67KDfEWLMVqhdZw41abDMHtucSg2/6YxWObswV+mDnTa6mjz
6+15+pBBq59npUfWxnYsyrRDeh9AWWKUSYKmKpfUq0yznWeeZsDcZs1+B/zIJ8+LxtdmmLJy3/JB
wBhGE0JjXUe6uxAO6d6DZBmTgkGQgO1ydTzqeavkQRRdFCXVWi5YcFA/atqwbVvubj5+aFNOza8I
04C3DzviiFMNccU6bhZn5HzMkQ+XvkI8G/scCogM+4wVe0IU1aPBMYcibOSrNZWRPpsssO9a1wig
NQcn44DuEewgUF54tSNMWHgbZvliSm+AYYva4UrsesRLDUr1VWW2Cg8A0Px3WcWlmgJOjK8jc0eW
EHxdPgIoBGJfLoFXPUZBZ17n1rOXD0l/r3seTYXMq53C5VwPnrYg67PC/l5hyvRDqxeqJ1C/+106
OlU9HjN3qY4uYn35zxH9HP7Ynb2oBGFAYV2lOzh9ivDRfvK0AKjrtiF43bTXNO8ha7IGjiVNnEd9
uz0y3doAvVtaHPktvfWEE8Jcaq/J6a3yaheRbbQRAwEituxx6TY13NM8Veccm9PC36Nh2zNAu995
3nK2WCjrf9rct7+zuUd85FpF+JjhYQJqX3McjBKoKT6aGVg7NaVljdC0tUFGbkv/A/TM0fsu6tQC
DTsF3/HYYSdBNol62kEQ/Tl2nf0n0zoO73U9beZj5qL7zTWyxTs/XJAPoebIO0idJvzCGQNMq+dA
lw8TG2u+l05P1J5XBJbga6nmk99BF6GIKqpw1/Y9uAcl4farLuA4j/wyKCFZWLqPGkkwHWxIRoe9
W3rIGVgE6n8DdkX5Y4VZ+121KDiOcoi8caeIaHoJStg2qTf2fw/YJBihmov13eaxJr+mDHK2nnjb
HiUy3/XC29137+USIeJK5klNf4BJ+vHoQ5AvLKg+kaTYGdfxrSbcSb6MXRAYptIQbb2/xc3frPGd
O0/PQERVxOC6a4QA2Mtn0GRntZ31igSx3lK51eZljFqMHtydVNn4U2uS1WqQSMIY8q7q2OdE9kzN
2aPNGD4VYb0gZbdycT94ahS3B2aE6bHDTVZp7um4+N3INZcJI2SFqqn3nRRlI98GxdL5tURSqM/j
FPVo2YeQhSATLXOo72eaMZlU/3ln+ThUEmEcvTKxeMwW/BLu0wK7NB6n0l5+8XLp6STlKO1jzsV3
gilDSDX2o3tPyYazfk3QB9meDxmhqD/4FlonY7q7uBqqcedE7EPnBash3WwcXnmyqMVFLUZS4vZ3
9ImgfnQJdcuOEyydf9ctjTjUcnKdgzvI4nvGrX4P1IQYewEB2gfyxvTw8dqQxtH8/6NYTgVYszI/
oy22t0ojZU0cKmFf/Srkb7TrQT9aq7+qYxvWwH+tNTcN3Rg5GJ238aIfzIhegMZWSTpY5fhB+0Xo
KLXisdNnP4As1IBWbj9Vh37AMZJWRJNKJpwq/13UNiQaM+scp027gbfICNw5zRWClcu8ghOZZgCl
pazVhmbowOXZC2VTnyRclvekrfkWJbTiLpvHcL3W7OhcyfZYcGsPdGImGy5rpjW/wUxZgiaGD8uE
yQO3HQeC6F37BWEEdZoOt3N0P3W67c+0TjMV+j6P5J79anlkJpVVIktwYxZr3IhgvzWLwq3rzVAz
hnVwF4xAxruKeppfQjIyX5yqYFHyZiu7dtyXZ0KLzAcZUHByHj27+PhlgwBtFJwU5Ia79sesGdGS
RvbmNcCV94QTHvyknbL60xqn7JcNhAwOt9L/kva9JiG+47RgXyWG5M1mJvjP9kBXge6Y5KFc6/Wp
39aJh77CHHMUdmuHu4q76RnYJQDeNth3j0JkwdvqydZ6i6WXMQ43kfhQqtt+K+ZGVBZbydQ10eOY
shH0fmpNNtJC7TTDQ82DWu+jHAske9kclnd5PqxwRvxOgBKFxZ5BiIt98I2wzVsdNFF+tusxv30/
TYFlpFg8BlgmO0iRwKuTsI/KV8BIGsJIlSg+scfYCzhcq+EPAyxLB86Itn1sGzugF2Yu0Y+qZf3V
VK31m6+mXVNkcs2bunG6qfLy6N80mepHaZvx3nidF+zGTej627SjDG4nqDsrSOPOftPu1AQXtM1b
+wr/Treq3EYBdiMte/zWvJkwdVnYM/7KwmFQq2w3LalcQpC1WlLC8VTVNYsmb3lBeutdjCZXPK1C
lAWntu2s/uQOAPFMr8L4B1CEEsX4jGIIKlXGMNLa/xptr+aeidywPFXFPD5RMYrLU2JL/0WPvf2f
N+TrZcidClCTHh5OoGZbnrD+ds/I1XIFrEG+zLNf+P1bqVzr3TS19kgBF82jM9hWduoGy7pH45mN
b26L744K5Ho6Ub0CiG01k3xhSvR6vr6cklIM3vZV9CpClhvzBCUu6BORAcFin6LGROrolfnaH/21
nxY6QAzyUNGNgXyKl6wqPz0V6/gRYGCZ7rVmuNx1S3iMLdI8RuP+8TfpvkLr2AMz97AGxyKjh/s0
YGxQN7LL/RnLMgND7eT4DDxWFSdEjeVjtW5T8QT4QIFauYXzv3qpOJ4K3OqLlbTLXJqDXzqRAqdr
y43iw4gbum1xh6WdX/rRcV0Amk5BE0TdvibT8diMneXTzC7y/pPo6KAgd1RqOGeJdgx8CyhgZ1aB
yxuFAysiReuqqM51Z/p/HN35r41AtWnv1BKqqvMGfDKS/NcfilerK7L5db6qiK039cs5KvbG2bz9
7HZBtesbIcVhc6oSN8UCYl9T4XS04EnHJAgovoTmbRyMrk7meGec6uUHGhJRYbKkxCFlAMr6X9Zq
tV94NqB/OoBRggFW03kYRTQ+z1Ipda3z3iGlaaSb+jgPeLXfVyeaR6gwMGy4e1WGDPGBz6BMNzUH
gR/zqKMH/S8HPV9Y2dsKfTmmZeBxov+SAo8BktzecflV9CLKg5VNXYDyeqIgCikKPi3GUfMbYrH+
43EJODxgLNSIkGV+IOUMnyEKgegXNETxsGDKKZK27n11FAFd3Lsp3Ih9pODVv3OYzH/cNlqdw0Yv
m056gmL+G1jvizPkXPXPLQNUifk0TV8cIt2Cxp4x9IBNTv0tnTIS+Fw4dBI8bq5O1g1D7K5mL8TJ
E7QZxLIfR3+wyTbkgpSNcGCSGvUVRXimNXhrlEoGvmuWj6LY1drX/zEKoCFTsx/EpFy0qj17KCVe
2qoDrhO0hgTglJX6mYwtPn2D5YFgJEhdN19472PL52bshqETR8oNkLTmYbt8QWvL/oR4jmxpJEDr
4zYiPTmxzEMwjqO9GVyUo/2N7wxwDJ9CfmlsvCQIIZ26JlLYW5w9BlZMmdEYiqsD+lYf6i3GakgC
ARo/3xHuv25zog+jO/MATwtE3op2eht5jxve8rC5YoZB7NYaXFKy8eAs7LUqH+eBbOzDOuQ+R0mu
UdoXiLsvVsCNs+vaQD9Ow9R9idLxf9aur67bih8AusxXMHqYHn8ac/MssJfClgp/sA5lNNovWzWB
Mrpeu9ECa3y9oVfMEd/wC7LbIpnYnnir9X8oHrMAGBMmilLDLjwxABCk0CoLN5I1tOgQa/Qhu6L3
3OCThD2AVpkHrZv6bVysJ2/c3Ok811V7aQOb2OzcaiP/BPetGnK1C9azXtnb8DuwVtc5IyeHdyfd
oEG8hGBuQArCg5/MUbvcseWV8cVhRRruJyTIz2rxm5AkgqbkPhfMtnthk8OYSDmt9958g2AcOcfR
bh58n3+EZNrqT0l6SXYEGOcxF5Vj6RcyiSjB9DMZXwvLugFuWSgfA2tu/9mISGz+72V0tQuR/2ET
iLckmrM6PBPV1tbXrgbNfnHK3irPhGSX2y5D0Y/AlfZuICJsLpGUXfVEKaWkipTAiD9NTJnAzm9b
WMTZCWqxH3NnKnYVbvMHTKDYFVkrfcza4bzc4bGEe48YPNykcxuDJNVQ4Ps8VI2/7FxnqQIuzZX7
phvMdOdmQ/ntitFXn1GxOH8XeKFW7uymz9o93qPiQQBv1UdaRmJUfVFPkePIQf2IGMNz/+N9arJr
Uyj3gXOy4HBWwTzeKQ4EDI01f59zVwOteZeKICp5DuAEH+dinP5GqJG+bXbJl1HDCO+XTQ6/xVDm
077wx3Z+aRF87wpst7j2exJ8W2EiAl3dNT/ZNLDBeua62FNfq/JdhKI6P3iZL5ozmCs1DHUWc/ry
+9O+OEADv5l4sMfHmiLAa8Szs8Jb9WAN2UTR69EAAhMYVVd16qCox5MnBFbv+SZ8RIkev7UCH28S
zlH/J58K/8ZBy3JMVCiJ1othkcvED6r8r2qhZFBPgH0msQ1dseNSWV6VDHm/SokdM7E41/Q5k9n0
O2BefcqdWjE9+O78HTh6/rXIDIMhhj7vEGPR+iN1OTQ7xGPWySa086/QIwt55bVjApvlLrubdNnb
FZDY0yHzy0LtHAbA3yie1F8rkBSY5CQ4YBSR0UtDR1J2davZvRJrsnjnXEw95AqkbXMhJsi8tH7U
bTuMexhSOvJEsivbE5KbqIHwT2iMjYdEu6Hx2INU8AkpFxcnh8eeK7CKmndgpGG6y5Hn1YdwRZ1/
IB6B9h1UxF6qMtpouaXcdtrhdhD+SbMBYaMbeoUlxF1yN5Xypla7dQk2d6TPTfOhikcPBret1XMD
Cwk05EiBrH/Jgu2+lYzQzDMm9M5t78ZUFoOFZoc1AKjYzxFtB2R2CfZiOAjEcVnTpxV23wlj+bji
8lxd6zzPDCj7eYSeSmzwERQFqyoImphmxbZFUpK+jtNNEO663DZU4gwRcqoMGxj6TPm4BQFclicX
TRTNPEX+XdP428HPsbkmdk3uS0LknP4zz0P9KxvatbnUa7s+DlVmHpiDISs9312RTQ5+f5ehG8Vi
bWUDQ7hnmUcXp7+LryqYrkOr4u0d9//2ENkUgrH6uyinGWY1gNsmMJLzSrwsEUFIB4tWquGBT0VE
RLxwCl2k4LY/BmNDOLMF1chli5BO7skxaB6zsuGl5erzX9iV/ZbmTlJNyODq29+6zqLr5nDcJwy2
zXvvyeZ+skJanPOapFq2MIGRDZDnzKCLgqlSqha4CmxxoJKBvWahdALaOor67btTPqqJbgv63Vhm
2QOBJmN+B1QYFDLVjR3zZ/XTu1XlwaXD5M2nCoV2XOrVn/YDIkJ6uYFLAebLyG2+3dlfi6uRGN6m
xCr9RX3URKz81/Qe6jFrdBay6rVTP86THyxJqzwVHRjpGH4oS+KAIZuwhy6rVnSJEPROvm+mzL4q
J7xZhTD6SQT1locM4aZ6TKsF2TkeONcHpaWdhEmkW9ZgF91gGIAZP8M/h099S3qUSOODRaz79thV
UfjVjZ2HRp8BQe83YmbtD264TlyWrSK7xA85fJNiURp72BJa6CECuV3CCj6GpPR5Gq1D1zMR7ka7
5wRv0XSmNt7+PI2RL2If5m5Ml1JMD+Dl9JgXPXPdQVf4VNO4dRbvipxKzMQS5HSDAgno7yw0Y/6G
crQYDgHPUZaOqiddSMBuYe6vjMZ5i4GweDKZ270gI5rww7ILipSsjvg/fzaiOkeqmL6bZS3ujZhC
Qn26Jnik0CRw/1L+w/qP9T4Kkg52w9CjoAuWgqLCeKinNZxJDJhvLrI1D59DOpGQs7lWBxDqmmF4
birc8/ywFtuYCJdy2Iuy91+ymxWWidv2mz07rI87eUCagYOpUPYz4gqkcZOdq4eb7+i8NEg9gFYa
EA7KS7E39XHZD6zebVQeGZvwNXjh+hp25KP+WXMcYNMUi+ZpVX7Rnous0O0/OnURKmOhgNxX8NTD
CX1udI+enS4z1bt4G2JgNWCgLObNb5AOPsP+M9ho15D7ExLI86Ej3COJtwbrL7Bw/1kbvXyVsKCf
YbZ13oNHiDhhNmzAgDNd2zAFRPWPQyfFPxsOJ0vGzQyvFb/QDRWB/d1VBe5EdrHS/j2oKHO9ZPO1
4NWU/LUTlFlHYx5ovAoQ7TMnQd/m1HtKIjNgJEAy9k4eokJCtDsecA7Zl3wLnVIdOTN0ceEosYO0
QMQc7l10hNyatrd9oSmatl3Zx0JcqgoIMvV9vVz7hvtrX7lV3hNO5SrvNaz7Ql9Em5m/CuYDLxSB
Ku83R2tJlEK5PHAiMm9FJZfzQRcNsLMe2NZJ20BnsUdtVTR/CqvjzDX0qMVnOczOc7ESu3hyeG/y
JF+r6cEy8Uo4PtELLBnBwOQ/9NpQWdTerKNwAjPWTSfGSV/7qv3nFEQOJk1cBePea13LSSUmAcAA
e86Av9wwvxsRfX1GEBqQAmXh6NSnrjDe5WSllKmk//FJtYP3YTXrNvwaPZ4QnlLeeFShXWPeWOCl
+YhCpOlYYLfxzSKm5wOo5+bd7wv1lOUVfw00qbkjmaO3Uxz6KHTidgxeySUkg2Au5catwHKPHhLj
gUhjaYvH2Bk1BvAFte8Eb1Cq4c6PPIFSw8nHJy+jk/fgkFHxEcFB/+Xj9oKTn202C/uAb/Vg62oJ
T0hs5cXJikyl3hA4gGaAAwRDjah9KQsqIJBz1l5xH9cL6/CkBP/sGlLvee3VOt+pPO+Hy1xmEQya
ICYmBUQSQCMgD1hg+U+AiODo1QEfAC6haSBJLsUCYnBxVfY275hgie4oVpe3bZ3yzN9VQ4FA1+gc
CQBQKiNrR2wyWgHy0pz9gh/oiNqiD/cWVj6GAlA+e4fB0m2SrfUxk3vKtZ/7IcOJzRGp9nhfCys1
Bo1CWg7b5uIjElKf5jnkfJG1yuV/DbvVSOYOsffJtM7dZ7FusTqh7fPDxB77/FcZTvnbhAke7jKI
x4AOhFb/Bari8xJFNXwOtW3DDmEqoQrHK/UdtDyswKhXgrhcbynEEW9h/19liKkmzEOsWWLKFt9H
hlN0PRiS3583nw8zsVsUu2SeNNUrqTKbc6T2AENaFvI1XGrqVOeac82+xRuTPlejS7KCi8Ad3F3K
OiKCoGWaH45s7fJ1HTje0xwN28g/AJS8j7Dyz4e6JXQlESVhcDuviLNX09jSeXRUE55RA5gyJWcn
P5DAXNWntS3G8orojgttQMlqX2JCbVUCczbiz4jJD0SUFB5hI7W+cwhYc1KhJ/VrmP34l4OJ2j9o
Xpyb6V1ZR4LG+/zI43k75Y2lOaVNVx1gdQ3qocWNPggJR2Y4LBYCpsnnnYyN6x/n3qDXqEu3EcdJ
DSbczVhKDze6Fp8L9tMbQukDhWJwtLvDMs7ixdIK0Ufpt2NNGWJvPleSu6JdjVb4BSU6bFOG4xgp
+uojdjedGzQEohRomBet8fRYMCUxIlNsWYxfJYvaEqAgxF60kMt2ExMWvdPLZCSO7XviTn1b1EbW
AAIkt3+c+VkPzoZ/Yk94hpXzc+vhtGKZsq5AtF6YLrjQZ6S5VXDOMKiaXd0WAKacHDMdp7BftzO4
F+VTI12Azx52KnHgGrPrvBr6Y0xNnc0tH8fz/w20CTyIftQzdDzpOWjm6KJzEtzLkZ2WNIM/8+VN
NWRGq77iuAx+dwh6okvkZdI+EZW8xozNrtveeYvZQt62wP2DvSt654avnL1B8cm2Wzrxl6Mt55Vw
ALbfgSqmm5ax5Lkum++4HzY3bYiTMZcty538CIgd/+tC4vfPjmfnBJ8Dwlvp7Jlu2/ce1oQ7Qie8
csdAxRzcqEl/bFQTF4m2hMLAbBUOAhYRMLNXaDCmsxM2I69PXDfLwVOYCHZdDrq/DwNSPcjb2zym
qJyqz1eSGjBfhDnq28MGtAioFyz+2QEC7iBifILXArIUL0bk7MXkjZFzsCzDkiWu7QuOEASLVNAu
0oePNuDcBTLhqycwtpMHyyu6kzBGBPe51vKXhJXszQuttjzhJnO/IIsI5mQ8m4nhNK67X8HenDQU
w6DguQLMw9VUkTdX4JPhLrepM0+D6ZZBjXCYgS9C790mRAC3Pz72LnWJAmazVDZc/XsCoKNbil+B
T5P3KmbpJ3/EvDFs8S2peVm2nb9Gjvy0+3BYEK11BKLkxdY8eXEuwTSYgnnCwQWaFzI6FVjl5oMl
VBwLv60azfkJeexAnmQTASgKZlN02K0bZniNKYZH7eLwUT/WGmrizGBSu2e2qaW6INqxB+yAU0X0
aFAXAl+vIDgBUzb039b03OQcFtt2jWrT4hVptlo8YJ2lcQMAOvyMeii5XxYpMGK/gtvxAy1kXQRb
bB3WKK+W2zHEoQpWZsq8/4qRPV4azFvrHTI3ezt6M77h4yRoXnmET80ejQqrL7sdh/IFETi6RZ7B
FYgSpzFbRO/Za2qbKYj+eED+8oJjrpS7geYCSqH4AhUGTxcp2K3G0boUbma/V2thhafKLPKXrUYi
DialZmwEVY5PSIiyvvLBTE/xoFS55/pRzZccmHn2g1Vu/dEE5XqPnpzo8dXR4e+iQl648H7z2uZ6
KJDARvny2N7UlSBQ4sUmngq7r+vJQw/aT2czlvn+paWRbTngI6jMXRV7S3SwraY9bjYbEB5duyeS
gm/j6jjd1KfkocXhfpL+JA4TWaro9QPS+rFdSNOeZ0/oT9I/OygKD/7q1C4kQ+7ngcXmJAmF2K8y
HtVjHIzt76Dcqg9BZCA7kJOtv9ZNSnXnLsjp9ow1wt3nLvrlXb5sebYbxYoKsyCQiXcjR6sFsuzA
FLEIwu8vwkVG2NA3XRAftF0XAoTMUcV55ad8ftWEtzdfeFiVbl9qS87WG/LigStIhlt0F5XSzfao
j4sYzsxmSXLmua1P7HCVvh+sfniyF6+b9tM4TyUqBVkEe4f4y98VyqzyEA3xaI6QK8WF3DoWrqVz
UXlAkjRchJslp72J++7O81TnkyMTbfVxyBaXtzhAxcveYTXm7xgvqK+6gAxALOixOG7IGYuEfcJl
n9ycxiP8sRrVx8KdhNzDsSgrxSDUwp6ByS+4rHzZEHsRmS5B0uotT8yDbpeSCQmQS2NhcHElAu/z
pNVcnju+C2ACpK/dHUrQeaY9LvbuKzHlweM8VnF1Py/lAhldDcsR+Wj5PVtWZB/qTPKlOe7mnkHP
CHtyw/b2gg9W8NMWU788wP1G+jDUzRBfFgsnIOTBjAkcam3M9w5xnwRhDb79bqnAgIRs4cj1H62A
PeTmSGyjYSlwKwTNzaNmCTsVY2uTF7jBRoK8ubnzOHRxPpNTFkbBviPnmyNhZOo6OB2YEYlFBPNt
njV/o9YIfiql8V+LRmI79pRa7/G9Fd9MIV1zs72Pu3he0P/dzvIdq88CK1ss+YvSEnwX8QaIoK1t
j1aorNX/yCsrv1iyIJAy5r1jBAZQ3OEWG+KdQn1maOUYa/Nazoq9biy87LnqHfU9j/iPSXLAWLiv
nMHPcPttgBqOcMiEj0A7Y7IcXGK2BIcGFxH2hvei6ZW4ZLky71u7ba+EaJC/wDT+D7OU4vCJ4qEj
hGGIT96Aeouwnm39ZVd9cBMzrCgCQ56u58Er5Km0wvyJtQkCKhwxzl/qYGBPuqWOqZR4MGIUfO1Y
MhHj5ETnjkqqb9PPWCRdja2ePNoe75IAfVhPNm6E7r2rCaE9NN6W/Q2qZTSXlnf3iFs5G6/L2FY/
IIqDjbhs9K8BMo2R+FE8KD/xhFsKJA+lL+9vzuA9icbr94TSqTjRXtYcYxnnOsVl39eXRcragfTb
XHDbAKcCqpmueiCrLK8fCKnhKFZTxZQbekC+u75mZbwtsVN2ETbE4t52t0jtbR2TWUvH9ErsPnGy
6DNxt48Pijftj6/j8buPVHZH8A+d27jF0IMMXe/ccuTZbJjtw2rbb6JwnsmBRvqk47p7Rh0BxT3w
NZ8GosAg8NkR/9jo36sdMl6CnUmOJX59yzqn2luVF/7wZWknbcngLs5+ubigNR0xiGkW1FVw5aoz
+ZE8Ir844qLkK+B/OZ2EbGtupsCLhju6DbkxIqwkPIJDKz4KZhR9ym1irJ22tf4FdlZtp601pXtY
pNnUzU3TPKN4BYv1Z2v8a5MQ5CHTGLefpiFm7574Fu0diske/yPIvvjHPrM8lEgbn/1ZYftra6d7
r4TjvXHoxQ+lacbfMT5Js8+tWGCRb3zcWrP7kTNIvgfbNs9JTg7CyJq2SWsPaN6eK1RNKOJK2+c6
t9dx2FXsGbjahUD1P3aGWObMz4JHqt5GiyNUmv/Yl2Ev67l0/pZoNP9Mxos+7W6iL+LWmBqxbOfB
a+0ahFHKq3GTrlU4X8nHCr20BphQ9ieUWJOdlcrFvG+AvfxUYl7WB1Au63XLyu2Pa2utd142Bp/A
5DzmYXzblAie1U8rOQZEGBDYAvWNHOnRzwHCE4YYl1GpdcoHq0ePmcRjruZ9bIU1yBlc0G7QpTAQ
6jAQyFXd+Z+/yvqJps0MlTNXGElVmT8gnMvCsk6DaF7kHVmc9ts4MRdYU53VKbYLoEtbwLPNQdRa
aRbT5vYgttghdXMI7M8Qn8Mz6p2iSCvkqAL9pkDgK3Bcn2BEsPG3vSU+qLmKnJ3FDHgAzCSLyNQT
YSNOjBn40HLjoRtAi5fijtJyjycMHDNoiGJ7QW5v45UjTQT3WUdFtLXcqIgWkherRY2/aN5cZzwW
yApuiQBDzc5VwgEnQwA3SHIY4rEL8YXu0avruX8cIkngA/Icyz3WzkK/UgYA6aEO78Lm3YREZ6Fp
5mc/63C4Rec2/EZrr8dvqtaEgLijv/XCLKXu5Dw6BGwsc/dvpcf3zgWjAcqHIL/3KrczB7HGKKsr
XljvDphwk7vA62JOXY8b+8FZkUzst4aaqUNXG/HBblA3qa2JW0wglrhLy3Ujwq+XeiQshglwPjRi
Y+zOPKH0jVvOy10w42jY+dK90bxWkL2t4Vr/jC1T+g9deOjWSSJ1zLXpCbhJCPkjI3/qYRETX24q
3LctfxIcA9BJUvyPszPpkRtn1vVf+XDWLVxJlETp4Ny7SOVYVS7b7dkboT1pnmf9+vPId+NUCilU
N3rRQAPFJEUGgxHvEBrmhz4ocvoNtk5tPypDKOT0g4ofozVh+I4IeN3vQ8iu3Q41stJ0yWCsnykY
v8dqrNVfM7DI32kdbwKiD9WHXYu64Mw5ArKPJOzovNNSv4vf9IrdBo9hXVgQ+SDxcxwrSK9lnkfQ
oiq/OaW5CrvOMpyE96cyTd9CSjqI3+WVdsx9qzEo6dgG+MAGIeVXXomOzs4cUB8499KkogUfTa12
XqOY70Lkgn80FprISLg4/evYqTzfNUVNhPVCzu/RDIAqHJPKHM3dKIr8GbVd+vcK+izoxw7qJ6sW
9bcGGXIQNTpp6Mm2OvVnhJtR8sxtmz9DZgpIizxVaw9K5akApRMIikzAj6h/otL9YPdN9B75E/pR
SOZVHwqjbBDoH6PuOwpdZb7rDKn+rIxc9fbITtDIQPHMftMkVkB2QLRFy640ol8ORxD1X72L6DoZ
vfXUkwDDUQpa+T1FwrZDbwrtnF3CU1DuUGEiCGSJ2vcw7iv4dA5t14cJ78mBp9dAZoA2j/XDqoF4
11FVea6eeNweuajkK9DnEFxAIjmfwJQHZ70KUeOp0h4qcmQiyH3gewAJQbC8AbAz2HJuswWgLTRR
xtlrNS307zmYgOLiIBiZolFeqz9w9lCEO/qZgDKaWU10UkGrPxv2kDYnR/emzk0qepuHEScd9QTq
bny27KGFtjL42rDHorL4J/H98IsHkPGDYTkDQm9DxWH64cSBmp7QfmrrnZWqvgrYpm3fhvhFeOeo
iuPwAtaBnBqQXXOxjVxDRAr4+KchC+1PNtL65C9dNwB7STtUprWp+ydMBdn61GBqbCQGT04Akeb7
yTYkxUxkuaAhmlit0IPBz/S1omjmB8VJ4AIrsZEgvGxT425RMLDASqSVBZ6YktOcBuSg0d+ZzURQ
LAqYdnQ7664+Wl1mfml9/KrdWJ/Ee2sCUIhjgq8eIvrUIDXQ1tDpPRu8TjlDgYneKESLPXBkCemy
gB+4U2mIhgdtlJSZjA7J252fElr3ATWwQ48+E+avFZ16t5OAvp/BgTToldEEQtlahQShhy5jOeVB
bfs4ee+jNOIhcz3QfAQ76XQH9HbhHXhWPNCOw9A7PXMhh/6ecoiRnIUATXco9E58Q/u3Cs+FGgDG
DmQjnlCz7+J9C4Kf6G7gB8FmU8RnrfKt9zgrKvZBpNqUAFGC3rYXEizHHtQOaSoMxvxpwC7lYwoe
4lubV0pG6882PqT12KGSAfea8oRfaJ/Rnk/+trtqZPqgvF45SFFUfZE9xsn4UKrWbKJDEf5XRmwd
QbzlgY2YYldQc0cCG18NaQ8f0q4dPpcTYHfFjmIgyPXUPVbhQI1ZGGqIFi747g8JODz9ccCDAF4Y
OdYsKwDN6oQnU/VG63Q2SA+k7v1YiFx7pBUa8mKE4fOMSGMPngptcSgYFkhO5QjACF2pRgrtHfJz
vv7VtGpq5j3WX88BUfy7ofn6eLQixKlfKbBLqBWPjh0RXlF4pxiYCvuNkQTQD1oIHOVh0gNolVEw
inHvA8G8cKO0CYKkOcjpWjHMv9vUbLnJEi6nAg5puwv1UonJJ63qwepCx9lHWSBJUlCIEQc5NN3X
SY7ioxaMmb6v6cri0dWVNtvax9Buz0qPVI8zSDUC2FH6OJqqUCmyOF7zJeihbz+Rr4wP8Jf15lgJ
avo+IQGKPe179MCh8+ZvwH7yRKV1G3zoekk4c1pfRHvaQTaFeY+ax54nVfxZQe+jdJGsHOWxoMf7
OQtqa0B8Rhke/ip5mPAaosskE5NbRs0R6uiqEhHzv8rA6fsyS3CisUWqPlX4iHwTWhBRBU5Veied
BzcBae5SfPcbSKfQ0ICvoVPQ+38XJh0dXF0iyn1ZikYDZRi1AejSogv4ldJ4a78pqyBrX9HK1snh
88r33mvtoE57PZyMC1yjMIVpUwbZ7i+nF2LMyO32YGuiR/oKDrrhbPX4+JdWULEoKBDuA+lZP+jV
NR8yEYVzAgUMCyfU7tNf0wSZUe0E7F+r1j3SWhWwogK6lVpIkVrHvyBPNo4qveSQW3ogXJXL80GN
MeE5R2CYxw07xRU/I332VeOvSHymndlz6A9nLE31EXcRReOCSRpRmjIBuRyHvhnEeWj95GkCY/d1
9OLxYlM42P/Xf/7P//uf78N/+z/zN//fP/k/WZu+yUMqX//3v9Yshgx63yTzhqE62sLrsCenkcQ6
nj6wO4AuIUlLOc/ZMOBds01CKs8A1AjCxLFnW7s/puhHY4VlEK8nRae5igrjL6VtqmfeGcOGF+ns
oXXlEk2cAHVuqIK3j8mCXo/U4webo6lluWGlhI/91OonLtPeNRR8IcxU/FNZPQLnGGw81mb7/f5i
3rjz0YBjSE0aqkmqqC48zsqg82N4+HhHZFV0KdQQv0qkOo6138AQNLoADZ44Odwf9GZtfw/KrFUV
QJ2+tFGexqJvAhPU21S3xUdVIIydFaXyGjn8cMPY/nYotohpCBv3Wh3/ssVnpFk2NPgbQDArivqY
SSfbQ1Vt9oOHq9JLZ2Vo1FQ0UxooE1rqwuTL8PSuQAMfsUlpvaucKHk1iPKXkXbp88sH4i1pOKbU
aKCqC1O2RLNMgE2oBaCTW+8GKgKvdaLqkR447Mz7Y90YwDEZw8YE0sFnz4aqe705YdhiuJI6hitR
G0VLetR3schpWIAS3mGI0b30cM/jOfPnIq7ocOWux4uKxkfojPEq0PgnNB+Vg9FO6dsXzwpfT92h
SaFS2lj6WaelP3Gb2ySc2JG5Xh45RwijKOM2KuInorfe3R9vZRfqUsLtdXRJR2h5xDUFHmyqgsFL
1LZ2ddOimVsiT2T09vTx/lArHwx2pW6y3yVraCw+WDeXBtIQu4kpS6wPUdHScJCF8atBoPAEXjV4
aZyUhlB1sHyUBzhg+jz1P+Kkgh8AFyQoOgUx3vPk52TkQKhcbu8tP8aVVWRbYGGHRJMBO2ZxwNA4
aGbiAoIz6ICeMXThBFCdceGutS+1IWRWgMCIU/zrsPOvZ6V7MFPgEM1n2Sh3ih6qFw8AYaVExkaA
WvtexAxiIVBbov/iexU6IMMhYCoVOAYYujywe3+IToHZo7g2ldHx/v5YXUS6poZlYXauLp2C8fro
k85hK2a4IJ+GXvh7A8+wU1NHv/7FSLojkBqxVcmFfb2GkPzxzpEQw+OKtvzU+t6hykV3iAa/+jeT
EtApVZbQMsViKJ+U3tDCgSjV6+jkoRRwMT1oFwg/yA3XyNvbmp2BrCd9NQCKeNpezwooOaAbD0lh
tHAywMw9qjlHn3ychjx2ob/6qgKu1+gKXZAJXPLD6AgevP9iaW3VdgzNtoWtLbZnzuM9qwZ0HnRP
KfFAgm1OsbI6q3YfbQTk33/rOj2Bv6xiYmGpdH9xrL+esOqnTU5DTLjZlAWflYoOzq4ZsDYqQJm9
VoMkfhNWlfFIc6x+wgxPfc2VOx1otdsXoDjy5xgX3U9g2ZnN+x5sFt39+ByFGsVdBfrLxoU1T/3e
z118H0UBphpbtnBj+hV+FtCB9QasDzC6OCDXrrrp2IRoDSMUcv+b/M47742sXy8UyihQXHpGrhFv
BPCAslxqv7YonLmlZnWPzgwJoEjwy6tE9aSGaXAuW2/jV6wdb4I/38uaA5e9CMeQh4xIgO6B6Ye2
pBeiMV4D978gEl5uDDUfqpv5IqDACQcGbFmLQ0fJJWqh7hmu13w1wWieaMpktHXRkS0QEbq/umuD
idlYFKQH9Ad9kfM4RdwYs/4tbcfM19xcM4onRUbVyeyHhFq8AetsY37a2lraVArISHRL6ks3YweO
NVkEHpwIuNRo++JFAALbKy6SdP0y4vYFGEW3jsgF9m8Kbgo6XHgCHCiNRB8U3bEeR1Df5R7+jHos
KZaf7q/JfDUsPgCkYg35FJtaH1fI9YbL5uXPkdACFQex0i7B2xu03g73R1lZBa4lh4SWC0pX1cW2
9qaB7iuyB249qkjqGgikSFPfwb0fj/dHWgmthG+Ni11nxYW12LtJLzrQduR+dIeqyxRk3qWgu+NS
RplbEFZ26motQAvSUZ5wDqleHlRJqIl1FjVvoupii6UDzM+wD0zXUXLlbWOpcCvUscifoFwnn+9P
dWU7m1gcG7wU2Fja8gENQhIOcMlYAIVnFwCBTy11OtDUUwmxDOuzjbVd+YoWNyOfEINuk27e9V7B
RAcxT5OSPqC1+qHsY7T/isZ+qnTb2Rhq/lOLbclQjqaT1vByXlo449JTYwzkcRknkhZQUoctEqVh
gAg4pmqH3lD1VzhjKRsRYnWGtm5bJpgb09Tm0/JHIgqIs4pQZ0IRDdLFkTonKJICTXRYHfn5xV+P
zgR65JxhWyI3ej2UpaAlD72UJHfy1HdGWUT0DcAdn2FVxg44vK7UN4LR6uwci1cld74m7cXsTNFo
xEA2jOr7TXlQEBV7hbKJGe1DqOUvf66winxCy7Z0QQZ8Pb+GhxNqcCwlyioWSCPyHIlf96EqgHfe
X8q1eRG5bEc3sIOVYjGvGBntHPyx6UI4MzEYQn1YSfCobQEfbmyQtQt6PgE8HijpwPVcTAuuvmq1
LdPC5En6bmHnnQlMQOZnhPUVNIwDJIeT3sl63mlj/7Oqyu6Cl0/1MLUayfnLZ25xl9E8J6ia5iLc
1AmuULJHJxPTXXluYUAdB6f+0PaQYv/FSI6DHhb4Hm6LORj9cTJ4vWFQyi8gW9QxFIAehtSRDu4V
R7yNNV47+3J+n+GqRt/XXlwW9VAB0aqBUxTAfS/oMdJlw71qX9HDeUA4WrlATbT/xXHkfQH/lshN
jUJcz8+X6DyOCGeDKE58mLbAMNLA0r6MRnouJsfbePGuzpH2kTRIsdCzXHy4HI6DrY/oNnlh3r6V
oRG5ePBMZxQ14idYglhOoFX48mcisVvM0CqNtM5azHFCgg58HdLtCVhV7TCTRsEJNlJ/dhj7mxkG
4Zf7u2Ztmra02ZvsUItod72qKKEZ3oCOh2uNZv1hmBAar3LgrBGOpB/7wE6e2l4Zf9wfdC0cUFdG
UdThOWeYi3CgVpksjR6lBKgwwz4fldG1EgWCAN3i04uHou5JTYaq4FwEWqwoLtsz04zeAfRfbR9Q
rXyirBwfk9LrNm7ElVlRJofmpErejOQ410vZQl+ClFWjFOuo6jEGWUkvJLGQv7Z/3Z/U/JcWdy80
PzYl+RPVGHXx0QbV8+q40GpXACt5rjCtHuB6Znh03h9n3uM34wgewVDlKJOYi1BqyzKLI6RtwbtU
zpmzkp+sobbwHRcITk2W/CA6MAsF1yEmCDL+dn/4OWIth5eqBbCERplFpeZ6Qe0qa01fCk68avbv
pKdOf4PqRrLU7rJjOWbKRsV15SxIvE6pkFPjEvYygrZgE2UQ01K0Jx/mUZrLn7la+25Iex8Bk9me
Egjk3y+eJDEb+RchhKrykLieJNLHiPaD1XY7B3G6HJWI1xbd6SN6kGia8KLc+Ka/V22xqlyK7E9b
mJxBuQjeTtKPtElrhNXaOP5mBqn8Pof4b6qE0gl3qkKfXQuGAArTBOkDNJf/PqUCae3vT/x2tU1p
OWQUgiwLZ/HFcYHMgXxTSKFUtRT9LaaJyS9aEjigQkB4RCrBlLsRgo2xuz/s7aYyJceU+UMLQbRh
PsV/XJMW+sKhjakS/oU4jsXZLGWCzeQFPstPNmG4McvV4TR77jE5msOleT0ckoUa1CVATrMG4Htw
PMalSuDFD8oAKTvIkZl78fzmFcXnCxK8xhyvB7StWZU472voPwptyUikzbupNaxLZHo9Bpp5szHD
le+IoRtjSu4R0tbFRSnKLkxxWYL66aT1ORQF6vVYO+wVz4vPQaB4l0lR9Nf3ZzlHnutNTE2feM4T
h1ccz6vrWVKgzWkjcVTx9ADdVA2YDMZkPFIrih9WUJY/oqbGPwCS0cb5uY3y88gWmQHvcQv41fXI
BspCY1WaXJjolx5oPctLJWz9CZ2ffKNluLJ3qOBqgqocpVyC4PVQiqdHRWAYQBwKNBurYZwOcKsB
O0/Fu9zDyfv+mq7OjC9IXQl0nWEubpU4lYEyhUBPoDhnx5wMEpi/pxyRzkk2FnHt82kUeBzLoe2k
ysUmjfQBjkc668dMEAC7SvEPBro7KHyLjzR+9ROCRrNNwqBsZHVzULneN+RXDGk7pJGs6GKzxv2I
M1FaNVBAqC8puBQdQwofG0fi9sPx/qB8zL4k1NycwU5DkwTid+PWdYSkDqSAPSI0xRGlThSHcIbZ
WE5t3gnLacn5cUbnSSc7XhyHSi0QSW5EQ9OpNJ6jhBdkEGWYmhmiDHFt8aqTWtSQBSw1PZdlilRp
6DSHpvMFsh59+UpFVO3D/e10+40t9Pt0Snl0nrlBFtsJ5LUPBY9vXKcJ6hAdQfazHzfDCZ0g61PT
wMQ8RwPswj04bkCW90df+QQO70yyPv6Bt7EI8460Bni5JY39evrqI39M4wWT6RFKEyHweH+w2zyJ
KKTRpuXcmEJftp9nU1wEEXGnUIF2nzHkQmRHTv3ZS7HMpbAmL7mfIibZNk10MIEivLweLDlEjM+v
sBBkX5ynhBKpisBT69px9IMHUf0Kh3YPIdnYeHt/qrcHiJFIyKCQcncz3+uY1JZY88UmeBt9yGAc
l0FzCml3bmzolVHIwHhgzqkBPYnF1ysVBxlt1WNBJwfaL+Y/D4qOVOr9udwGPDmXIOfZQG9hu1zP
JUezFiXpAXnWWc5rDER3sbTos+in6fQvRrLI8AQvO6pmi0y2Q7QM9kqPsStgZPxMffmQIj6M3odI
LveHWtmL1M55hGioVNNZX36gwMaWxpq1Y/B9rGFJtObRGPT+laZTr9+loo7fpyO8vVp25ae6t15e
SUZ9DsiQDkDBotO5OPcI9FLfSYFRYV6YPdEOnw55jy5lrA7G4f5c1z7gb9CC8/vzLRuCaMB0rWz1
HjmeEppUDJkM7nv0BrXDrc7EvGzXERZ3XGY0A1lUBKUXO9L2MKnSRtiWpZjEO/Tuik+FYumfdAV8
765rbGef5ln+4uuKUUGu8aDUqJ0tPyZyPcOQ+EbnDkApHzFWKvZa75j/4hxgcEcdcMYT0Mi9Pgf9
iDG0aiDRDuMQXdBJoNUqpsrFy+/lRSqmwnuS+EFjlYrg9VCaDmMZkDWwJ4lliUSk9YATnrnzBXIs
L98ccy1lBhHQATcXZ06vakyBOtG5pVePp8lBGTugUXxMuuHb/ZHWohWNOK6ZGV5Fc/p6UlYjUmdK
cNsoq6K9NBUv5MwG6X9/lLXNzoUqTLi1qGKai2hVCI/SXwT3srSxDUGVHynoyizPU5N3G5fnzVBM
gqyalzAmXyBMFlnShM5SbbV4u6pmJ0/Yo4znsm+pMcBCOtyf1c25modi5SyKpGS6xuLmUjDyhleE
3FGcpf4Z+LOPBFETvMGTrf7idAaU1AjHjnxjhivDWmS52AvRReCaWUZJWtnsgwIvTK4AsurmM7aJ
2ilJY/0nkqt2jgiUWb70nPFg+HPQxeY3kcJJ/WCY0LLLIafpGOygytEcx7DvzveXdeUL0slzmKEA
QqPeQJFCnkA6mglugfDmA4hllDklfm4AwI2Nc3aT582zAjpJu5a1BDBxvfs9wCWhGOLZmDMZsGZD
2tUQCPAAX1BORadbX8nD4neDrDeO3c1Ntxh4sXXQdAFWbwST2zRaf+QdiHpRaELV1KaoeEBtPdij
5AUDH/PhJxrL6caBXN1DXAYcfDooVKavJ47I3tRUDlYnaoAJ1S5UkbXc+0GSPXlIBERQNEqUQUYk
Ljau+PWBhYnuFF00Ms7rgSupIcGK0xZdvrj7iOpH+Y+ODdEJKozcl6qcTjEmkC8/qHOPnGog1x9A
sMVq94XiaJmXz7MFxO9SsqrTp7bJsv771GXKmy6oI4UKbl59v7+Vb6IrsCJewVRvKaAI4HXXs7Xy
yShHFHBc5BeUCTZJCyoex2L5/uXjkHQK0k0HMOmy98Z1oZd2BX/aogw1O+qMlfcYBPBWNj7f2oQI
rVQuOHIYMC4mFDaTNBIvVmdNZMxbc/wXprrb6s+uRAD55yiLYxnEaLQj/KG6yIE0J2l5qLgHzqxC
JF9cEuELkazTI4GcSYNmcV2gI1WmXaADurFy/UugjNpbvZV0u8AT7e9/pJWtL0lqca235t7zEkeH
UY7tZImnuii+obaHZiWq4P14qTrVPvs46+46xNk3PthKhCNfsSzaBxrim9Yik1BlIBVMtjQk5tLq
O5WXf1BEnJ57YsIjFPxsb06zt5wjEZW/P921j2jNFS6qCdT7l1sFszu/SWN2SZta4wlaOkaMESw/
Ha2djctpbVeStc+ASNL3G7CsQ6+n8k0kQiiA56dczcu9pKiwETPnKHGVRrNVKBYC4ZOwF+1l51Aa
SH6WEy5uwKtH1CNleZn9bo/lbHfZl6O+0VBbW8C5IjKDOyWv40WMdgYs47D50t3KzNJDHrTjEeev
8QSvcasOujqUJICopOsmz8nrOKWWMKFoNuluCSnxQLREmBCDMnQn5RZEdnUVuf2oK1IapFVxPVQc
gtZPZaK7NZ6YF0gMxqXAPeVhgLn4ujeFf7q/DddOHZ+MyKiTqdHeuh4P54SoaSymJkT1M4aueA4b
WHMxDrn7BsMIzKunfGPMtTny5PldNqemsoQMFADe/Wwg7I9Oo7qTVsbRfiz7NINDjw8jItTZ0/1Z
3nZG2JwOVxvoGYILfNnraZq5hSHA6BCYI6cNd0n4W/J6cLRjjHwywnWohhHn7GMYmKjRwTfUjl6u
QjO7/0PW4g3z5gkP7IsmzSKexlLDJyoIwb9Ftv5GwZBFBaNh9SfKaf33LG9MqEvI0nd1JbbgcLdj
c/4JsBj5Uc6nlnS9BoXiW0M3eth15VG5bw1jiNHJ2+nOEW5SvS+NoD80aa0c7k/5NvowrKmxl40Z
k7V86ELYp641X+x4qxsHOUbeqxjtu/P9UW6P6DwAaG9e0twU6nJysT2NGMkNYGk9k8DjY6aF3Mtx
KMpPLx5JGkSB+U1NjrZMJvBFp0g3SB12otAPTjwFp952ypM29dbGpG4PJ430GbhrW4AxbkBmvhWa
SlaHQPMdZNVFlqMerirIUmW2dwQQqyA1UG8BlW5PJ31nQKG8d3mM0ga53iathMzdmoD44G6GZ6PE
27bCZu48NDBv6xAc8UvXcy4n8ZznnUivabmeWRfHNf5TyGQFUwvXd6iIDDkPj6cUfM3GZrw9A9eD
zdvojxZh0XpB388IIlk1CFHbNVoRfiv26mT2WPXC25c5IT7F1Xuj3rMSgnRgX4gpgD2fE51FpM1V
szF9ep903CP5ChvDzlUC43OmmLgVFcieIkyKfeyAhGlZ4Xhspnq3EQZvP63FhQlTbGaXEADm/fbH
7PPQsYNG1cb9WCnOg9KP/mlMpHeO03JCYWjcSuluDyXj0YeGxsKAVGCux0uQcEQCyBlx0tGdV1Sc
B8zQArH3jXar2HD7YaVKkNE13eJZDBHjeijUZIYJrYx+bxZVh6phVzcfQgfNdq1t4hbK8GB+xXil
evRxY9/YVLfLyth8VJDNBpWVJcUqGTX0VIe839tYhb/qYdCcMwqy6F7p9SlQtXYjU75d1jlvpBFM
+mODYRTXc8UxZ1CsUPYYIpYEbycadshpYHSqVp/vn83fLc/rpE7OAFeuTlprc8/reqgkqBwq9v64
xzoWmcY+BU+0qwysUoH6ifZjh2bWGwulndegcke0/iOaI7tZIBqPAgx2d32SWhu909sLReoEYJWk
eb7KlihAxKNaFRgxKiqeiukgcj6BK/ps/HV/7vNVvJg6PC5zTlQoAdzEQXjiuG5pBuoKfo2CEFR3
1QX0U4YnDd9RsGkCgANMKXuPXGcjdumIbt79n7DyoSm6zKNTrEMMYt70f5xXw/HQjo1tNrWpxk+k
CM1ZrUz1AcC82HgIrQ5FPw0KDjEf5O/1UHUkyEJqrd/rk9LghZYFmuEGdY3isxR9u/H4WQmGFIt5
cAmQcPN7bzGzoONLqEiWoITUK5nb6hp8aTR1HgSUVbdrNHjrYgxPsITt53qq/Df+pG3xPde+MNxZ
OkQ2MG4YQcs5oyGoa/mAv5CmPY26wCcmpHKXpRN6hbjBonSpK/skgd9PFtO+v/91V4fnXBE8TPbz
8sFrJLUXxASOvabFJhqUGg3luIMWbUfmgF4i+HhA1i0qDwU2sYp8Md7a5hvQWJ5JQfPrcPENGgto
RztUw97v0uJbgWPhSXituevbst04sisRkouHvQwnlKrIktTia63d6FM/IJMSI6WBg/K5HwB5I3UT
onqjN6f7S7u2mwEe0bmlk6mRPF1/2QhTzNiQbK+yc4b3FgPsYTg2j1ERbiE51qLRXByZ0yWwXsud
3LQqxpEhWMdYFHp+CTIbuSWM0DAeuD+nOdQu4hE1Cu5tOK8wbJeUV5mMXeHn3HB5KexHzFHNg5cj
Q5S3zfSuMRG9Rm7LOdwf9ObDIRJAvkCaSzFUkKJdLyQs9sRIWtm4Db4O0S7rU+cpaQrjC7ai9nOk
xNVG1L35cvOAaPNpdFsgHi7jkDGaVT/mwB3iZJJnw2jea4oSnMOw1jZi0OrU5PxkkNwlcLGvp2YE
SVGWPSNh91CcixKt6BBJsV2ZqMOlRVHjfH8pb9Hr89Tm1gt9b1DcS8gluve+LkvWMkuRgGgDNfg0
0CR/EEaHz0c1yBBnlET9rLameIpbT3lWbD86o8zWvrj4xE+ZgWuQOySUZnvxWeuyrzqT/ojLf5Sv
Ey8Ve6QV4QZYLcnE/XmvfVGyeyIsPHTWepFCdJom4kmyzgUdkhSWLIrD9IWQfRRKPPx9f7CbQ8LE
AFYhGEBJiMC6SI0GjAaVyWIw6pPTlxBd389l2zhv8yBEM6C3JlAiEJ+cL/eHvQkC87BoB8Aym0FB
y09ryJq/bCLmlw7eeEQuxsMGI1eP90e5uTDmUchu59cnIOElNliELaLvFaOg0NnvvR5NJQ9biR2+
qPCQ0FZ58pokfMIoo917JuJI/2b4uXZAoku1dHFgFH8A95dbxALklk7ZYCLP142oj05Nc5lkMz00
xNiTg3TeDjt5b+P83H5ayiacmpmyAzfBWJRqq34oo8ZQO7wmp+nL0GFY5DWS0hEmxgXONrjUK7su
l+rGNX27f2kE8e/cAGYDm4ssIQNUhFIwfe08ZnDWWn1TW9VrFEvUz/cX+HcV6irEUxkSnEpggVzM
QKuuQ9KIXJCI6oAEKENm/dCrtvJGC40i3gVjFX9RK0vHUFcqX3E1yl63doAkcIjZNerByedC65Sn
DhG2d5nq5Rtbb23xIRHMjUcQqMBBr38ZyoqZiCWoHTPywmhX46G1qzqJvSoiwAHWAjgrI4O/VS67
3fEcZkGCwroTQaz53P2RAPNWJXmrcAB3HN6ou3xCxWoX11b9hY6SZlGA9aOT6IruKxLAk39E/Hmo
N+LX7T0xc+1xACBgaiCkFiFlSutCDhKnZxC95alWk+459Jvio47u23tkN16clrEJCGAO6hnkpCQx
13OeJK5XsLdat08x247DMt5jFNm6BkJiG0dqZWszoxnaAGoaQNJiajQaa1nNpvIJ17E7S8m4HpXD
fYaWzMYqrg4FVm8WIUF7d1mfUyKqnKUBmkx1gmdssFrNTek6PlpI9W8BBFfHmkucpPXw0uzFCuqd
xJi+EK2rpLpWofvVF845j+v+qDrZ+PH+oV3ZHjNHkqwW+YxbmaEgcObuMIMVJa1qSpzPEaq3OHn1
Mt1rNGv7jZW8vWvgvsEPAYZFzYHL4Hp/cAuEoqnYH3JM+ufJIwJqBZHg/rRWDvy84Xn9o6CEnMti
FKOKEQQdShSaJz0c9oEtI8ymgjKmQiUdjCsq/RAVHu6I98ddnR09KpP8RJAI2tezwy/awjqpItB4
yqx8SaH+BKcSTcb746ztEUIsDzuC2i0dU21pFlOLbN0Gb/VDjSzdKe1F4IZCbqEoVoea/5qgv0L+
twhicQH5pA/ZIQL3PJcsSXtIu+670Wb2Rkvs9lk9MxF4HEBJ4KSRsF+vngLfxoaCT7CwEV2rjDr/
kWdUKHDWjC/5pFhPRmP87Xe99i1CM+STw42ysbBrH5AkhTMBf4n4vJjtgJVQ42jcFAEWBi4is9Ox
trstUYuViwH9WQp9lIKAAIvFES/6IM1p2XYudlJzH673Lh1+qQeR20jllUCTkUJGEwuJ3VMpnC3q
x9onpckA3s2BpiCWT2dRVPiy0wlACR9voUGJyz26keDRrGGruLg6FMX4GfpNaXEptVVj0IeMY965
fRYheliO0b4zQRgMs5vOy88E2QetQGp3xLPFp4OWHIlSRXTX57n1Te3q4sOsSHsBd+pt7NSVWbE7
ALHSrkGgYcmdQcLDyJQJKKvHK2RvwGM9KIPsd2lfOxsbciVAU3sEj8ic5kt8sVV6pEu1IMGuRp24
AUK96UIX7xh0+Gs9h0QcG8Pl/jreVk15U6EgBnmeAgTFnXn3/pG2VACAO3W+VzMsuZJdmky5+aZV
+h7eZz2U363GCBt3lDQidoJuwNsylVq2D/Aqfj3EnvAPWMJq7T8bP2vlaNL9oOaGFgTvhyWdJ8Jj
RkEijOs+G8qj0ltxeWwbrDYvBI3ip2ViqeaOkRLoH+ugt17FdCAQWEyC7NmIukQ8DWYgj2KgXfiu
ARdWbKQjK4d67gBR1qXzTT6yiP0aOi+Ys0ati2ntuLcyjLV9SKwHp4xfh2WXXrimNPyqyvY4d5Vf
vvvhUVOfkrS/aCXO++iPj5ZLkxe5xYSLIAx3nWMqj6GvfVNbeKX3P8Ta5hc8ZGb0njkTq65HipBM
Vkoeaew9vGAgjtTYsCI1bE6Q5+8PtXKNz49FlhVEAYjxxVBIzwUBTA6SyaAcH4vKH0ljKxxi0Eb1
T6U+Wq5WVlskmZWNhoQZNCM+IxygZZ9JhvgooRbUudiwobmpD8kXHB2zDVLTynZhFEl+AvKS7sTy
YIe6FnUG5WJNa7EWnRr9Mahj8Y8TRfKoNEZwlHlj7UMsp5B6r42/7y/tb2G0xWttpjnNvAxIpVBp
rz9j2CHUnPa08ZrOqYyz7nmIgCEv4407j/6E53plG3kHbDcU4+AFeTNrdcv6Z2QM46/EbNWvZRaU
p7wV4RF74eDSU7L8UCtxaB38uDfqI3YzurILk6CmPtQTRg9YslkFqNJaC8+2mfQJ3j1KdkiQfs03
5nf7GiWFoC5MyRaONTWyRRE1RlK7sciMENB0PoZFd3I8C7c1XK53gaM4x9hO410/jvRGUrrQ2hzq
oOZ8TkPrbdb4F8Ns3t5f8pvdPO8oC5rFXNu5BatEmBiFFJkpJfmj+diUuRfv1NJWH33qTkfZYPlK
uclqXnqD/B5WAJueaRd0hK4/dIG1qIE/WAOI3nF4mzv10ahR15y8UR66Nq437o+b+PD74NAVYCxa
mstDm1K2KoKRaSKT55yKsuvPidfiSAL7YiPNXxuKTvDcMrXJuZetRB63EUh6j8JVI8N9Y2IUraE4
6KYcvI1VnKP31XFhVtDyaM/yAOQ/F8elzXSzDtOuITetYAbGsjH+wdPN+9R0Sb2Pci3HeiYanttx
2pLoWx2asrJNaoPoi7GoXggQNbCNez7gZAWHqNSN2UECkfih958wXfRd9PfReR6KLXjV2vqCqtV0
Erj54buIUbFSB4hkN5TsimnaNYk+oXCHJzCKxFuY5Zs8h/XVQTmh4AhmBATx9S5FsdyMTGeEKOiD
caWQOO4HJ5x2mCQm+6mz9A1Aw+p4s7Qoo80KW4vbmkokH5k2gKsiynZIoyw+lIZR4OoR1E8WPjIb
KePqeLwImST3NPHoen5kXNHQT2HLhRX3fzdt6exrrc4v6LVjpgX9byMf+L0hlxsWmAYvKvrfs+jS
9YC6kpeUw1MyoKYINfyvorQ8Bkpnaq5opfk6jayU5q8jW+4dR/Ff56rR9G/UoEUa3YkAmuyw8cxs
LJaQUt812DN/4n/q73B9wYP8fmhc22goeBIyoFrMHLHrH8vbc9DsgIMcc90fnMGOnr1wdjJAb/3z
/aFuX5nsNMSOeaADe+ChuTjJfh/SIS0UOieKqnzmzBafY2MyzrIdtW9NhW0QZodV+EgUsP42FHv6
qalVa298n7X9wKOa3UD5BRyEuJ4xiFlMU1Asd9XEm/CqDcdXRqNbn1QvDD8Xtpp8vD/ttfGAKYHe
Qylv5klejxf4IsE2A35x04r29YDbYLvDCQHrF973MYbTxRZ85iaNYp0JWPC1BRVXSp3XI5Z+XGiy
gujKO155D9IMd9rA28ii1qY1c/qoYKGLQYH9ehAHQcepl7MSuDNaD3WZvovqQccASOEBMHT6+f4q
ru3TP4ebf84fWbamVXWi2nnjdtiC74NQd9zASfDEqyPrcH+o1ZlR8Phfzs6jV26jWcO/iABz2HI4
4SRZ0QobwrJl5tDM5K+/T5/vLjQcYohjrQwJcA87VFdXvYF6KhBr7rjroVDRHZyik/mL28zPZBTq
h4p0/FtNPlf5ykwI3rnitkakGiDRIgREcHvXI6ohLr284+ngu2K8eG7X4ho92H4ZSVApvKSdI/B6
Pa9DlMSvQ25QERFdIxgWh+A+Gdyp8TAZ8dHqWuODTk3HPnlx0nxSRvwCEOMTU3IMTSzpjmQ4EcZI
Tdl90ZRhdvA/kQYbsTNGFmbU3VQeS10fcJ3Oa9uA+JJr71NMG6jH5Xr2kI69YvqDUaT/jKYeY4nS
ha2+s25bW4Q6meS5Qgm5AVi2LIxdWcyi50jLT8q5p87IVIy/lGwnam4uGF1xxkLmhGrE9YI5LgJz
pUVLCwnu+dgMhfWTAhmGSralBMC39l64W5/GSdbobBNHeAFejxeri4Gp4cJ4OsXNUumNQ+cU6dk0
w729uDUUNApAfkiaI7K/GkpDZpmiIy1eJw+TQyxG8ZzO2D60bZnsvGc30iuKCrwl0V0BwLzupA+W
Yg+4CPSHHmLKr1C38sqvzXk42KoiHlHVKo5jrVbBaPViD9S88Zm82cH8GnRLJKzyekah9mT4HUGP
x9gYmzdhdZdMWeCfamN2uh9PNoeCc+pK+KaJJsD1UA6iloYoSTaSJPp36CrjpNc9uJ123JN4lmuz
Otbg2yQGFzIo23KVWiET2C2pygUblUp1TAv0JUyrVo9v/x4EQegj0E2GjLzaIcRfTy8xgjh0Fn46
OA434zeBU9vAW7POf/6Xwbg2UcyUUqSrdZq9VrWUhOzNTpYEbuTYPuZIkr+bqlb7cn8o+b+6mT3w
kVJWGfDcmrw3LWj7pznlFc1LcMTRK++MgHN/yrLROoAn1ChNY4N8f9CNSCI5tTIfoSLBU+p6c6To
cCx1z6BgW8Lnnmsg6I1RP82hNh0GjJ13Hm5bH8mTTcLd//euuR4PM6nZcRKu7d5GTXI0+/Ejvqvm
he0Ef0idm+oBDdLy7Tk4+bCsHkr8O83J61GXyWwtCnHcN6JxIGqM7gOilvMptpLGj/p4+A9blM4J
TSiub8qCq12TAX+sElnNh0lXHoHgqZdKgZWIkW9wf/025lMyyQEBguCgeLj6Mtll6FpHabnnXDPA
m0j/ijeUrgaVqmIrBbRWSfyp080f98fdiJ0kXlLIHVUnOuurfUMwDUUjc7ypMSYJILZ8/Lqql6qA
XzQBWsM2yIpp4BRi5/12qyzDU4FnqbyGKPHw8deL2eCR7DV93x3spqs+ZnqlCyoOw/gHRhHRsS24
nJxULU5p31XAQpvuA+ZsGLSatvJ3PasN/o5p9R9qLVIlmvYfkGOuk9V81MZk9BiCAstXtfGoWEJ/
iKCR+aXXzQ92ZKnn+/N/i8qSswABSnYhHKQnV1mi0bgxNWdqA5pCmf7QKhUJUqYXiXvBsm75qM1l
a556TEcfqc9iUDsq2ZAezHpu/h3cgdzh/g+Ss76KXvweTjVwa5kirFZFE0iY6Sq/J55wSMtxqT0o
qv6dUsV/yI85WTRGuLQlAmA11XByZmotKQUDtWzi8yJ4XfqzY2DdV1tF/C71DPwa73/dRpikKymF
oaT0FfoN13vO0QqrhoyFZlo/itPQ95o/Y9iEzr+hfkSTbk9ZYXM87lDZiOHa9laPRDwf7Wh2ERNz
psr+0XVTfegUDMVxfKOnMBXxznbaWj34HXwhL2Rug9XN7XaxwLAVCbECPqRvjkjHG9R6znqn/Jeh
COa4dhA3gGStIpayOGhBCZQi08qgBYoZ5Ms0e/+YHvZXb1800mPpjKNRelmDQPH7y8dGm1uoenZ8
sdqxfMaY5Ztit1HgdbwF7g+3NYcEQhIsCfK/Qb0nUe/NLe+KwxRZvT+3k3cw4XT69rhbnttItFgq
iXAgAYJJujoCfeNZMzAeCsouWmwkzNrF5uG0E2m3NqEEW4LoAj3FDXO96bH5C+NQo+Onl7rxBxra
+kEHUOY7NW6hdHV32Y5y6dcxhPwR8gLsegw8VsUgL8G+OXc5ZcnglMQQioIJonoYX2pJsGRjf5o7
Vwn6uigP06jZfq8X7TlqHHPnZbD15ZJxCcKfpjK4vesv79xG0E3k/tbcMjuIpSz+0mun8SE52YEQ
u1L3W+uJxD1Hj4mG4LRaz4RGL7LerCcKZYDpI8SZG5zp3799g0o4Grw8GkAkfddflfC20Fx8iA9o
JZdHymH/1G4kPtagPHbmbys7kM1QaNWvwjCrcEJZsRkNZB4PtjSfTby2+B6OTfVMuaOg+JQsT16G
uz25Q/Tp/jduziSHntApUVvrXqw9ZQ4+9dRp4qHQvpZVUoPlcKedkyHX42ajAiek70V0JrW8nslu
AOVk15RodLynL/T+k++JUdbn2h2nozG2Awqiln5Ri0HFeqRPdpKvrUgjkd//P7y+OicNHn924fGR
hVHbdL4n6/3saagjmW1yuT+fmyuJDpNBsUank7RaSQ3PVV3D7hxQjoUbvBapZ/ZoFixuSnITLsaB
bltz6hAe2ZnjzTPIN5JH26Q662erkib9wvSjiopQIQC1GT/iWEVFkAzvgAdGvvMS2vxSORp4Qhm/
V1d8auFf2QxSv7OI83deXITneSgzvFOLfMqOYWsqH9Ol7z4umlvtXB2vEIb1hiKRA7BJwR4Y1Cp7
sjvY87obUV6k1YIbsTAGzV+KJfsT5IOqP/ACdTRp7oMMUdrHNvd0nuGqGsMUFF0t7EOXCtWD6AAY
0g8zr638CYPh0W+Fo2NWjj3uV0y0x8ZXwgFF2/u7ZGtD2tQgJW4Rivg6fVDgIGHxS2SJ87g/kpFr
sT+pSw7uWFJD/kOy8vtoq2g5V6lWprrck4oTnSa03mkzJ0XymCBjsleP2tqGPP/1Vx4QMnKrS3AE
99aOHtUG3OGQSXJQq1QnA1mZfK5OXlvHO0F6K7SwohqsUl6shInr0BItRVrMCk1bANLKk2E2mMyY
9jyrfh7BpDkIc87GoNf6+M80t9y/p9nE3P3+cm4FUckLIBwDmUeX+Po34DMVK3bWUBjLY/VpqRvr
k20X4/H+KLdABJ4wPOMkgBcnAqwor4fRWb00bF1IDxUCPog26uk/UTPC1FTY+YYf2uHnoixgWiFi
WQSJlse/nNAVCc2ipleoEEa0UcZpKl6UEqf7QGtrrFNGxVh6322K5Ufd111xwIa1dvy0VULLT23M
vH1d0Yr6HQ6qWnKIchRzg9HtxJuROewNeqjUOigdoeKzip2OqLOmCJnGCa2UPwY3rJHNVbNT16k7
9+3G+eNap0eM1SQF6HXRVCzCEVlNVSUTlunXorIupFihr6PuvLM3XvtFq1AlayhkZ9SeeeutNkdS
jCQyLi9/WJ5peXDqeg4PS5TXPzBtVz7QXE0dP0rzwnuAL9Rbn1A3sdnDVjTi52xBdvaXOdVeXIpg
jZ+qdY9/ctuMH9qZqcRr1/Tqw/2dJs/o+ieTESAxLttuN6qaMG2zuU0p9JpgBk7JbNVHV9HLg73o
7T9zFdcJIo2Vbe1Exa03OvJxVPNkD1/CP643eO3ktkhintqNkZvvlHa0Avob+LlXlEX6Q4PxGabn
45AhkirG4zArnm83KL1xxPV/78/BxhbhMSl1Dim88Uee+d8aWODbEXnCDv4Aw8/4mcSDftSEC961
HWZckO8PtjHhLlA2XigSO0zUvB7MVSg5aO7AXRqK8tnNOuMwtEN04slXQ1TTix+GRe37/qAbX8ig
1LiJJ2SA68Zq42CGYTYLENpR5EHV9/qD2avqAdmb/9DqcSVp8vW6pni/+j6hDuwct0FI2ByKIw6v
RjDglH4MDQog979qayrlqX6VOLsFty6uO1lFzitv0FPlBO4lP7SQls52DUQYg7X4yTHjvdxrayrl
FPJa4P0MpfF6/ZbRtSNdumG4vdAOZpp2J1PK63TI/Fzuf9/mUCR4/OE24Lq5Hiof1cTCfwrjjUKP
z9IJ/Nx59Rgg+L0H79sCANBVhZ8CHQYiwhpmniRqReef0kOZcNIyNC8O9H/iI35rRWDnUoUBb/Nj
mtRTgEx05Ktj1u6ktbfmbhYBgWIEhFhgRTc6iKZTq/UQIr+/zEUrThXL+plCRfRlaWqn8x1484Vf
ZxgtXdx2gNs4qXVd+0XX5S4Ry4meHG2i10epz34Yy4a0vEmn+cv9ZdlIe9CkIRF97eVTZb1eliEW
VU5NoDm48VTSz4mXo9EbX9pGyx9Dz4p2CvQbuwCWHAJcVPbICdbQ0kqdAa3Y1J9A5+R/1CKsYFmG
0XNdL+reBSY37+o2kLQ4dHMR+OFls0ofSfaG0JioMtRiCu2jMTt9QJMbWVZrEOVlKkU1QuoPx7Nm
zMoZsnlU+LZiKac3T7H0fyFHgPWARsXqkNXUb5xkoryiDnMcaGMNklpP5qPl9c1TVYroz/vjbc4x
eDlJwUHJeg1/qVUeCNPCo9zwehtIWVwfKHN0jwMlgTfnI7xlPIO4hU4C8WOVNFfTrOmdjTq2GeXe
BcuyHN+QWD0VorN2ZvH2q+RQDELnDGKDvdqobVFPKI7ZzaFXy+lkwQ721SHsT3m4ywW7PROU2gGB
0HXkJgWqdn0mZuHgTFRFsp64NL6KRzmWgGl8XGxd+LQFxMP9BXsthV7vVCaQh4AEvcsmj/z23+7s
uDSdig4Z30YxHx/UwbWq06DwFPcHzsgfaYn7JAbqWkYCY3XmE+oBXnlEEiVq/TgaeToYY5QPfuiU
RXasC9t4TItw+Cd1C/0UhkmXBc00ac/M3ZgFtW7E76MI2fjj/Q/ZCLzSE4iXHs946Sqz+pCwUmZb
zZTmkJnm+IsCfvFQOW32UBZwztBc7rojSpreGYUA9cFzQ/Ur5fYm2jn5W+sHJQzEDOAvJCTkv/82
nYnXwEmPM4IMMtlHJXKUk9r21nkIdf0whsWe7vlG/of0JHU9QI0Qfki6rgf0mtgwFBnVMnu2Xspp
pJpgdKlyqfPYd/P0FNsmOrBEvkMXTY4UrjtpVvlmcVaK7BwRJACl78GNHYo5G6GLLCreTJGJ4rTu
9Ocpx2FibFoydyqPl8xM98r8G5NNtgkUmwKgdLdYLXnNw2jKW6s5eI0L68ep5ufQSNp3o5eha4Q2
YL4nznJbwNHRobakKKv0PF8nLaOjllU4IRIucgUsgFDnQz7qzZHeIL5z+PMGdjKqgTPo4vP9/S1z
59U51eiZoIpO70QjLbxeZ8qBUz3WFODmGLvSuqzSFxfP4p1MaQPYzgciEyBlD2UNdzWlom+zJZy8
5qCaAlmJ0J6rB7edZ78L9az1OzVx4qMina6jmbJrmijp57FItED1svhD5w55dWrCOD4tseHuxKqt
5YaPK8vlgE5p71xPgdImWaonnK0lrfTPhgn9pRmd7OREoFwCLaTGt3OabxNjiiRoPEMOwWHEXiNo
RGirVMkYUVGRRCti0zzEnev80XlZeBAK17dFdWxn0K3P/H3Q1ZPeEtVS2GpMu73PbJoTCBJ6CpmD
aYf6H0M4GTt50e2e5txKXiRoKB6w64e9qo7pGGVDc7Bnb34AXIb3Xtgox6rJFr93pvFI0dI8R5hS
7MTsmy+lDwH9hioQtVBy89WX1okz2zT44cIoGPBcTLOJEMEwgQQcBH6W2Rk1r2g43z9IcgdfHSTe
pSREPOJgSQL/WtXVwyVO85nu2aGHXV2c9d5on60m1J5KWwv3wuLNqZWDQYGR6h7UXl8T9d+ug7nN
OpRvKl7A0aL/UfSTfvJEuafhfPNJyOvQrSYmySjI0bg+GCU0OVYwGgM7qkc7gB9TBbWRI0rTtJW3
9/B+fVlfzSDDUeGgZ0dBCFm51QzOrW4VpToPQYIP5qj5U1h6NCOXUnVOixi05Thy7VdMcDH/pEdj
tScrT83M1wXx4zgKFTZjp6Z9iMJo2b7DKbSbz7hzaNFpBCjzzxIn/Y9edUpoAWmPWhAx1l4+KFqk
hAA0o8E92nU0dY+Eg+qFD4/yQ8LFtHMwbrYn30lxkoV7faOsWyAlbLDcsfox8MKp/qRW42M0KvVz
2ufOY25ae9KvG6sodX0YSzYH6BJfr6IGjajN89xEbLX3vrmdEz1XiAx9N/Rh2Xkgbg2FJAuKIbxS
6VyvhmpHgdxM3JuBMAr3k1FoxVOnWuXFnrS9tsNNCOXKollNxQTgL1D7VULbt/Ey2T1D1X0/PSHz
6AZat8SPaY5VBLV+/ZkeqLnzfRsrB0IGyRlmErDMmtdqLHrjhFVoBEVplx8SJ3noRIkcYDPi0dp1
ewSDrW/8fbjVgShB60mtBSNYCnxULp0bqZOvLhEmVF6LaNoAzHDyW/PtMEUmF9AchTXuasDOq4Of
TK4emj1y4+M8qd8zdIO/CTUSX/KsWHZ6Bje3BEkWyjZUa7hG8ZdafWOrOWEeSYyPmBf1iJy1epp6
49/FjJNTMSk6EjBO8a9okcq/H683JpeBHUwEWUweKasNZKU5Qj6QBoOsc8RxGXXlM/5d/1a9Oryb
Ohz+7Fkrj/fH3Ng/8L04F9Iflhi3+tjRrR0qzIw5hGCgDmWbdy8FdnSou+jQwMrZdU73R9w4ka/V
bgp9lGvoaV8f/lZ0sdcvNRCqLjK/a2rXvpvN1PtZYiqx83DemlBqmHI1CeIwAK6HUnKMyovWJUut
OrUu/K6hMfHB6UoHRf6OZ4reuO77sca3+u3fyEsFEgClAd4rctZ/uwwTgQix0eta0IRhbxw7Q6Sf
yaMbx8+9otkBgW5NKJv1lfTFt649hRtH77KENkZQlqH71ajmqqKBJ6aL7Sbz5/sftnU26EzShCGg
UrRdbRdQ1hBYZ0sLHC9sSJI7bXhCg8m61Ly4dYSBZSTAfoHi7Zj3O/atMutd3cYeuSmQMdrnjL5K
ooitSyoaU0cIs1aGh5mO1cUJI7yNxRzhWAaxzvxYkBx/Lgar/7dsUUp+++cDKQaHKps2/JDrdbUM
bsmxFUZgZ4U7+LzI0ulsVrn1V541KhnlWB1jSGhBOyMXujP41ueTQeK7RbVJzsH14IY+9cDXRiOw
wrjMj2D0IuGnoS4+ZR6mjiY82Cco13aAWsZwtBVz7wW+tdFgSdCsolElL9PrH5Dh/9IoFMPwFjTK
YHA71U9qz7wo9fLmOhQxWOoTSEUiNGDWGUKsZWnseEx0McZRkMdufy5yL3sowNrvnNWtCMgQIAMB
uJBZrm4WPSq1qHBSI5hD14gOI0K+v6jfSEMd8q2nQel2LUZvh0S6h/OD2jXQQ0gT1xMZWVUdolC8
EJfG4X1PGe4IHqLwfP52+qsOjTfjmpFuQC+IZhV8PfyeVgN6UdbY7dAuQa7p6Tecg56Qo1E0P1Nn
i8zB4h1kzdNO9L0t2Lg8Ogxg/qBKwbNYq9My6WqeDojDBUkVQfyYhkl7Gk0r/Gs0c+tTHs7xcxe1
tXOY69K+ACEc4Zq5A0ART/3n/sG93brgFkkbJJWIlV4zcAd7zt0xU9Cgrhzjs+pM8c9SFeZLXYry
6/2hbo8pWSDsZnml8uxapw+6gUtJ2qRL0FcZzZBC946xV6rUC1vrsweD+6iO4OS5XZ1Li1Lg8f7w
G3uLJFRqnQCawtp+VTqIZqe0EWZeuF6bpDzg/65Hfoq/DsmZ3ojnAZmCnYW+vWbhXXKXk9tRKiJF
u97ObmraA+SGOdCkQfCQ2w3dDcU7Jrmz/NQSVPEz3flw/zNvLyLGhIhJC5qHC8/66zEVIwYJJmA3
N22SfMkL/X0buuDXPUe5aMhc+A3VtAAYwh4heGsnSQgCkYIqAmXy64GjIs9KL87UIG+06dxNevSk
5LjMZl0W7Vzsr6Hn+sIDQExccpFdYCetIYYQ7pp8tKYlMLAnxNoRrUd62+gbSO78OzbP6NMTd4JU
H6cHR4vmjwll489NMUaPSpdnL7pwosv9id9abMCcwCqBPZIBrA51OxVphWjxEiQLtrd+FrogAUTl
IBpXLFC+Zt0qH0rPSrKd629rxUmlQENQdAZ1sGpNpFUWZZL7HbR1PT57i6b/mQ1RTs3OKP6Zp0Y9
Vc6QnLSMIvD9T946UoQvChzgloDYrO49rUKABBUPFYlmvXs3tVrFt2rKV7il3WMTR+FOBNnaYsQQ
ycvAFRL+1/UWK0BJjrB6uB6ioj9NE1cefP/+XE1uFdz/NLlaqx1GrGI2ZdcMDvUqpaoKI6nQ9J2C
Ipu6D0jlmz4iNOOX+6NsLB31GvmmQiGZfHh1ZoSaZLPbpnMQ18UkkFkwnAdRqoavKVl9Gkap2N8m
Hfq3lN2VnX2zsWHJ1NAhI0fmabUuvSEsLoYW3eRgiZbaX0ohHqx61N/1Iq6eEG7v/UmbqrdHYdIJ
7naeH9RxrdUSWuizWUlSzkFUtGZQmmb8mOiJdVIH6wtcRf18f4Jvi9k4LYH/In+BxkMndnXBG0U7
65kt5gDmegZTHBmGRJvm0zJa9gdEEKsfmkm9bFaw15lUEYlj06j2OdHD7HOCzoju06MzD57gUbTz
0zZ2Mz+NaEvfhB+5xm2RyuGo0XZIOVWO/j7zlOXBGXrxCRO28mfUlOFRRU31ORub+FsNDfLvVAJY
fTjK1UkfzeRIk35+7ohFFzVDfnDn58mVWJ8Ayl4yurI7KS9cH7ZZmWt0iYcJXmrVisCoxzEPErvT
v7eqoTgnR0ma7NFWo+jvERfa6FBFpfrcRna2J8d8KzXBIlJCQg6KS03aWV3/lCJFpjyuUKK3hjZu
/YL884S8a/skPV+WI7gO43FW8/lil/N4Liqv/LtHeCc5ViaIfuEo5QsOjeY5ceriOQMJ9RXlY8Xa
2dob+Q1RkERKapvJ9Pz6VyaDcHAeV6cgDasJsfjFTJ70uSqeuCu9H5WpojlYpWXHVJaoAqndHP55
f802TjTYPOTqpfaExDdc/wJLOLka1SqHK7Hq9DGKw/xRDPHwxc5dbASGrmuHY+gs7tvvAarBDAkN
SQr+re6BtBP6gHfMFNRKX+enpgEm+CtuDKU6lTpGPJekcgr94c0fC5EBlgE0eJfWwSpC04E3y1J2
2iY1aeofkTLHlxT/DXF2s7xK/KgV4/KYRsb85soi1UTCNpUTghjH7XqWscMzJ3BlVIaarBZB28KS
8Y1M5IIOmbJc4jQ0qr1gsXEapeob7yLcYkh7Vpd8luY6zLdMC8wKQRdwI2P2bJt9/eQN808DgsMp
Vfv3k5cN5yl1KtRx1f7T/Qm/jVeUJ2Aoc8/DvUYp8/q7TSNdENzy2gDPM/0rxSILX3erUj605TLs
zPFtKx+EN0VNKXMPkZaL4nqwGImWQV04LIs+ttVTQYAqAyOPne9mD4zzpVjm2T15ZjObh8gaTe/Q
hq1iPk1dUS07ofA2FwCiBQEKCDH5LY2q69+CTsDihdgCB05KWAHqrkEHBFKwc3pvs6nrYVbJQDfW
uBy7Rg88B/6dX3hu/9TWIC/E1LTItg3m6f6Cbg3IgaVyhIIP2ryrPdWldm9NRTYEqp1XF7fSnAel
mLHz1orYDzF+utwfb2se8W6Vy0lBAWre9Ty65aCZGSEoMIYmeqmWtvysW9PelX8bhilV2OAyJfaO
5VpNI+5t3lgW/RDMlmhPbpZmtu/hXPCeTlXzfrG88L3IFOOlqiPQeINqvr//lRvHhLHJbkhQQVut
S5yUNmIT8sQQxEVbBmnWQo/u2vZlXmZxvD/UbfpI1QvBMItAROa05jhGCAHraK8NQSiou/lZnSpf
00J3HiNNywu/XZqUdFIPf/EyyPaqbrcIQ1lzozSE2jz9qpt2gFAMxYjQC0WmJsG3q2q98MkZ2+yp
VDsbrnSiNMph7nTtW1zF+SE06/7PTvR/F3FnfG6TJT9mdTwdKm1wnukRdR/vT87WPpCNVynuQQNv
TV6swEjkOiI3mKr0NRVthF0/KnYVn2elNgwfDpIDbmwYM79IDRQ7iUc7yefWficPAG1IEOOZtLqO
Q7c0w8bjF4xW1Dt+HBZgW1O33an+bh1jlA4woQXsAtZzFZ6yzp0HvY6GQFHU4Yuo1Ew/zkjHzWdv
WWAR0zbeuXo3P4zCmf3qFozcwfVBTpPWBHQBcBa0ivFVnfTwnWHzSLm/gFsHCY47Wv8EDRApq3BR
D0oJY4N4WOadeuyU0AkQyFMDUYHwevtQNF2YOwmsuUEhhIDl8X4DoKkMbnquxtELbOROj2Hk1Tu5
0tZXSaAdCDW4KDdZYo+QX54AjQxgIYC1Q2DgqMd6CgA23qvIbG0MaF7sCxABFKDWE9h1jVtbxPc5
mYwnXe3SIMyiEipdaicIJ4w7zfKtT+OOlGwiRPY4L9fbgsZGWfeKi7sGdtaHsCqaczOJKNAa6BD3
F2wj8r0KXgD4kkCgdckfKy4DyV17CDpEih7McPGkGEyKjdHQXvTI45GgmBgHjlm4c6g3XpTImRLy
gLfK+pO9SoNiHact2kB9YCpx+6XMZpQhdQMyipagWXARtad9n+JabX3VWhYEZUfKqbxCzdKPc6NM
fXZz/0M2HY1LJE1fgvtTs7EK9EqpcUonCikjcL0K1ezWLc20MTCtxEa2IP9el8ZyWSJ7J8BuRIGr
gVbL3YY84ccYX78F3MAULGEVo/cHu3+n2nf7quEJCgKLtAFHLjoS1x/Uq51AV4ttrC8LMlfD0PDy
1ZRjYyqN76ql+k5pYmtn0K3bDSYNSnY8OqmorrklOm0BYEFiCPrUjqvDoszdB6wLBIXGsdR/KnWh
lozeGUHKS3P0E1QPPpRGXX+sxQx+isjRZ2RRYfSU8uw8c2Kmr/dXemti4NnIrhsRxVwDhbNay2yz
BmGZaor9ObfAp2F/oKCO61FaSUF6TlyMO1F5a1D46tIwWKqjrGtwat/mSuqEQ+CymS9pXP3IgdMe
OzerHkKBBFkUxns3wcZVDinYgCQguwfUI653QJi2C77PCpmGF5Xf7Wr4ljV1dUbfp3xWuiF8SDQn
81tUfZ6yMPt1f5Y3ujVkxxxHnPigqeB1cj06ZOuw02x5vyJp3wZF21TvktmJPH+uZuuMdEB+KEJ1
PE2JVo8XhGPGYGzRDMHMyd3z2t6I6fINRr8GnDaPHrk8vzfQlSmPhlxjzYs2fyDETu/GSP+rc5r5
0Z5Ee77/8VtxFhw68LxXvsSaokl5MkwVMQ3BsljdvyKGIom/UW0drVFMeBbHU/IUlb31brFqb+c6
2fpUWfehpU3DiCzl+lMXQ02rIfLgW4rZO3uxWiY+rkK973lNcWzEuNM5ket4XfACoEMLlx66NH1Z
owKzoo41r2c8UtPpiHb1clHspjplltPvvBG2phVSBmVfwMv8x+oOSctlzoqOzZE4+pgcW9dCy51i
qI+7bnvhodL9woZLVQ4Yhupf7y/pxgGmTY2uGV0p8I9r11ldj6qsiBi7LxX71CudN2DoO48vLn8r
DmaZdo+TLdzj/WE3zjDgHZqeBA9ZQVitJlosuOjoTRdUUWKXl0yFNJ6aCjWEJFSmj5NjjOI86Irx
acZVNcMuydx7sWzMOmgQisC2bMpB5bjeUPZoYYOthG2gIE9x8ub8kwNF6jguen9Sa69+cCszDlou
751TtLGzwEVIs0WiPKQOWdz57dCGidN4Y5d3AWoD7o9GVcxzPus1Taqy37mU9c2PtAEuyYMDUHy1
tUp1ccNFlW5uk2P9bKoufqQzpZ+bIR8elq6Pgziy44OjJeWffZfbNqpawDQW1ZzVQ+aG8PpR8xof
hmkyghKtZISf59IB9pQa7TdRG/EZ+Kr9x4i+hhHgXTf8KEzbG5nPZXzs80TglIQFnE9RqjxkqS0u
8YwLyP3dtPmVkvFJ8Q861xqX6brxWHnt2AWNpVSflWl8zJ3Cng8NW8yntz4rMC2m5YWa6x5dRu6S
VZgAvcTTh9CEieZ6I+tl4saN03ZBp4fudyLnJ2HA1gH8CjrBivUv9790I8uiAiZdhmW8R/T8eu/0
InVj8sgusBEByA8wOHvdL8rp5/1htrYoACK+S6pj87K7HsYRbTiUsdIFqugnBB6yIol8q27nx9rV
9lQpt2IBkFp5i7nQ7XT577+dh06pUixAFl52ijl/aVyzKT8sXRiqB4QPjZeRetTsD5QWjMPM6/o4
Zla1c7ncmpBg80HbErFspEZJk1fnREEsehgMTaBxYInpgBBAqKe+V7fhs72U4F2ayGj+1I3KLF6c
eNaPdd5hACb0Tvs7q+fslwZF/e/7i7ARmslxaQeRuIN1XAco9GxykRtNg3K3Mz5LhQYUZK3uVETl
fEyaVsdKbkDt7c2jwp6W6CV4sWTZq6WP9QzngkwRwVC39lfpJGcA0w7NT2qtm7NP08R7yuK+evvH
0jcGskoBS8q+rIoIjdsM4FZjhk1dFe4SvtXPWUUD5+CpUQG3JAOqwU318PavBXNDF4k6OnxgeRB+
23uGigqSHS51MJSW99US+sRDwgxTDGqbqD6pXdmf7CnaNb3ZCBugTkiYZa8V9tDqFaOWWpO5iKYH
dcbZejG0thRIBXv5z5ka+sfUa4zMz40+v/SzWdr4RdBRkC6WQgfpHi+PxPXUCbQFkVXfwEC38bNu
sE1/qZTo1/052ggGr29H2fxmadaZkGZl8Vh7Y83LvdTVwTdzL5nfQ7T0FiiqYd/sBYStAQnjtBl5
WBNaVzczCLaaonpeByqiX0gy12P+1OR18lh0TbSHQd04ZRwu6hRyC7DlVzugn9zWjbnugzBMra9t
Y3+p6qV4cZMiCiYx1KdERHsZwMbq4zJDpvda/WbDX++6mUalmeGUEcyVEgJOzFvnkHlqHvmJLcav
whv/Qxlcut/BVOOhIEsB1yMWkWouXVc0FLLiMYM/kS7dJUYnEY5s4nmxv6C39OJA1Ssex0WYCvbF
ja7/9eadhFw4LGD63DKnXs11QvchLBohAq0AYDw7jeFDiCSOxfo0nO6PtTXHDg11HuuvKd5qE3k5
BQGOswjitBk+Rlo+f8nUoUBs33WhEdXxTiVvYx8hboa7nkXEhmivX8+wY1LqAIPCizDXxAe7HiYF
En0aT75rd+kfog7J8Nxh2CPfbGQEMAABjADegJe27vKis59aektrLAF9c4ztRA80l8fx/dncOJJw
gilf01swUGVfhedE9RLHy+o2QCq4OlSNOT+mrZMiR5+Jt08knS+aCORUcsxVOrBUc1cMRt8FXmkJ
4UcZwK6sityPzMAvOEXOCYZDdHzz93mm5ArbUqj3BrANYFrFSLTqAgjcy3s0UabHsAgVsIBaunPl
bGxMDxoLudX/rvbVVLpZ1lSmqEnh+i7+dyyK5qilqvoMBcj5WFZ68+3+p22NR7eB553MIqicX2/M
Pi+bptf4NDGZTnfkYk2XC3PsPZFS6Z8myMh78e2WEEbzAfKZJctlUi919Y1aZiX5MA8U6fS8VvzR
mcf5NFIHL1I/GbQqDUSrGl+0xFmyB22gqHuKZtGdo0El0TSFGhq+Z1aW/rOxJqeBamilv9zQauZT
UatIpEdjkxYfFs7j6CPqH76P2jL6J+7qzvP/j7qzWU4bCQLwq6RyR5EEAmkrcVUEOHayjhPH2d3s
xUWBrB/0AyNhEE+yj5J7Xmy/QdhBEsZO6bDs3GyJaU1PT0//d9CyEuI31+afYWJGESWDYt19Z4Y4
Ap8QG2tnnpPADU4kEXHmOJUqXBXVbbWgmDPLJO7lc8AVNVi1BUWzZp31GQ2YxuDh6+HdrIMk/xSz
BGed7Pxa0SVvTQTkNE6MwTygU+QHgpJQ3zqhubZsbARifdqaIua8XxDK85RkWOM0eE/xvaC6coPg
SKtw7zRQTRpYucYgDRKyQV1hrgb+DQTwq2dRwoGRog/gaKeRcplgU/MmCfX51KDy3nKZ27lYif6y
RUe9fGVGTyg6tcMBLDJeiEjkQkLmrcCiHVjco+WYMQjaNzfvzPas95cQbdoPejfDJFpwDR7evj3w
pKRJDDD6IsUqKje/3otES/fBIQalqLWw5/TAuPU8esCdRiEk/MVqx2SqHwZaU49lDC6ufbzPRMjW
LB1UYBBaEKcAVd3euVCDdLCeBdFACH8xyAnX6RvTdnypu23z7DBkSRIl7RjIZKLIfDQIjmYw5a1M
2kS9pn7QHaTevPX1ziVQ7SyIWwZtl2auOD0MrF7aDWjspWw0ikSHF7oMLdUXoToLLdJOLC2c2Wnm
dX6fh0Qx2kgdwWfVJMnRvtFdHfV8rosZ+nnQutRon3Hld4LoVp9HlkUzjzxqD8iRoTECMUUL73wa
CMRea2FaF+rU02Y2/edW7xeU+05tPVMJl+zdZElgqy0qyvXZv+DvbjLNvx1eXt3yjMNDldWLsZvJ
0LKKjtrxDAQ2S+oMrq/+TqqAvrQt6jQlfKYIhL1cmQtjiGo3+7AwhDHv93JDBHZr5fcov5K0e9ET
u1u3LskvIkUcfwNWAgwgZYTTJtCjOQq5xRbRbcshmzpNT+mVuG4NLY1IS6qurtFJ4pTIBPtOzEOH
9uzTNXUnksAnaV+lHo7ozj3qmhADH9vdxI2SwXqldtRTnzSEad9Pg+BTPFdDii22u/k37N3GzM50
usjKdHTrOtd7vt4Ppx0PfUnrZuf+emn59to3NJJ7vOnsCT21TtE9yp7DLSith9mwaqzIwzkZV3k8
G5D9RxXURA/PRJQR77CmScPhDa/zCjKQcOegCuHKr+WszgV5IbTmppy8KRbfvLtOlwSurtbv0ibH
s1WUwSf4xF4Kw8uFjiBFhbZe0UoFxUAjGQU70LNgOeSGJ0Y2FNMhghE5nXexGLTmpmp7wdoYrgng
OItp4Eg/nMQvAr5ejVe/uU7yqWAR6clr/h4nFH/3XS+r/HlyOXPiL5lwnOxiNHstf/rwavmHJxf+
WCRpcptV3yr9iPm38AejbFT6YxhnfpZ/Xjgiv3JSao4fflp8KQuRE31KSGq/TmpTPOulzUIeneiF
s/mu63zmvHk5mkR+PKDUmfDH2cvto/PJm5dYEShGIdP8cVTA2TapWa9qM29Wd2jGcAQSFhNAGZZC
yVG8xZLNyAGnCZPY3T7WVEU2TSOzTd8Q9A5WH0NG7Wv2IOzwO4e+vEBTgQuKnJldvgz/J+EmG8NK
I1x0LaWLFklVKSo+yQFD2MWFqVCtTObXcNkA6IhwAW8mWw/zXaP1GywQCiNNiig9OdjznfUbioyP
0Sh5XVCK9B8dFxrk8ZAhjeRJ0tqXRCHpb2mGEo6HLIdDGHqBErSbHZRAMISmw7gJhtuMozslEiEY
RpqjAVZDGQcZCStHGQ1wCU4gtAPzOC6KoEWgTDkkGQ7ZRTZFbo4KU5GR57LWSoEKmMEORfQUiI/K
IWR1FOMYDwnxqYgzGMFxSMLtYHONDkm3oxCcQSaLrCMkR4VvagrGVlLFEHqOizo4HMTVN15+T6HK
CPYknAubUaYIraPQcIssPSmCHd368cIUFFqIaw9Szi+IEF2d008JwY1/XyKgLEL0FKwYcAw8bcU4
OjLYSFVEBsDKSZ/B4yrtZo1OhJSqyMlEPajQgqbIQnmyX0zBPP4rkhgniziTErDrJ/GuhEl3gOet
vTJDSaL8v94VuExwC2M3xeNO8WUZtt2IDLrci/TQIfyj2O2KQKVpCkGktDMns6YYx8YguD4pXkGo
K0RL6gm6YiH6NmAWqtKWLTAoWv5wAnauT0ORNyd6zT1Gjk6iIM+aQegCQYEIykQENxWupNqBeZAU
q+39UeafekdBuMcNI1X047o/JOMkjkyWisSNgwQo7VSNTgyMk+B32eBzSwBwox3yQNAkPFr6NH9S
z/GhhK3EDko4B+qSIZPyG6EEJkKNUy7Q7ZJlIvMuSjSFOvgUJ5a5l8/FxTNU1webRt/zw8nG5OE7
6Y7d5MkX7pX8+gQ7Fg1535RelBaQYuqfFpGTkkFko3jvPLxXxDdwtj/fLrAOugTrflX3/zzzHTES
Yy/fPMi3n/lxFGEouUrcUTiKJ7uX5YPa/fNrasabh70/NPllGiaViQutrenEHxMx2fPVhdTbdPKL
H9+F8yJxX1wlUToZhZUVFKJlUyDXgsl3Zyafqm73aQrl1I9psSamZUB7OH1TQDY1dB2xKJHRXjba
FNC1Ezr1Fe2xjzQF9Jb1pLh2yqijfkaVCzYF9IeTZrdJWENdzSDaFNCPfx4BVNURmgK6Fj++xxMn
HLkV5NUV9KagzuNY8gEn24XEVVuXeJtCeutOHFGGsscG0xSKJIYqY9srrR4GtO+eeLDs1m+Pisfg
sRe4v+TE49AZiZN/AQAA//8=</cx:binary>
              </cx:geoCache>
            </cx:geography>
          </cx:layoutPr>
        </cx:series>
      </cx:plotAreaRegion>
    </cx:plotArea>
    <cx:legend pos="r" align="min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0B0004020202020204" pitchFamily="34" charset="0"/>
              <a:ea typeface="Aptos Narrow" panose="020B0004020202020204" pitchFamily="34" charset="0"/>
              <a:cs typeface="Aptos Narrow" panose="020B0004020202020204" pitchFamily="34" charset="0"/>
            </a:defRPr>
          </a:pPr>
          <a:endParaRPr lang="en-GB">
            <a:solidFill>
              <a:sysClr val="windowText" lastClr="000000">
                <a:lumMod val="65000"/>
                <a:lumOff val="35000"/>
              </a:sysClr>
            </a:solidFill>
          </a:endParaRPr>
        </a:p>
      </cx:txPr>
    </cx:legend>
  </cx:chart>
  <cx:spPr>
    <a:ln>
      <a:solidFill>
        <a:srgbClr val="156082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</cx:f>
        <cx:nf>_xlchart.v5.3</cx:nf>
      </cx:strDim>
      <cx:numDim type="colorVal">
        <cx:f>_xlchart.v5.6</cx:f>
        <cx:nf>_xlchart.v5.5</cx:n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regionMap" uniqueId="{0225033B-1951-E74F-A2AF-6BCFE36F3435}">
          <cx:dataId val="0"/>
          <cx:layoutPr>
            <cx:geography cultureLanguage="en-GB" cultureRegion="NO" attribution="Powered by Bing">
              <cx:geoCache provider="{E9337A44-BEBE-4D9F-B70C-5C5E7DAFC167}">
                <cx:binary>7HzZctxIsuWvyPR8oYp9aetqsxtAJldJ1FaqqhcYRVHYAmsElsCX3E+57/1j40mKEplkk9O6NWMj
s8kyqyoSSMTi4e7Hz3Hw7xfL3y7s5fnwbKlt4/52sfz6PPe++9svv7iL/LI+dy/q4mJoXfvFv7ho
61/aL1+Ki8tfPg/nc9FkvxCE2S8X+fngL5fn//g7PC27bE/bi3NftM2b8XIIby/daL175NqDl55d
tGPjd1/P4Em/Pn/VDvN5eP7ssvGFD+9Dd/nr8zu3PH/2y/6D7g36zMK8/PgZvsv1C40ppQgpdPXB
z5/Ztsm+XsbohaRKC61uhnx1XsPXnp7G1STOP38eLp179vW/3793Z8rff124Nr5eb9zuZvfq9dVy
frm7n//4+94vYIF7v7m15fu78dQlmGxdNEnh/FBcePzrczO66nIYP9/swPWm37nr3990yaiQGjF9
9ZH7m04QXGfyu02u7X29+TcT+o9nD5nh7sQeNsP9J9z51u01/0yW2hZNU58P1V9nKaFfCKSpRoRf
Wwr84JZ7EPaCMIwUJuxmzGsT3czkx010/wl7Jrq54fm/ChH/TzrTb5fOf2ntX+tMREhJGScPmQgi
GIPYJjEnd010M5MfN9H9J+yZ6OaGn8tE/wnRzuWju9mu/3m8E+gFUhIh/DWeIXrHizB+QajiQlFI
PrcD3c1MftxE95+wZ6KbG34uE71sh8tnbfbsbVu7z+f2Ztf+AksRyPdSYiHEQ84kX2CuwY70a97S
4mbo67D38p//fWdiP264f/2kPQPu3/hzGfL1/4loqKiSit7zMYy0wJjjbzjvtqv987+uZ/LjFrv/
hD1L3dzwc1loF8PtefMXJiyIhlQzisRNOLwLufkLCmADa3zjY3vQ+2ZCP26p+0/Ys9TNDT+XpY6a
ZmeoS38Tk/6CcAjlj2YSa0heVx/AELfgHyQuJBTi/Jutboa+DoffZvTjtnrgEXvG+nbHz2Wt90ML
trLn2c2W/QXWYi8QxDdFbjyH71uLaS4E20ta74d//vf1VH7cTA89Y89O32/5uQz1ts3O/9oAyNUL
YBS0EAqwxO5z16s4QBCsIE2pawiioTq+napuJvTj1rr/hD1b3dzwc1nq/aUFpuqvLH+BHSJII60U
ubbU3VS1K44lZ1Tz66s7Q9621M2EftxS95+wZ6mbG34uSwFv8/mv9SkhXxDFGMXsK1GxB//YC6qw
5AjvlVg3M/lxE91/wp6Jbm74uUz02tn25jT/z1PTD9Ksu0n8uGXufnvPKtfr+5nYPUAM9V9JSkD0
4lhQRr7Gtj20AEmKc8UVAU+6E9R20/hxo1yt4vvX96zydY0/k1n+M/t8Odxs0V/gKeoFZgIzBcD6
6nM3kMkXWnNJdyXS9WcPHFzN5vv2XhvuoVk9TIzvfX3POl+X+n/VOv9a2Pgm6yTn/nxzpQfd0jYe
v3ojiux99etBf2i/vl46+vzrc8BukgmQjCRXjBLMqb4lgOweecdhvtf919b4l4+4PHf+1+dQVCmi
IVVBgYwoxxzg+gxFOFxBLzgwG0ILxrDgaDds0w4+v5KxpFAAGokkBIOyAsfCtePVJfVCSaERMMRK
UAJc/TeB7qy1IWubb1v19ednzViftUXj3a/Pd8R+d33bt3lThQTQ/gxoZ0JhoO7i/C2IgHA3/g+9
kECEtjxGUbS8tLqrkr5AaJN31XQo6wIlNKTdkRx4cRT6rt0snIhty9b5jFVzd6h77uJaE7ZRY1lt
tNPLUbZSFjtlq03EM73p7Jof8UylpwjZ9g2tKNr2TR8d3LLCA0t5YCUcdEvCwNMY0K8A3m6vpCnH
WbRlweO16seN6hVNmOVu8/goGN3fMM5ht5AisGVUgDlvD2NnOk1ZqlmMwzAcrXmTHnUkNDHL1jyu
rGgOJofzo3Gdc5NFS7q1xTjEPzAJiSlBcBCAZ9a7Sd6yWr1UuCjmnMeszsZjG9WlYcjNW9sM6KPv
pvIQypHUdDaPYiuKLO4Dp8njk9idjL2Tw5UCkIY5nBu8405vzyFMo9K0hznAMbZHLNDFFBgVSad9
/YF14Qwv3Xr0+JiQw/bHhHoXqHWOpQQz7K07EBathPc81iNxx/1czfHQeXU6EKW3jw9FAEk+MJbG
ZEcySlCV765Pl40LsklZnK26A8umywatIPhKpdU2izBJbJvVn1xa8qRc6+pARdQaPI3rkVhLfBa4
G84qNemkDTqPdVnTrZ7ZuqE1SU1RD902zYchpsUaPWGaB7dJEQVBhXGgc/ZcIeBiKJloeNyNgm5Z
mi1x08nSkGZqDx/fpqtn7R0DwTTFkmihpNa7bbx1FEUkQ+cLcDu7pugdkelq0pGHkzF053OWieNK
N9NhsGP+yUk/mXHBqVGzaA67dlW/PTGbB1cOpTgU2wxjCK53Z8OpxxDC4FBi3wbjpDseVTsaZ2eZ
FMHj0fCyGGLiQncgXI62qHHjb7Wo9FFOSZegsXmNRfMG83wwj8/toalxcFgslIA4ux9pPdGq4A0Y
xTdWxBVtiJFK6c3QtfmPDAV8LIRdBvIH3U3llk2qfo3aMUw8TtOGG0WWOYlsz7djqPgTR408uCyw
vIC6GUbUkMRuj4W9RWIcYVkV0I6vl4WVm4AXsmE5ycxcYZs4NNafOkg0ZrZ+iodJF4nqhnwjQxXF
vsrcCaSmZpNbl8Zz63wss8X/Hsicvqltxz4UKvo8DP10RNZyOHZ0mD40uouMblz3hNc/tBpBEEUM
wBoBwHx3Nc7itpWzhNO8KHk4Fijdeu5eDq6ST8TwB0fSmlJMNVB8Ys9GiBBScZhBTFISNlUryrgo
SLf1dd4/YaMHIrWQACUEHDqMoAtjb1HLsNLeEQgHjWdHqa2QiTy3ySD0csyXLDqKxKyeCAw7T7sT
F4Bj0bueEMA44JB8b9BRRus6csiT7RAVh6xX4d2g9Hi4+A4cs2D0if28n5ghIQuocCAlEwya0Z7p
mqmqXOkgNzDfpqfVwNNTMoQs9rUqEnBKWxvmZZX4NEXbwKLC1GDrzeNOvhtkb9V3JrHnDd2Y5vO8
8wY5+GajFBxmnI00QSufE7m2g5EtdZu6a6KTx0d+cP2QewBkCgIVhdzLVy3inmfE8bicS/mSlNUU
Rzn7vYn4smk6ruJO5sVhWPLc9MO4xLwm0+kTc9jLBiArQPkJNaaSRCkQXeXeqaZjnsscUFAsAHCM
Zka6eusFWS/mvtC5mYZ6Psq4mj8MU9QiE1iV/iEWVVcJKWo3xt0QHDNTtuSX0E8U/uCsF30y1XSu
Nj7wJTpMZ92jBGV4vLTVNB5ZNWoYYpqbDcnyKjtya1vXcdF0EYzXlSg6lEivScqm6WPoi3IwKMX1
5xZS0MdFt/mScABrraHR2v1Rc9xMm8Yh+hFQ1RCSHE/4YzZ1WJtulVWUODWiE9j/0wXLV5bTsCZT
qZpThVZSbrqCoj/Zuk7yQPiiGxJBQj4aLeHkwbYH7A1xEVqSdVD9KeOVO+s6X3ZGsFEdeyxcvV0c
797NxFWD0WUb5qR3TR1M5rK5Pqhz0R73xLM24VEWAfpCmW+3Ngx9YaaxTy9GAXEVHC71F21KYI2c
rHkyRzMLZtR8ZLF2U3YS2mwbsoC/5KUoTwNais6MIu8nwxY5MKNkxqRp+kG/c1kE3tKGvnLG0bo6
XFbEWhOJ0b5Js262B4vW4/ECRYE8sKtIfdy0pPniSl9YE8TkQ1xb0VUmGnt3JKWlkJWgObEwNFV9
MDZK59XwhrDENXTiSVRU5cFsZZpoHBq2cWyqtyob+izmQ40XUwXXVsbyZrq4OsJfy86za1+9rpAu
2i4MRZZ/7WL89uM/Xt60Rl614X3//a4P8vtPr7vL5p0fLi/9y/Nu/87deN9uheG+jr8rJu/8cK/O
/ReV7HW75b+4+L9f5mKtoTyCRI2gC1JC8PrWXHmvzL3pqbuhQm7KxXuP+FrmIiDPoS1JM46hDxAq
3psyV75gEIwpIMNdkck5gmG/lrkCBEeNoT1DCkG5hNjxvczV0OcE+A0aC7FgUKDyf6fMBby+H5gl
PASQOabQ8gEV7y5H3oJEVEDvogPyLEYrG9RRpDoWYoz9kic6b+oPMypEPFu8pHGYZHGO83kcE0Ak
1MViGrsu4Vk9M1OvepiPctHxD5DAZRfbceiO8iFiXUxquGqmfA7EiCIU3IzN0i9J5dLik2tG1Jmu
wOAMWYNXYpZiWs/CzKUyBUAcGY+N158BuvnX4GV5Z9Qkx+aQTxJFiR8dGQ9T5cJxlKfqckBthcGf
ePRn0U/zWVcX7k83+9WapUUeoFcGXbAmYoV4NQ8tLpOswLI2S1b5V6zXY72JxmF+Kccs+zKXkbBm
7Hnzqlm6cX5FLFFbmJ4dY51TBc5PR9cms+98lUSAGJa3dRlFJzILakyi4IfXWeOUjjHKJT1rlqFn
R9NUdjZZnWjcdiA6hCQLeUZNnrMUJVov2MVTK4FxyHuS5y/TbvWvhcQGZ/CVmFsxN0Z7oSJDSJRv
m2lp32cConsyAz1Rv5lRW3/hw+Lr05pyyxLU1DgziDVtZixd6y7JbLH4hJBMD0bYARKD7ovMJhxI
GbvJZkiHRld172ObsYnG1Qg8yKeqzac2hrq3FUkl8kZ+9CxD3tRDRE57qD34kWUUAq5zodDx0i1/
9kG0YQsoLMoO6DoTKDRYg8tNtQhPNkWq1GRw5as3bBLd7hxwegkM0FwagWvZ/xGKzsm4IRlUK51c
mnKzptE6HLBULOMf8zBNh1Sx8BsZG6Hj1NZjsfF94bvWDDzvmsNIkJQeCuiEXkwaOjiqg3VOmlrX
nUtYi7o6wbVyZTzhCItXTjWUHTqme7COWJblbYr6afnQS9RlJ9mKsjau00iWLzngO3km0MhQ3PNQ
l4f9Miq8GXOA0AdpM6VlvJQlYSZqcR02RS+6dAvzIZCjMO+6lyOexHg2pWkb4oUMVX1QQaR4U/Zj
2sRRJjpvVgYp/iSjcp5jvZRNa3yfp1NMRR75wx4Nw2L6yLvBVH1XuwRmzERCHRV1HNKpWk6kR0sP
LmwrtbGFHTfUO9VvOucd+Nrc1Ae+73FnMp2hr2D+/2cNIEclfASQehCjobwDhu2xrPG9i/c2OfrA
I66zBsXQgYeg4xjwKkOEMnaTNQg0UQIjCpI6UDfQXCTgytesIeFLALAQBuYUnnz1pa/kqFAvgBUC
Wgr4CAW1jmb/TtYguxrlNprn0McpFcMEKSUBJe6xCXXoSNsPBd8MmY6OZ5r1H/0sSVJ4T45Q0wLh
5xaVWJQOcTNGcOjbHJ/lotcHWcfag9a23iAxVCcLpJNTlXFkDZSSw7s5z9CpX4vqoAD3f6L834mg
e/NmYCcEnDNQhAzI3bvJri9HNPWD4BsF0TdKxmxqf6ddOh07VedVjBzt8UG79CqPA0S2L3zuLWSM
NCu/kFqU5RPz2a8/OWGEI052rUXQ1HyPjsp8VNftpDbt0sxQj9UrJMzcx4WPUlNPoTrOyql8ohJj
gB32NwH6LnbsORwjBVzt3U3wJJujtijTzeiYy41jbO23KhLNukOupDVyKKJPuhEl3WY2pW9JleaX
kRXuQuT1/Gl2KcSljqr+S1jWvjQDjTQQd0pB4F+DTc8JBFUUR/0qerN4O3+RMzAyhjA7AENYptOb
eWLDm0KuugTwHzXGl2HOk6amDMeC1OpAFUtZG7vQ5RMXZYs2zmf4DLLs+kZWefR5RXO2Hk2slAQY
5sAhhwjexBQmnJ8B1zTxY0DJVBzectqvIPi2LHCvmORASwBm4/AqDTiSEHusHhlFoepWsg30zrJX
rYI6GruFm+Aje1TQAb1xdN36EdtNE5XnkyyrJ5iYfcAGhBIwywrkDzAiB577rvk0cEB4LPpsW3Ia
vdUzTo/7PlJnsixfp9k6daaUOcxqTvlxDgcJPXFoHxwfCDgKORt4ILkHGAFCkB5YjWhjXSNO9dD8
mQnpD2q7YwnbJTtFU4mSFiIESB2jPnjCAGI/9uzWD6wNdA5BIwQBBvru+ifSpHIpM7Xpi4W8ylCu
u60FNPk7HuHsGWDZ6WeG0qiMQZUZFwAaKz7WEePeuDTVS5wBL38GNEGRmUk4iszo2+qoIWX+BqLp
0hvRUN7FwYXsbZ/T5p3oLCoNQtX4eXZjM2/TNoOabWpyB+9fofFjvfgF4BVfhTTFLMYsziKHLMSQ
wh8U7VqRV6tq+8u1trIx2ZjL7dxWFh27chmPSQPQwoipyP/Mi6bmplXdFAxyAAFjHebiomyjIYqZ
cllpVNStk+lXqBrg/910nnFaDMniUTYlVRM18KhcL5dweMY0rlcn87hogWIPradVnAMJdFnlQ+VN
mea+N0MaFkBjeQkLH4YoZUnau+hML7rKN2mQUALzKVtjeD3OH2kERt+UFdN1LCJaXoQw48o0EQup
WbQYPqR55dpN2pMOYB0PwCvLebClmUdavYxQQfNNS+ccsLElRJvC1eC7Dg8ZMT4Q3yQoL31IVgi5
azySfprMwmg0mEyy4XSI3PomrbO+MppMURYvTSMnk9dFH2Kf9vTNOo9ebKe2my4FoJwdAGPu91aK
6tIDpi4NYHvVH9Y+a38nwGM0hs6hP2mBGrNJlkWzMqLE+RdQ0nCTlIvoSDyOiw7bCkpyZ0LN1i4B
BCbGuPSV/LiWc/d2TlmHk7JB5WFK5NzEAdcoMtzlXQozB/6mLlrUmoJVoYx523rQxdZqCYanNj+G
hAXwX4DfNkY1tcAHfTnYYRMGYMPNOHWEGsDrjTU602trSjL67IiOWEBy0tEggfGdFhl3vA4QGdMB
fh3WjJmmLuxLgKT0/SjG9UuZpvyzclbZGCkWveKiKpZEcz3lpylwRH+WvALHxvUsQjxWeSEMqTtx
0QZeoE0gkzztW11+go3UveFRYe0TwWVHg90GFuDcgFt2QqVGFHSKPa6OOewoaVSxRbTtDoAlXIwK
UQBEgJY/Ho8ku1y/P5TkBJpIFYRTAEx348iQZZXNcpRvK8hA1nSMT6dRJ/pXjw9zL2PAkiDZAkwE
8hxUgCtMcqvAVkD6r8L6bDsBpzYkbO5AdMiq9HXv6/WPgNUhlFD1ibBNvZmAh3s9YFE9ETX3Oeer
OYCZd9wGpH2+t63ACkcUJMh866es2aBsxYd1GOkrMnj3iqQ5f8qOV7u3t7uKwWhcwKiM7Y8oaR+a
jNF0w/pMfcDVaNf3PeP526qufivQ0g0bXUSlPlF9lh/WtEGZGVrV/u6n1FUG4YHiuCmlWk/gIudG
OlFzcCM8viqXAOQDLqfeGd7qvo+nFDqCE5K5qIudx/gD1jXxsVuH6KKQqmu3TbdUnQkZRcrMRcep
SYuoqUxoKnoSpTWaTNas4bVzGQN6MSW02arA0WledZMyobTMmwj1c5T0qG62ZKVraeo6nVpjpYUJ
hhqAeUxLSz+MEVkrk1s/fhRVWFLT9pGMEk5VN286NHlvpj6ryMYuGevjMnTdO5AG1/FgKbxet8AI
Y6AMQoc/da0ccrNYAmG8DKXszJrSwiWI9XiOy7KREKWyOjsZKgEcauVy0ZgOSMZXKc6WCSr/1vO4
beq13OjMzuEAfFd/HnRaMrPyZZXxmunqIiDbvLSdRuMTiIntY+5djYSBrYKACXwXqG53/Uz2fEkx
mqrtSnOQWkIzl++1ElGs1sEeu9wDaByXFebr23eWWxIPYxptx7zFQFmPUTxG+fw6mkN3CCK3PWgW
2SWha/SBy6YhFsOMVtjgwl82DQ0Htk/7V8HXEGYhQB1RyIBA8GfhiKZMnqTINSbVIryzcM+xQG2R
LGFVRg8ZjZssa+K+59g4nZGtXrE+8FwUH8oWvlEP6ZcF9MMn8By+75ycQ4yAaCc0UaBG3d2gEVpv
aDnrekvGFpAkDsLBluRT3hwXE+m0QUO6zBvERfcFLaAAJGkZ6oupnzKZMDfXZwVQNznsSasOu26H
iHOlVmHC1JDoiQC9s9Zdv+bQDQNvwcN7lho6hvfQJ/DydUHTrtuC0ozjtocaoZByPh9t8XECVQUW
id4/HkHV/UgNjQ2EQv+eZFAUXymttyJoqyIAWR20BYCgypShbdoeLlWP2k0HutZihhyU6Rh6TXi9
YVEzeUhN9RKShnhQfVwg/WDyTNr3fmxAXBazF+lr0U/iYE4XwIkQH8o+SaVVHwqoUWrgUHAPZywX
yCWK9/ZM1UuXxqmrWwdtP3o9jOalHZK6ckId1AC1x7igXZ1tlJtskZCchtOoYXKOl7zwb6o6WsYY
EjOEPsWyy2zM+EduPehvnfJ9mtAK2B9TEdudrzPCY5JnO4VAKl/1Bk25xYkqs+ZVES3+U71OGfhH
y2hhUIn9eyhVGfgFbP1bYcF2W42r2h2lDvg5rPk8HfMQ0AyONGd/jPPkWSLLuXipmZWwV65uvgx5
jkAmgdzcQTgJTQKHa+gMwFH2ecRpdFAX6WDjBhqJYsbFZEBUrF3cSju2se3HzMcAdabf16pFvcFk
Rm9yWo3DER7EmEMtbynwWb22H/w6tNXB3LioNx5D4E0ePy1XrS77J1RxJBEonlxCc9lddxrqlSo/
6XJLSyBPkyoj9A2aEHMmFX1I5LT00qz1ZA95ANczeBH8A3SJrc0BycVC4z7qyZ/eWt+dTnQg9atl
t0UG5MUGQBrwrunGiwJ9bJ1rjuQ62SMxWJabEVf9n6oCvruHMiHJSLpckr6m76D4zeYYYuuEzLwU
7k2PLRuO9ZT5lzqvQMiCRjzkzIAKvF2raI6D4l0UoyySl36w0VmtB/EZGD0gNR/frQdijwQEBN1y
wImAAL4HDBYQEGXDQrXlS9sch3WpTJnhdtMgoQ/IUGdHj4/3QPiQZPdqDqa7N0OueotuufI0WyBs
u77aQtkguk1t176OocbKTOMX/1asJIsOtLXrEwDoPq6EZlKuIYjsBBXo/Ll7KDjO5rVRvNxOJdYv
SzmAMogG9zoMJDxxAB8YCvoGQTeR0DkJiG93/dYSs7IAFZgvduugu+GAr2m/YRAmzmDzo+PHd5M+
EBlBTob+TEgRwBJSUJBuj5WSLEhQ8Ytt5Ip0Q0oMB9z7wX9qQLE8JgAnx7inUH9u5mlRl7kAuATl
jC/HWJWjgArSFnDQSsQDMtUqysN8AV5/6yy8K2LSUq1ZAvI5PdOVHQFmjbwG0YDpIT/2vh9UMkQ4
O2Ji4l8mosfBKDymS+KcHn/rOfTgGcC4q0yCZZ2PETR+fQgtUNNA7CDSn6ZOFPKJE4bv77/YKf0g
9UN3KGh6e3ijj1qd5p2vtyOwb+cgt4MUO4+HZZbRTQA+7zftWfERSsgdoBuzFMSbyn9MJag21Af8
kk55d0ImJi6RnPTnxy1Gdha5G50EJDACr30iaFIENeWuxYraYuhHnJttGVVam4r7cxbNIoYODX5S
jxE6ppXjh1AuQmVKoMtG1u17MSnof+kL9lZkCNApyNDQMwLtWhqg8aG22Bouq/YlSQd6ZOf1HTBD
1SmDRHWJoBvT9LmczhrmPoEe4N9aX48b4mj2BNK779vQZE8R19AsvKOZ9w4+RFPAdj2twbdrtF1x
3ZnWMbHhnlTxgFhxYBc2PGHuhwZVGJyAsqs2nr0AllPQ8dZJ2S0cQnkwewpKJLAIXc8jkIuG+sTL
3G8fN+L9EwZvDOyaO6Gsg3/03phpp6p6zcthOwc5lMZWnH9opC1Pmy40T2zq/fMCJSP8UQtohVKQ
zvYZazYhyyfoCNiua6c3UB5vdGu3tSo5FIu1ftVmKMRVStET1fG9NULLCgZRAyhGUIYR2/OiICBI
d8vcb4egPgBVU+ZGsYptw0T7t49v570cBEMxCIlSEGg2v/oTRLeDWKQWXEYL7rZrHqpLWjt2ALxc
/Sn10BXZy2x9qiHoobVJsBzU/kDlQoi464PQ79KpwbXgUqHt3yEQNv+AAmQ+iehIDpduJkDi2ea0
c/18AH0vIebrEt5g35THq51ABfCQN4+zYm22dRGpJ4L6Vf/snRAhwYeQ5rteAejl5fru9Go7daOs
82Gbl0V0UeJJxXaaoLUnwr8Fni8zUJEzO4EW0vJksvrMo9xeLkGBUI3aaBNU0z2R0u4dQgmqI5UQ
UgEoSCbJ3RmF3buDK1/HLbI4vBwH6BpC0Oh0NC0ze123PpwKIFw3+YLFE2fjgZGh/x/6NTlABnCE
vXIDT/1ap0XhtmnVroeWAJ+sXV8e1NmyvuS6XpJmbNZ4Lb19omXrXmABp8MYFDhoxIBzclWU3Erj
00jZsHbebeHtfvwJxLVy07DpE4noumk5AHiAk2X6BBx7cFCQqECbAlkN2P27Gw1+HgVQTdxWOUrP
+xJ4GudQm/SMAEgcGne0gCr0xKD33QFWyoEvVrt+dVDz7g46TJRkBbN+q6BsTBA0i236TpND21X+
iWj90FCQmaEPBto4Nfzr7lBNtQJVQbTbUpQLM47TOSnG6SNzMjv7d4MKCAQS8iu8RQT4dtdAczuo
0H6wNXjyvO3ySB6HefFvQPz7lJe58iZIKKseH2+3SXeddvenbSAZQJSmoA3tHVQ+LpH0wacbGs32
QqZVHss1VcIo6MtyBkknmSmIpacDVAvQGcLVu8dncD+MUnhlhgsEYBCSxX6VnJdO+zZSAOWxVQc5
xILfaLvUxxGEkjPr1h8YDkIBZtDjDq8H7W8wcD3DMuHable3spdsdcEsfVEZnsnqjxlU1s3jy7vv
GiA5gy1BLb2G8ncNukO6AMwELM81+VaMYjlGzZgm/Th2BjscnTQLFU8EvvtWhQ4tDmcV6A7QzK/w
960gUA8YLW2VQ8Idg9hm9VKbMEf/i70z27Ebx7r0E/GHRGq81XCGGB2OCIftG8KjRIqUREoiJT39
v05mN9oOFxyo+wYKVQVk2prJvdf+1jqm7KwZS0gAF78FV+UUDeomGV3zxjX/+bng8HijaIphexJH
r77MMd1y4FiTOsQd7e7JmKUlx1tW5RhkvXGl/+n25lgFAsh1F5Xu1crT2JR6SAPq4NfQ3fTQIwqw
NMmtbnX2tVeZv0mdz9/4aP6Uvi6hgxCUGHDvHETBq6POU5juZI/VIWn88DA2KBnBZEl4SSzZP+4a
M6l4T+k53tlaaWgr9yRN/FUarepWKLlg1JmoAzRYcs5oA4dTJoMvf3/v/tyBLqlwFP/BS/5v3M5v
C0kIxXzxeM9zHQzv+o0DG2DolsJI9zWwIdD6EyNVPtjsjacfYgzxx6pyQRVQBUQ52lY0za9eejx3
rM0Zr/dYa1c2xm1RESyLAGFF2omVlG3QrCF8gyfjasFYXrGBHmLqQY+xIQ3QBq0DXGed8yIrdKsI
+yIhLuVQkDutC0yAwqBIJcnuOy/seN2HLZMFj3beVhCdIcvH4aLuubdyhVAbyg/tbFlTDm6OyZGZ
aLsHKoDxFR1IvlTO0fkl2EOUbkoAra1I0Pgzp3QJit6moAh3sfCmEl3C7je1Th/ZmniM+iIS2kLl
jK9X/QiBtlogn6NBEoaKOtFZy0uMmTFw2jnFvx941XzV8SADCCt4RKct3tUN64SWFVvH4XomQO5u
eZj1W7073t67sCe4hZNJn2Mqs6SFCIQBYOEGtRwVLJApDChGTSVJ8ReUWi6Dx41JaV+6dh3zUloM
jcuxWbqh6APsy59HqKG+aOccUhmb2sxgcJCODDol3E3HbB5UXPipH7MqnYcgrOxoWl2acJm2kgfL
Nj+NevbmKITe/Ve8A4AkWBMp+aMlHuyzjgxK0KhzfdTizG3X22JAewhYpvHQ1w57s/udYAaIxutj
1qs5SNEo9IQWWvHY1mZKvKpNCErna+hs8Mnv3UbufOBDVBJ0Tq6y3mznwGMoirExtN1iE1KkdWDX
nhRbG0Oe2WVG5+t+imGe47Hor7J0e8+lcGsRhpovD2Hgg6CYXLyBKwx4v9eto9mdzTcWHrd53dbj
ugLNPvE8XTSqZwkFUjQa3Huo85FViV73Gbyf86bQcbafl35qd3xTfRzWTtjYQH4LUtvcoRsJuzvq
k7Z76Ntky+5IA85t0HNaU7W4p9yk7KHLG3GKM82AhoRQdp3I1wON4vQsjGrHcuRi3I/RZSx+k+PR
HyOF8rYMIsIXnPuyu2tDk/kJqj9jcHyaDJN6sv9IR0oeVkPUUPZK9HddrO2LAiYyFakJwJybFchY
aSKvsfHDv4bp987UV+P5/DUOPb60cEj3vWiXrB0OwDrHpR4CnfxMsqWZapZ4oyEADOlP58DmVI3Z
mpvBpjH+b9Jdets+x/WG8QCVeTW5fvR2k++jycxhNSVA54sBoaf8bs17Zotp6TTePeMo2BqV0/fr
KOSAd2cc3u3aEHgCWrrlp7GXO79q5tV6LBG9YcWM8SgthnTDSWRxa9ZbmLSa2w5jF1CRlriumOId
ND0L4CZoiemrNjLbUhhUtXOB6UPPj9mouwc2QkUq2NzrD2vXKXHEh9U+8jHGUZZELjNm+FpsxezI
ZmsvBYYfrkESSZ3MG85nyvPuxAffgA3tM1oggBBdaQfzXF/ZCbhyiXlxXsLfosKyXTmEZyFjzPnb
0Itizqbhum/BoJZC6fXDHrdJeKA0mb5wbgZWBgFGRbUcViUKfPgpfARiaK7bCNPaKmkxIT51kUbP
J83MP4DcdabI1nifKkzTbAA4YRef58TMB2LyfoRKHCV7uaYNzYoQ32NXUji8VLkOyQCPRDQSUXJP
ggGdpV7fq3UZvzqW41aSCAlVRcPazJ/mCOuQlkO+HExqnbqCTrafUXXk+v3As/YmdFigwQdQsC1u
WXl/tjPsHUVkIBrf+GU30zGLILpgut3b8EhyARYr3mbHMEgKJ1r6Pl4TPC7eJZUk00Qg5ufNdhX6
4DJBzHDppZz6Jr72moCsJfsQyaKTvdFV27Ocl6Mx8xeNketyTHLuxqMfoeeCGpciKrVfxrRc4esM
rgAHwxWBtpTuqBaHcK86Nk1J0VrWdSV6kqn/wMB4FRJT4wy8hOAfKTaEFGRy454zCIk3mcObEnS7
f8n2yHwwcKDebXrcv3jXSnUG4DF+6XSAdcXhI6qojp0+8qHtn6H/8B9pI3Dj8yldeC32OXBnsqTM
F8wm/MknJvtg2iR3p2ae8q8Zn/fpGDfcRe9zGEbj2mw0+sYJRgUV7K9xdsZWhB0BVMR+kfBWU29i
2VOocMNw0yZ08gW2vMzgtRyD904najxB+AvZXevtPJ18xvGw5pQPGLpiyNmdNFe4ycZGcXPWO6Zd
77pwyuzN6MR6lHqVY5UIR67wSqzfAOzhdkdk8P07QebQFZ2DkaaOlmj52WoMFyqLkXReRNmciqrL
0FiWyyC7tJhjtJi3rVA2rWHpm8J7TjPSneFPyL4HwZo/qY3u8xnsjKCFl6oPbpcg385edBmHtSbK
HIzcjJNiglXuiOG8b06AW8Q74rRfrxNM3fxpykJ+aCEvzTeY98bnxIUolhtP9+Badyr0qNxi0mOY
G/Zn1F2JPDc9Y08gSVVXzGzuBIrsjL2EwX4RahDVoeHNY5MqcYvUcNEvaYejx1oV0NnhfBq6fP24
eA7mx8R45eUYcFobGo7vKWTJvkQlQK6NNVZWPmWW4WPBgQvjjf1BNeFbSfgsIrzAcKYX6zJHn+J1
7fSZ2tHOJU8su6LtLNNyaCIYl3uAXPNxnZYMFH+acWj9mipAVFAjapdzXKTTeMmAmU5YdWXQr9/C
CIhXNRhHgiJrMvFjkLDi1UuCdsYws89fIY/3tlJhw+YybuGIulGYd9oiWuZ1LRgMxdgLB3Dgh2AL
RHocmVEcg5SZLe+WBXvM84K+bKzC3szXsXDZcEdj0q0nYsZUFXzmzkI/hKnr4BLMlW7V7NU1DKTx
9SY1QLSLgyx8kMNk9kPSwtWGf8/aF7bmdCuNbDFtCMyyNVdU9vNeZUmjBrztQv7oecBxnYI0AnZV
Y6eCqvDSHo3bPhYOBZo+rdFq4jMyATZxLbd14oXPJI8KNQ9weztN2qzM8CjNybA2PS4oIUSFtS6c
CpKvLj40fGlNmWHD229ts7m51s2cxjBN93KqZoKBXL3jBGtM3Rjgq5YDRHQj6y4URSAvCIlFudbM
OfqF0ARrX044DVMIkqaPTch7MHxtoxFSMCx8KrK2wfiYdD0nJYUh4h7YCJhgRsLFVdj/F1pF7Zae
ukBJW2GMGL7D1qM+JvC2A3ldo/5rSyJ9lS10agqC4IjuPHqUzSBWY4+1t9uj93Keu884cxkUHHbh
6QgPyfrJ+pE9aXy27qioMaqO5ih+6fNNmIIxb29dYoLsQJUMAWHPQfQ8KtyoWptF3oFtznZMO5Nc
lkMots80DTADjdxK29JLGogbYnETCzg6/HmE+RLYXkvDB6RVwBrY2jHlNzHWdQyj9ZBc9xisdtXQ
C+CWeQYqONPE5mUvKIyDSUK4LXoUfwPIFqzip3zpgvnk9Ubz+2kk4c2eheN0n0ZdgOV0iRpfRxGi
MKrFhtNjjOXmB9DV3JWgtXR8Zmpyz4GlYq3HDjkDiK1IbYjtJ3M3K5wL+HrwrR27NVfkeei75esO
7m6oZtUycwgjGKrLVkX7/WzGSZ0dtM25WF3APugwxlAr00vLT2yL+MNOQV9XQ0DQQ2BjNtXg2nYo
Fsk7WHKmNjclA965Fss+G4bnDL9hsfA9vR/TGXZRvFszLZTpnK02sPcnpWdyQ+JOP9KR+ble+yAA
99UZrIAjX3pWYlazfXEkBq0kufJdIdJB5AX+YPt+8x3vADShvzjBrwrbYRdP3cM8OhYdJFP2ycYY
xhUIlp9t2bZEghdvbfYdneB6hrlYz4Vo1hETe0pyLLkrC8pQDLa9m3MKT8sAD+d4HcxdTq/3Hl94
taNQ/5lbMfNyUm10M0iEAlA8HRTHCHeQEQ8Z4CMfPS8LF+ed8kbVfszYlYJH+5ThParDONoeGji5
nqdcACFP4UIENj5NVbvYAeZ2M3lTQlEg5hAbvN1PeHO65b0d6Ape2i7EVTtWIuRlCKnqHavvU86H
dS1tS6YPGHSt79cEe5/aOiwRprHh07C1LroCmqEe1s3z4H2C8mY5kMAbfgTUk9njRth0ryheNOBY
or8n+5ovYNJsf84EDAIlGRvwFxh+97qMV70fPcsBWek9VLqmYFFfgOcO0xm8IilzbvdqhPetL9Im
nt0xJJM6ZetAxZXmHtAkSWMNe5BSA8pE7FS2WLnX32FvXeFlH62mpcNKreEp8HBY6WSfebXRbH3J
OjR+RZel7B1JRItee82CW8BTy1ynNF+/oGhXsgxmtMVVis5IlVGYrh/HnMfvCEAcfWy6NHq2ADtR
QScJ+FkOAakBmaKxh+VZe1icuLwndI/rhKz9p43h+Zfj3suotGTZH/pIo0cGLLDsFXCV1hXT3ph3
IWk1WGKfLviSRp0eMh9xf4flJ8fgftrnesc0ebpbMoJCr8lMd4vKaxPVBOe+q1ZoNmGRu6F5Mpwk
zR1f1dzCr9TprZx6tcaFzGMJ5whxyyfA/Nleko7QA/bDPbkeUVvdRAPxMb4vg5PFqjpGrADFvP9U
A0Dq47bZ8c5lPNmLfKeZuGciwYsac6z0kspLq9F4MxzhxZtqlKRdVFOmYb+DGzx89GCETaWWdMkg
Xwp+mrCxPQ57T28GOmxrQbNl6OtY53x/IHlLDxJAHbxTsPQucPaRkd42C4m/7n6N4XlkMr7dzZA0
pwy7yUuQEY1YE88+b2FYJ9KNHzkZx7WCiNjdbKHC94IycfqgmFCkiND739rAsvdoOZePjqeZK+fN
IBggwqwfRBJvLji61/j+sRTkvk4Jrq7AmaY3WwZQuoYlwdxDrzZ5mRFDND7PGJrRli/KlHhSWYDB
morgH2yz/Wm0Maohs215X3NQ3R/pRDwvlz3aw7IJx7EpgBzhq0PDSnSJynkbi5QhpQTFjh6js/fZ
kIIloLsrwYpTeYJE4R5RQpCw6rZ02Oqk3Z24ScIJG59O+7zDsgjTIzDwfJM3bsjRUV7Yr/EMp2LL
KrwO2z1HfMxnadL5ELm4DUuWER/cRZMEq9RTKsAQ2imfCicJAO1VM/2SjbhVB4VhHcbNOpm/ANEy
QxFgtLFdKcYmWsUR1OyjUC75kBkN6mWNhKv9wBt8ooAro+Mk+uS7gooAy+WyDO1tOwb+dp6mFrqb
zZePEOWAkvt4Yg+99Cj8ofGb6zGxYMa1bte7gUu3PFo3i6yON2X7ImINUHIGrv2q824Jiyxxsr/O
t5wulzchkZXzfvg0RJkghUOGVFu6jqykhu+7ezLr6vDii2jMvzLbkCJhtl+Ql5D0oKm8yl7W7XIZ
OpfqS9ZANsoTvvIKSOGCRnYFs3dyQc9l1Y5xj4li1vUPW5732xUbR/6cqdBGT/0AyyUEHyB3lZxS
brH0XMCwZJT2ykaqo4c9YJqU2lJos4GzOewT2KRm1IS4ZCxlanSlbvR0L7Z94DUPcAkn0F6M3CrR
dv6Wdkx+gbcoWY+NTVBnuXGie7X1gfWVd7HbakIk+8yWeSJFSBBmUvDVGXEwHmbkCoZI+wE6XU5O
c7fZr2FPfXQ3Mm2/J3Mg72fl4HNAhYLVfaZb0B26cPVjmYrcPKT4OBViVNr8vIld0KcuFnI7IlFq
W9A6pmn+sga57E7IhlrdTSaS6dHxOYBjwPXxcpyiZZHlCFQV+06it0qhHwLFv0EdKdwOlOwahl4T
nRonmuhG7COcJFgmW4SEReumnqa2taJAPWbaixNXsmJCW5yXXesuOJ9LtyNinrq7na8MFYtUXXvO
/Tz8jLFfjUWXByHWdd0Qe5p3w8YTXzguDtXLhNvUhnt8AniSbkgXiRFqAT/HUOXdZWWjIefXiYhj
9Eeiz2+jJEpEpUUuXRkAov7JInRgFUPuT1sn+wIZg+XL8MDZut4bqewKjhaVHzKKRgTVJAg4U8WM
lX2pmLvIekwn5YaBBowRGxMAj9JLuZHToVvgBYv4twCSCbhtnUIymubE7mWWhPZOJDN0zTYU+5ce
/WBT8nWJeYFZKEqv2EKngSgYr9dD4gZ2msZOvsCQiQVKWrHe9TPUYMFznlSIXDpD5sCf8lHCM8BI
CNgoxmUak4PUGf++J9r+iARSgCoE8Ag0LH38MPF5C66EZQaXlggdfAvSfHxc9w7LUwQyE3M7CVIa
AhIJHk2GNqSKgR52Vbjs4xVv2JigzNJoZfI5TUjRO2JvpxG8LhbcyBwQO7KoMvbc4oHCV7NdpV3n
GxSzo3yArsXDo/YQfIoto/Zu6zOgD55DMZBzOJ4Si0KrUIny5AbAfE8OPhhvA0DVAr3J0nzmswch
EIbJ+J2qzV3jbcmf90hHDyjJLEItYK0/xG0j11LxodPl6CARwpwjlp+N8wQ4gwVmXaCwugQuIYAI
9oNMhwZaimdjX0ECsH3diDV6Xs3CIAtz4tGQ8skHkKuZF0e4TTJ/hQ0FNwWmpwmdCR2D45ZCJISi
OKVfcyJpUzURT9/jwINE0o1AuF6agde99Uu+nM2IulcFc9LBk5RE3/Y+wOKACqB5oGpwl/bfwBE4
xd2JLVi1GphM06z7PHmk0ZVDBIHzDDf7CLHNm1BEcL+M6AELr/vgueeOhp9hPVUzZpXbmN+2Kk0b
+I/cSOsejwwPJAHaC2eRtzpPnhR2/ulmVly5j40ivoMsgdpxPK5dLtdTp5eInrhK5dfVTqhYO7Db
Fw4C/pjDmISqLSKVbUBkEX7Wl/CCd31ptZxXhfSZvGm/Z+j3mrsxoAl9Y6z259jwwtzDacKgacMl
fPnnv0wtW9L32TYjMCUYu+6Dm4Ahx3RYzghTMOXfp2P/uO1+m3vnFAND5EMwYBqYUb46VjyHIGDC
Pj3IOc1Pg8cUBXc6PIht+bqNwXodiYmckmlFvhIsGOewG1/kAMnESzYDpEAp7XoD130u4QCbVHfF
pOvfOMs/RuM4SfihkXyGpS8A5fD7DUm7EFUr4iIOKJzaEzqOp0w68bBNTQaLVBS/gY78MbVDlkgO
HTpC6hB4puDVVFPJnvkG+9vBZ6t5n+fZzebC6GPnO30ysC++i4bFfl1SSk5/fxp/XieiRpABCNkK
gbaYlv9+nXgOSyTljhTJZYivITqh7BB2vk+75kvXY5P97w+H35SDcwEAHqbGl/vwy3smtmyjgxzD
wzyNvhhyhdADq+E1QxmMyJ2RfPv78f5EOzEBQyIYgAPgp0imen3AvA+2hOzhIQAP/S7KvbxfmkQc
Q0/WI1qi+ZCu5l0G73m9KQj1MHqATpWd/ri1ei1z6vKTDU1+anUTvfHR/QM8/P4lYDyH3yVASioF
NveaO21GEmsotsFhWmLVw4EU0uksbbB+CEYZfjQbsK4693HrK8CCc4Sav88OE6SA8Qb2vxn4FgqC
DzTFjLk2nEGaISbwyKrzAsVCgN0BQzZ8KwgRohRzRN9yDC36ZkBG07pI278Bov0BP+BuYz5PU9xv
+C9ep6PBez0jJtSHh2FJtq3ctjR9HjJ00qZvh1NHEggoRMka4i+6p2Td//1q/392BLIjEBuB2gb+
f7AsGcjv6Jcv4Y/Eod8Csf+NG/oPf/7f4AhK/wcJjxHgMUQrI+MQ6/H/CdWN/wf8O15O2NYp3Pb4
dv5vbAR+pwYRDohFxK4BgvfyZ/5fbASefQD+E0QTDEph/t/ERrxenvCTROAI8d3SBEApyKHf14u5
3ZEPa1tVU+3yH2I2CEzZQ3G9ypYf0JMP9S936d2/396vZv3LcvDrF/nv8UDxgRhC6FrMfj/e6kDg
00SrWkxjc2Dp8i3bWQ7mweTQcqJ4Khrot0W7qfitffGy7b06NIw2eMT4bjDyDV/hYNtKmyRsBlWz
aNUnlJIYhE/tdk3Q1z39/Srp5e/641gJoC+EBmLjf43u6FAh8isUqg796m/CBukywqB7xF6wDUWY
W3PCzErWbN/FbQIHegqyvP80Nao7hWx3V5zk0AwnRBKusBaet2xGI0wIJrPeIg4CCUzdUzgjjuzv
Jx7+h+cDYC5AxnOOpJx/krF+3T/mNuEjZiuqXvdBfBWdjSGKG8IeMKre7vyI1c1KkO+YakXgLshQ
rsse3Eg30+OaYR4oYjs9g6LM6h2OnIpt4WVaLsyx50a9UUP8x9sMIyPO9x808x/f0S+7HQlj7k0X
dzVbBe+OWLjDh/QyVb2o4S/IUMXQmXfbiEQLDwYDRajgO1pFpT/vxApekDHfk5JvPLQ1RjIp+jDn
xLugFWN2SmNk5ha+3/0HyO02RnBdSuzx73f8zxsOJDLAKO+CeSIo+FV9sCZQ3wyPBFQCtAr1xcFy
SjfTX0J8lzIwvtHVxMbtAN2Gv3H/XiUgYsnD+oEtCusMWCYUjZeT++X+9UFKUCZ0GLZzixjqHpOL
Fi6Qe5tGsPwQC63CxsuDazb1fYOl7QwaGS/AjEEWXFfIynxjdUA5/MeHgzOCCwk5OglWy9dejHBn
E/fQ82vpswAuUUaX95cGFpk1WubViEgYZCeIJm4LjidqSgLvtjz10bihMXHCNaUO0fIVSzShF+YT
dbdOziYpiAPOUA4UibuF2sFy4L/DCK63JHseYfmfsXmH4CS6rb1EeaFH/pLCmDYdErqEuoKqDOVY
sAUAFHLJOo5aASBDlTSZfwYlb+77tlW+yIGGwY8Hg89SNISSJ5V3EOvafpWmRHYXh7qwtOQLANl5
KMZ2Q0M1rTsoI7t1IG7GwCIFp+/a+ccA5eU9PNfyJ1wBECS9aZrmcchS/iVBzsAL3H/bcQt7DLI2
wdNSTWqB+oEsh0fkOXakXtdxQ+M9hRHa9bZbVvgw2pYVEgFscBhN3jY3IzihB83zEfEPfMEYfILW
gcyuKUmrwYKzPO4unX7kIkSSDLJEgpfekgxhaNEGy/TAfXbFDUNsBOxQCOBIQ+i7V8EwjPoaUoh5
WZXx3+CigLU57dQldQHg1pmNWDqLEXjJDrMfwyyVrkP03YYIsiu7qF/9EX+HVvd6nBGcAosr/pJI
z2C3cB2uCGy8v/NTnvpDmA/xfQhp9ws8OAGIV6wIiH6M1QSdOZG6rSK9wuuHhnk5oPMBooXnGsXV
Kr27cZHZxzJMGyNK5rR8pJqSH3//xP/ceLBExUgwAbYOn93rOL+0c20IZ2hbI4CueezdtJzt4oNb
AsHsjQ/oz+2c4jAxAPkU/4sS4vcPGqF4Cl0Btlc8E3ffQ1uv0sAM0LszeQ65i09/v7Q3jvd6T2Xe
zNJT7HOiAa1ZCmLv8myGlOHDITgnrH35748XwcyWI1Qdv1GB2ue3BWuPMNsN5NbVsm8RY4rM2vse
dj8Ye3dQKxtTh78f75+/8PeNHKFM4KkRQR8xRBy/alMXuHokQuBUnTsDuG5OpMLugNiSY+rb3YJd
kNFYp3s03nFh/SNkRXBtiPGGw3hOxpcF8taRe+rAbJKQyEMfMNZWhmH7L7TnQzVuSp5j+HmHN1Z3
etk6Xp87WgVQeLD/XurM328WlgOZRRlpgc9ZkHGDbdRz68d2vseusshCcAyfSo4f2Jtr3wztT1hc
5rQiVmOe43IFFbuhbfoxkMgBqGaMINuSmiH9bNXIwJkiKvIRZtX2c0An87D2O0fuVNdrRPsr7Z71
nkUppHeI5wWKbgxnwPwhbXKkc76+Ubf8cal4JyB4ZAku6LKhvfKSIiHZmZFZW2MGMFb9pu39nLDm
EEXBtSIzAkWSBrlWf385/nj5cVDU57DNYh8F6H/557/snhsypjYzjBNgznY6weTqnrGv9SckPH3o
jUCAyd+P98/X9NsDvbz5FG6sCGaNCD/s8PsBF480xjHccZXIlLtd4LAoyRo3x0jaqDbARiuZT5jz
t3auGtgfygD2nw9/P4n/dKfRzODHe2CXhMvg1UuFOosZyCy2Bocvql6Ird5GC1P9NrG6S6KLKp+0
+o1L/6NKQiYbJk1IuMJ9vsDXv195KPclDbN1woRqYud+H/YKYT7inKDfrts0GY6bnb7AjBO80XD/
h3g6jLigC8PshBAORLz+fmRglLRfwH3VLfq4TzSCMr8PPn22ADAO0RC9dICnEQgEZu8J1QYSK+kE
TAjhRrd/v/GvW38sPoDR0EsgugUL0uvKCASTTmPkQNWXgdBB9gA7kWScHzFZCc4EY4Ya+QrLRTCN
DjN17fnvh/9zJbwcHzFAuP/4yQLk4P5+IyxAXBiHxVRbK8KHgKrgmwvaAO2Ajiv4e90RGUrp2VIJ
jrMPs5/g+2SVSKvT0iMG/ybxo7224ZadEHGw3WGB0bfodbKqM3h/BLXB8tZbQ3FOv38wOOckgIWR
AtRH0/H7OQ8khTWvBcU7Wx8HVTsJ/PZLw6lF9DNUsv7awp0L64jRS1MxSSSQhN32STGrMc5r30pk
K8SQI2k5aISYlCkAmesA8IS6ygxjXW2nFGBhGnmeYJlNMCsGeR+OR6swOCwo2dsfu5pkcgU3o7zH
1GH7TKLJXpZdSuocMa+4g80ldcKsAZbIbhDRfjMtu/xEFozREYyTOof58jQ9dxTm1kJGQM2Q5CuS
+3ZR/GnDeXxkbEV6GKIR2w8BwLIRmvzuQlRSF8RvbQJzngYgF0eQFe3HcCDx3Q4OaKvCNeOnHPPD
Dh04Cie4zHoGpNCoYf3Obd8B/0W3frT4hwzZVAO4NugDKxy2MeZTFVAu8oCM9H2vbD6JY6qECcto
QvNySMDClVywzZyDHGtxKKZVnxn2kecOTEKJJJfksU/jLS4uVIYAQo0gqoNjs6FHpKWnp4Z0QVZy
JGj93HJrYdpHJPryxjb5R3WG9xpiAAKdsbggPuXyDv2yio8IGKNIHxpqSzZ3srjFgM7lforHaH6j
Ogv/WS1evZCwreQoXYKLZyp4pUEg/S6SCL7XQHVk1527Yaa8ciTqP6msD8PCTZOA28GT9CuqHM7q
ZRXrJ+T2MfqIga3aDgLBd99kPK3AsvALdkE57M7+DOkME0zUjz3Q0hGUcglDx/zchdLik4TdJ8EP
7wQrvfGAauKSWDkOldpTwPkzApcrm2xJVMlgDxB2M3f9o1QBA4ZiiPAFjAJ5WyF8ZH3OYV4AaGcT
Yc5tiHW4sGOCiJc1TpiueCtBVRmwTFgQ07E9O8z5ltIFZgToO+A3Mwq0UdlQTTqd9xrQkw6L2LZQ
Q1A75fdr35nvQIL2tewoYDWkOAX+IURQSlpByW6a0oO2Q7p1vpDHAWtMUGNsPNwICnNBsRjYUK9S
uFPnkinXQ5rAm/q/7J1Zj9xYtp3/inGfzTaHw8kw/MAhhpyVmRpSL4SklDiPh/Ov98es6wtlhKBA
+9nVQKHR1aVgMMhzzt57rW+hcEX+8zVXeio+OHQ1U/4yGSyGf5Z9cGuARbt87qx71jczDre20OhX
SZMgv0EXOMFJoP2NHcKG1xcNJTvturYMc/F3VIe0tGIw3WWvvaYNvCIvbnt1uhfxaFBg9KrS+X0R
cxKGKaz5y2xmwKIsN6+8XIGYCXaTUZe5xPHtCHrm89RTgvMnMyq7QxGBFl5YMK69ZjSWNNTXmIio
JW4bzQOQYGs+SW39C106MR5lbKQ/pZ63ztOcR/28T5Zs03Or+Bw8uN+Ic1arU8wr9G+RC0Ga69p1
iYxyTLMy0h8NR77yCsj8HonE9KGIbXiZ0IqxEfSZu1KWofDZySydxqCeuxjcUN9B+nG1OP80G9hV
97B8GpORL04hCIOV8AGYSiqvSACF0nPaEOjvLaADrqlkq7eoi8z2MirHxI+aJaIQ5i9zj4BhyfZE
4wDsgjg75EzERfcrzmTm7FDkt52Pi8f8liI1nG+ZbFFaRomx3sWRvT7KVlW/dNkCsFuMkD+8SXfT
L6ZSZ3FgzlI+Iz1wc5SeAxclmcWzwuT2cpc6uJesSgyxh4GwnAEljPFrbI+Z6/G3bZriDCgCMUX3
9Qc6dV3xwWAir5PSMzrf0x4wYJBB8/oypIN5oaF4fura+tIusUWYnqAbnGy+i97PKjezDNcKp6VT
J6u/tSwOFVpqP+5n/UuRGeuF7XP7Q08WKxLmtvAqFivCeU4WK7OVUTO2cx0qTuniJWvMMKe/unPE
rH9K2snc//2I8Ycvyec5aByAhMBDPj3eDmIeqpiVuKridd9YSIVTa4GNncn+aEejRUlFdNXfP/S8
B0ZhBGWfFjiecrr021X9tv5jSetUg45WqPQKen1OYNOvRbSFGdj5pOQ4c6r8amlW1jojxR0QzAnD
pIMDGLI9kBtnfZG5YPb+98v6073nnI97GKwXcK+Tq5IYkKrFShH7IG771K4g0txkcQMG+WvYMde+
8ID9YRdkpkTWExk4grHxyb3P5Qga1xZASABvPbYtPZpldtwbDQ3IhTv+h6/mbJPYrc/Mif4UvmiQ
0lFhx2DwplnT4wQZ5rhE1asj0uQDVIPp0qa7XfrJY7z1Q5iwYDrg7Hry1WKcagsS5CG0kMIeXBGZ
R4dz310Xy/UwK21+l7n5EPIStLtRi4tj4oopqKM5ufDF3+zep1fCIJgBxzaRBNz1/lFLm8SejCGD
G9eo4O+RHmKVtlne+ReCiAokHIH5hAW1467vM42OLPh/o9DaJ9bFyZ86/gE11rTT81S/rStr2WGz
60Ilbb7Df4kfqNGZBdoOzpSlg/ois5fW1lDcFNUy3//9ET3v1ZKew9yIlEjM0JBCTtaHAdycSUTL
GCIpLj4x1La9vGc22SOx8+QUjzeiSRHioeOYXto6URGzJ81et/MucIexP+RD1F+6x2eTFy6KW7uh
SrnVeKff3+PI4lRZ2Zt4EGlcvq+nYQEnBIPR2JWxoS4h6lQQcm2+tE+JJgcrGNNMU0ONkIaPg7G+
BejoBh2asrmb5gXSb5OqV2smJtsDEla0HsPd8TNMz+gJFfZ64UXcru/kGcEEQdGi8XqYNIPeX3+d
xggdN/lu7c729aAuddjT1r5Wm6oJs0VWV+ualxfeke3BO/1QBCMb45VSl/CR9x+qxE7ZOQi+Q9vB
sKGbVfepbhBRXVjUzpQp1LDkmWC8YYlxUcKc1GNIATOL7aYPOdqIygeShK9ZU0z9nhEMNh1c03eg
sojwbPRX4Sruy7woykOFC45Ai7bpd00+CF7Vmrw2oxTZN7hG6U2EQ+T/4WeALUDTmu3IsWHzv9sV
3JKi33RQB7Rut+zFpGrX3QoqlvEMTCG5vmqcFC5UIucVPqUqQm7QtDSWII68/8wlJnc3LvjMtMI+
l3H77mDutH7nNuOOlrV1xL+WflrqKgmLJDIuMXjOF8oNkMbahC6HT3dOXp2ssKyhVFcW5jmFbijQ
TO6TZK2HgBucPGiJw9QDcJkORKo3MbzMItHuWjSpX5V80H7+28uLBcNmG5kLmMBc0fvbkQ9LGaHQ
mMKxt5RDg4GHDChWG15m3avAMLCwODM6Juw+VaWOt5hk8gBFOHOKeVUe+eW+//2SzmI2GfFvO4nK
IYyuMiCT95fkumMnF8WcwkEzpBaivc57knQq93pxLfI9YdtyMY5EZE1PoOs+tOuylKjAHfEBdwKp
gnofjxHji657ISwF/1CmNcoczKXWvaAMjRPPGvPumKdDMR3GLk9zivgE1crfv8kfujkWzDNIkwZg
PHaWkzdxRLmcxmML+haFdpDUqzyoeYtYtJIpRTm61xRIcphQKR5zwP/huCqMpomz+BwrC6basS3J
DVAhYs5IUY66On23ZVNepYnahOqICvbCFevc2/drlKVv3GKERixRiNve3/sGlV6flMDjTYqKPZKF
xOsr2EpDZs57Z6q5dk2pr0TNgL0GRr+z80XDsKuy2oxZd2F9+MO7ugX3aSQV0gpFtPr+amg5ZnNf
o063khEg9piBXoFhM2DQKm2QL77stJXwpLgwJ68SM7NDrHyRcmEPfps/nN4VBCt0FDi7GdopvHE1
nYK+qT6GFqAO51ZWa5bcNDPgRd9VKl0NmWASMxgjrXiI6JK/NAr+pDtgFCPOrLR0r9yqr9BWJ4aB
Dn3bLr0c/fQaFtrqsA0u7Yx1RaMy9/gD3c6fmTjokHtNDEnTZu06Ym5RvlVGlvYwGFpKhRnPCgGa
UU1yBDowJCVl7jBvHRN+i3kYNW8hB+g6norBhCbR1RROcRsf9NWW0a6aUDv4LPnZsSuqjG53okYu
kIVklVesBfKb08/Np26zAsdAB/KPoN7zY8v5j6n0Qr3i6LAN9wuiHAgpVuX6Khq9r39/Hs8PzNA/
bIZ6nC3ZMI3tn/9WNoxLT/NuFCwF1pLeVIJCs6glj75eV7u/f9SZxo5lhxIF2SiSDIMt6eSzJnfd
OKXRFHZOlWXX5NNCAh2t3vmhJlP2qTEAYECGFHoXJrRtyjsNrit9hLgYCM6cSFW41rSucvCgdK16
rKxBJs88n+SE/P1Kz4/2yJUQqIFI2wBEp236KjWHVkq9D4c1VV7MJKqCGbPL92mUnw3LviR2NN9K
wvePP7URNZsD25NC9RTFhxiGfnNKo64wRKGH+HmdpfFnSWsAaw2j+eiAeLnHZ1e6Y/OzTFcXXfuK
k8C+SlR9vhHttJjwxAZXbUmL6OlMhirk2OznFi0QdwGpfVEZRnBPPruKpeIs0yLcR5FV3o363PeH
jgiz2uNhWPC9sUY6tRKTPOGW4KoNfAZNHd2LxWybz21cl9FXqJ89emgxGaV7xEdpEOSVdMVXUNy+
QERdbmpqFpfSw0mNxFrd1NbVnFe0RzYNdqm+ybE3Zfa8abSdN7k2qcZIt603GTeRZfYjYRuIu6PI
sr/zViH57pK4U/cJFau8TfAoBXRXo+lKfxOLm2/CcWtd5g34kuNCokmEd5XBR/UmJqwC901+nmPX
xeP9jy59eBOpY7mOc0/ftOvtm4y9fJO0I6tE3t4kaFG1rpeCrir692hCCW9smnjmrs3roEI5oX/m
xF+1N/n8jJCePjySegz6yOvtN6m9QaAIfOdNgI9Zsfq+bqr86k2gP7+J9eWgZh+cNwk/XbjNVjR2
SPvzN5k/qSHtTq6RsLxy8wHg5cASkLzZAxROuZavb64BxGoYCLo3M0HK8v2EbBeLQT2Ok/CWN+uB
FHPz5L4ZEnJLZ11FRyD5sxmHhqw0W+4b33rwyDJN86M5kjmvaY1cAeQUZk2YHPb3XSc6s9njvrBR
V8/l8mSMaGGINVG7dg++T/nkFkBPQYW3rrZPdeyyR9qXGIVz5nkPTk2kRdjra42QIY2WyW8Rkdl7
aCW9iqBMwyBGc36or4a1yhsUWHOr7WK3mmkKOwVhdXPX8Mus9qw+DslsfxvaRMtAYW9Gl4q4jSKY
1b4ibWWFCByMmu5+UTn8ans1kcWPSousKaxJ/jP8pFSt/UhOG9DsbM6e4lZptSeCL6qRtpsssJp0
rSH3em8vYEMGo6LxWdEs3pX0AbOwxfZHLobochI166iprmQ3AZyKOnPudk6TChVYNNvsbUT7/n41
lgEfLpajX5W0i5uiRbKyx0HOCTW3ZivMHFxmYHFKpGZ1jmuJ52ZzU3YTg7m5MAClNAMR7NvRXkGE
otWkoAJ8aG6hCbCGAnKAzYBpJg8i+AbL3mly5qm5M06+jixu8ZAvjnU4Yo4DdxQrMGDGsv/WMQoi
RMap+iZMKh1ZnjboTYntpJlfxqnDcuvMRrFXgNsyKWlLkR7clIbmlYgqCtNC29w2RTPH6Ikwsx5N
uvwIUuwJ8oqsI8mbXCfx4BtGVAkvq3WrJpAdqQEDo8TVr1yAEaBzjRVVslJNhUoTYWju2jzdNDnE
NDsEstTNC07mbPFoGhaWp9mYXJmV1/VjWVa97WN3LVYSeW1M6oo0CeJ209XYNdDyukAtSj0lAJsU
Waw2bVMSXRA5WIzIZL52XSWHrj7G6U0tp7VDIqYX7l7MW8tfxkjfD3j21I+1Xqo/OQaPAzk8i9U8
GALBv4/2oQT8X2g5j6ESzUg5MJw3IT1tuRMattWdTv7XsiduBZv1mJvqHdlTJUkDc9XR59U7DdAP
zWtox3XCz2SLVjmC/4CPJSbSFr3BEMlTDlKR9sQQEfCAWXS4Bvg5JXv0UajaVg07jhezktjHmYgj
hVhg0dOu76qi86dlGTltyFximI4H/gcIRo1vrMtwtZR2lu6wKE8WB6Aq6jzc8NPRJcDc9hW07i1Y
q3V9HHPGyzDIya47FOTjaMd0jk2ae9l0Na2AT/3aIeAIYdkwUesQu4wDCGO3BRNBaz6iFmk/kYex
Mr+ZehgJo0OGSRCl0gaGIKesvVLI4nzq5kYzwyjOlQUqgCabB2HAV/8JJirpfMdOB2pp5PJzUKB4
w0Iz5ikG43iqv6cCNjrn6H7+ErtSxy9tqNExKrPY9uSSC7IbtFkyNgQ1yGMgdLn5x2uqGywA/N9H
vOpPPZlPWKUNuRoeDUAVB3vrurvUSUwb+oQlEXERMJL6BTTLJw5+6VdnHcvveWuYD5x/EnhnVXxE
smLvCsHu7aVdBclili7vVeksz5U1px2fVpRI8XlrHLmDZtHrIPrB2ft4pPvcw8tjzV7i9u51tXQz
OKiEavJol2xURHk2zXc6hlglV8cuftSMzUk1QryqhVqpjev1kuewqR3OyTBw9TYwIzx9R0zggwyL
eBiUgFQh60pHkTTsxgQbm1+xWGD4AwdbclVmpfpFLdbuvl6KTc/ZFRo5Ug3LZFuMQ3sYh5odwOms
6mGwCqFiUdI7HHQSsCCT4bnPrqxmLdbDwE7heJLMAesJ7a1uh8lSD9qDbJGt4niGjXCHbJeVdGkV
qC26BGPrNXlUENHEcJFlgCQbDy4L8SQ4Ro1PSPBwSJZ9FnefsqZrnldYiupDIVByZcvmj8QLaZA3
5PbyOa66CGvwpFlJwA/BOWaiaXm7Sif6VcbZ0AdwNki0Lt++5qo6hJvS3Krkhzg1DFQKzZp9XtBn
tl5eMjja1j9nIaxCi35laZoZ8GLX5jjP2EUP0oRpg8oo0jjudIr9RcCy4BmN2Bf8OZ9EtdNKwe4I
jdD+xgyC8srBlf9s1XP6qi5JhmcskirMFttKrqOutcugUQDK7XK2CbQlMhzyod5N3VL+dJqiW0Na
Idl0k8AtvBFyERjDDadtw8lIltGnCT4sh7ShD6dpMv5VKpIkwtlISEvMnFJ9xLqeDH7ftG3Mb9Sa
HAudCJaOqfXYHaGuz34VRYTMFMgtf1DW9889IW4T3ynTrMBhpj0wABeKzgi9iqevjS3rJ8xv9DH0
lTnTbhaLvrdqop8Cwi56DIGQRxbgw1o3giFs3T6F9LUm6Y0sbH32spyMisCIcVl7LZybGwBzVYbK
eTZ/tfY45TvSvtuPPXop5AQdYfel1TB8Zu9DRw3vINZvVtp/aAfRcK9Xg8YR08OuPNj7tpMgp0j4
UOywEZYyfR3GShU+Ffag0pFeNab0VbMyrVSi4t6RlT7T9i1mXJmoGsYP1qRYVtB1YN+vslnh+NLl
nbi1IgyEITrSPgnWOXPVkHW0Ub3EMXsraJHuhkSwgXroExKMNvDPclM5UiNXbDNyEafWNssW72dZ
UO+W4pMyYsaC+jBw51kOIKTMOvB7lkubZWTNRuODWWtdfMhKCg6vtggI8V2aO8GAcGzYGS662hGU
x8IJobWmnet29j2HpPrFMUegZKJQGuyeMs8OPZXEdKhbPjhc8iK/00Q9Ys9sm+aeQCP7l7XyfhPw
YTvVjqpA3HfYil6QANamRzkFl4OMHR1nrRlh4CeSLWqQsHf1bWnPW2ZSmqfq1umvh+9oWFhjGrdK
OdE4UNluuyJZyT0SWVVMX4j9qFROBdgziyeS4Jb+uU2TaLhthrZd97jj2+FjtIpYLKSDjDJW8a3q
9nVezAoIw7+Xg2/l12l5RssGa5iKaIve4kmR3EJU7CvkDl0WMVsjK3cuH6c4pcnQ03L+BiFp/TLk
NDg9a22hpNiFWhtXUMYJAE65C3taQsKF2VSzcc+THDl25CbsksGGKLEdfW5rwINw5Veje24G69mG
n/VqkhUVH0fM9g8AsCAb/v17ndf+22CB7g96UBRw1kk9LmnwxRA7thWhta/cFUieQybANXnGyoWP
+oP+jE4j44yt04Rq5Kzl2DG1NO1yA1wn481KOfFZQfS0Y3lO9jYwxKeejz5MjAt2dC9jisk0+WgB
r7/wY/5hUIqcDK/AZmlhSOic/Jh25OoljYc1VIpV9S1F2HccSexnUizcZ6bTxrFLGjskqIemYN+q
2XHsJvu7Wps0yGQ5zxcEcWcpVqaBigZTlbnFEEFiPenGJrWhjaDFViRKCWPDjhzIH0OsqnedXPP8
1iwpJncFE7FvQs7gchLG+C8Zpv4XCpTs2dRyme/ZugjhILLyocl17quZm4RjzFTZiZcNDQKHoksl
h06btwmD9aDdK8yBM/ZaGUceuAPOiMtamsA5akEyuRUN5g+h9M6XGozYEDRkIK5XeNjnx3hRjdEr
O5KjHGtoGqyDU/bCV7ilJw8okDBqiFjgnUYP4UucH8nETj7+/dk9n9px17hh+G4NOif0/d6/k0up
JQJWBndtSswPRqy7e5T2zbFbkI1psSoeVTBFhzmpB39Ia2Pf00K7L2anfeknJd45I22QC0/51m1+
t05wTQKPpoGmdRM6nHSjSYmKmDsLNZz1iYitGYUeHcAirpSgG8z8Y5NYWeyPSCMmz0jm5cvf78nZ
+8zHo5nXELSKLT/15MnOY6IOklwyBCwK6m7HnJ+zKiP3x2Ea/PePOn+L0CK69N4FD+7WLj9pY5sC
iGdSceqQ5E+FKVrBq8XCKBVvh8F5FNWX2OL5aHJ12qcJQTCLYCK0uPhG3CSKL4xL3zQcJ3de4EvQ
6RHTxWb+9/5pSFOVsVrcaKGJ1CPzMWDUG9WtaG/qSKucgL6TUgWKE5mHIgUFR9+qQqhTkWybQJRx
zdxjZqTOLLbxdC3UZV0ChF56RvKAiEYPsLp4Urh8h+wuIHzwi7NoV9rYA4KeMd4SOvWkN/7a1839
qi/mV6oUwSFEa+NfpFflABhjJ44DvSvlpVfhrF3JGyBAmKv4jBAXv5nhfuvhmpPWGEMEz9Z1hgnX
iqJpr7NhJ90dLS10bm5Z1/EuMu31+1gBMbrtY4MxvOIY8M11J1a+d+0CnlR2IoaQh2hwptEf+VSM
6DX+/uD84RXZTGKYQplA0bk+WeyGBoTsYmxqsbd4PvJl181E6TgzV5Vltx3ZXxSX4wDB19HXKL3w
ip47A7lZOMQsjTtlC9yi75+UabbphLa9HhpKqv+M6NncLUuKdyqemIGtpvVRmWR5RJreBM3gRlTb
aKEcIlW9dpH2nTbYxr6FmvmURC6cztHKXwSeJN/sEXL//Wadd8y5WEwidITJXeexPrlbjhHXmaPy
WButmz7W1bgcIyNeWhZzowjELOa9XWXugTlefWVT73kmAc5BTKt9v9LQ991x1QPO2s1Vyq74dOHy
tnt18tbRQeDF40jEoncKBdDAaHLvFjXMcQMpVw3EW7o9bA4Nh3oj+kE4IoxGYebrYaxgy2EpwBXj
qUMjaw+td//AEinxjNJJUv0OVfIl6/z544buiDnnRoHHC22frMg53hC0JJBpHSgxlR8LGV0DQMxf
TNoVfqvqyy8rj9NHNS6tS5L7MwmHQcMFlcB2gwxk/SeCnak2gT3O8MA6Yu5ocqdkiKNXhCno1t+t
JQdus0DCyUhcJHYxWneQI9b/dLr/mP9n/LN++OfH+N2o/Ifnna0IlzUSLAJp+Ov9896hfBtTWhvh
mKCD0ueRZJna0ffKCPcy6jTjXnFUhUUind1bVUvSH4O7llj6EDh5Jj3Xr0ZJ9BCRjJ2PR8+Ee+2M
YZYOanItsOFc2MP+sLFsRiVu2SaTZhp4Mr1v86GBR2SKkO7REGhTHocy4uWzrDo/SOalBbyCxP6J
Dbe7qSeA6RSFSuU38PmDaLCa5MKKtb1j7x9yDWMMY3JcxJo4P/yv7mSQNGuGM2rMq6gsh2MCQ/Zg
6cXjMKh0A4tOuW5GSGRJjTD+woJ1vrhvAhrTwKpibXvuqXyg1tGezyUf7wyQ1EAX0TAq4tslLV8x
UzT/nEb/PxnhP1ybEnSrcf7H//5f/7w+ZzQEvGOvxbfq9T/+28+K/PRlAyL817/2DwRBc/6lYZUy
ObLjYuHsyR/4nxQE7V8oKlC34moBkkKF8V8YBMv9Fyohfj5Gitv2s9FF/i8GQfyL9xKdDKURo0No
J/8OBuHsWVWZLSJ+3FKTOAy97Se/nQRQjckaotca6HOu/rAUrXnosq7/nHSJEyo6jXlPcTA944Bp
r1sQ2hekP2cbAt+afsQ2ySSiWdjbP//t81fDXlS9W62ArkKFHVmz9olOtNBvP8of1rS3+eu7V5KP
oZzk50S7gtr1ZI1wq4HpWRIDbYzK4TPgP+XJXBQ6lCmTYlYyU382+smOWeB7ZvBJ2YsnMjclvdZW
lqOHhq+HFt9yrA0MSS3ocV6ssQQNevxDfbtNHPiWPihmhpz0LTrI0WWVRoxC1FK7TZdixZq2dPWm
LyjUV7ddi8izAYY/55yl6GIg8sCPqyPE9GuVgCl66XP6Wdg0Omy3oLIcDYDAd3Mmh1eVkAaSXad6
kIGZ1tq3jCPmszskuvBrmeXxNUkP0xM/4tiGbZKqnzDa0LfrtbqCh2rV0mXIOuU6RmGzBLow2fmT
QcWITj2atlCxUnXLhxpfablfnTyxDyu7puW7Sa5dddLOhd8CTC7CcsyNFaRrER8XzA50Bpqpu1OW
OJFhxuivgL/Xx8L/7xWNYZiVncVApRUPVZ6Cmirbqb7O1xnQVdYn3LJUzfBOqZCl5393VURhBggH
GfkmLgSK9P5BG9ETGlqqbPrGGncJ/HTPMrs2aEWV+ynw6guP3HmRvtGWsOsCv+K5o7x7/4GJU6Ou
z1FFFWtT9UGV1YXNVHcek9Akh+BexjS+wn4VyqM79gTQxowjEqwEEYM7pjZp4rWMSQSW+CX7gt40
+W6sMfW3ag3TdEDoov3KEYyQt9kuxQ5veoM9vBn1xxHyz/ZTMbuocinxPyAXODKv44Q+wcCOYYtn
NXb8gpiAXZThVykAEuIPsde58AwXL5RnYJb6JEfZEKxRuoSptG3fXcGczirftJeBHPEiTr+uFfjv
C/vn2QbGnSO7Cr0qf0eZp7+/c+6i1U5p2lpQTshxICfHADJnZadjN6Eh7WoX+ilvyaQnqwMLKmEQ
aJNR3Z2eIDSQhGYBajyIqq7fp3M7H8paQRVkGrWvuM10l9QW6EQinj4XcZaHisBH0xiuEvSN/VAA
z+T4T1OUNKg1YDrTbqok40B6iQxiJqSbAa++YwdwEEw17hem+Hwxu+t3dTpmQYPKfc/QXEfGtPWx
U3ytd8RagFuapyXEQpx4do1JbaBRso/yKL6lQlNBevFJNDqqC+/KeftySyzeMudMWmxbgfz+F4gr
2yGAPjKCsqqdLJCxTK9LRpClB88dD4nsl+ihSDG8hlvsACnmICmcMM3B64WloOcVVAyDiG+OAIsz
p+9hCNf1EAsvbhLYhlUrB+lReg/XViwc4PTAqHvPNTr9vkxnFYmbQ1fLXzKlsMK/bwbbi/f+17Yp
5dB6buJKm3Lp/ZezpKg00WFzaPjqt32kVmFuDhVgnOpSe+f8bMptJC5Qp9bG18Gx7P1n5VxGhwFS
CXRFVYCX5/MaeVAajfuiy5JnE8EkL7syT69mYjRf2zVNr1ejMcLeqBhr5fxdu7Djblvd+6+PmZjd
HgE7e657qhOvx9VpO0OJQ7tlZBFL3fTWVtnWYkcvGTELht0NlMALN/18o0eqt6VqYX+AYXCaDtxX
MWZTu09CMS5d4SfqUH+lCkIvmvVNc0eGA3hkNQNtiJLVcQgAyTfYRp64Hb1GU6B56DDTDfoA1zFz
5KoRS1/Yi9e59Whjm4vNe4JdMiB61DaaNzB/iG5IktQxO+lwZghIN+LPuLpYQlFAZdeowwrDcyJi
aXymiuP94OQjuF7JlniFNC/9bCascV5Tr7RabWhvKk2cdGCldhUiE2bHEJ84n1U1QkAFAmYKOsXi
62BdPGTLkB4IJBJzSDhUc4xjDShrRuQVaT0D+2Zj9oyz22XdSxdFNf2isf4aJ0q5J7LA5J1hE9xd
+A1Of3nafJACAKwwTKZVfrKuRjMVLIBMN2BAbh0aO22vuUL1UVXa+sIKct5s5bOQ11JLcxfYb08+
y+oltok5VgLMt/KjAoPkkIm4/La4s4HEKlIxU/XxV3uK7rQVDHtTDusudsz2dlzSnOiCWlwAIZ5D
BLikrbIWOLs4C54i5FZbzGNsWVGwjRzRTBNj6gOnTCCqzs0NvIoMRU275Rzp268+NuLBkm574c78
Cd3EbaFvT9vVcbk975eEjGc+V5oygvFtRK/NWPVF0MtSzYJCFWRLVU5afqyMsr+nFVIMQWEqA45X
xqz+AGTF9cF9z5BE3dG2gnggNwg1KjqvZdB5axta9B+BBqwc0Bo1+zhWjDgvPEfnTSbeIJwmHG9M
2gP4Td5/hZpCaEOKwcnpIzSBKWE/pW9BUpr4aYlRQg7e2BNoPluMgehTghi03jQq4txXGO35rO51
pzEPUsRKuaPjb6AccWGFXLhQe7uX79Y6AAaIGWgL4CdRzzZ20cRL2jWjTfQENpKAnlNqe0gnFwWz
cDTdA75Pdc/iIX4wRYXBdlQn5XoaHFGwaRl5t58zBxZoMikpg4/ElTdzNsrMM1GBI5GUTkZ8pgYk
3ccG2dwVy+ZinohG+0lnvecpUoi9DNCsmQRlcWIbQxXzcuFJt6mGjwbO4jkYhiR5tlSct4ywXDm+
MCeck9sUu+wuSs0sv4tQBD4Pstd/AF0vfrnNhh9oOT9t43edpvGAmF0nRN4tVo+AixxJLt70+0Vz
16dIH+eflcGF3ZpxwnlytBUyIibyPWKvjDlReE1nkFvLo9M9iLyPXtbMHh9lRgqRX63meMDGT9mw
RnH5kjaK9Zobs/ypmUSsICEAqEuw2FB8QyPX0FuRFUA7OzawQgHgLMx93zuL5RlgtJU9dlUUNmku
Hi0xDJfCY88OjpQggO4wUDoGUlxr24N+KyZjmtS82o0SsPrJW4Adik+ujwWcX1bHxZr0C+/yn1a5
rSuNqGOzaTCpfP+B5GBkVbqUZMUQcPcEEea1nyItpGfd7zAt6jvQ2OZhbXvpA8Cbn8gNNXbUAfKH
2dvDLtFQUv59jT+r57kFm3ESIAx34Sx4FaihyBTszgG1nNgVTYkkrRrNow5NDxyy+4qxK3nUJHS7
Fvz3hRtydrbg0y2mPPDVYNMZb/frtx/AqdbSzVGBoL0uUz/TcLxDxFh/EPS0F1q8HGmhT5fW9fPj
O5/KDIPkTv7Dfzk5rZqdorgsJAoqKLcffV2MZJr4Q9UmxBqsBQdNDqRAx4kfnMaDlpUWEmNVdM9j
VpZEBcyRbe1BvivXucMO7fU1RsagtJwZSfSaimclGfIs0GFGfKoM/Ro6Bdk4Fao7eTDXiFUPPBOL
ggEFIIGrTPaTJ5TEOnCDUx2MA534vM1gROuZWyk+KiApPLdQyeI16atUQavnq+mhRpXPxOmpuUcO
hXOPzFJ+rFtH/MRtU37oOTI+SBrUKoLLzEVDm82Ftm+6OvoAk7phKq6s6yuDNgXCtznld2JQku+A
XJcs1PKZIAMSMzlqTH2BJHaKMvxMQAyLW21SRbpz0rwdfOgNDilCqwLhX0MtjYR7aub9OCXT146Y
LGWzn6lfwZ/RPSU1paeExj3xHeT+kHrz0jmPy1LNqJ9ktm5M9mZ4XKWWt0iH6vaxztMeS3Ur06+N
JWrQAFkDdW4wrPTWnkHfeVaWG61nN6l5X8uB0RwWhrUL4pn2mkcUOhi6ckGuii9bIUat7S2kfO2I
x8O3BqO4cequw7Nv2sqXNEqT15YJc+5v3r871EDNF+qsiZxMte5/quNcopCENHDoItX8peVOUvm0
68qHJemtj81Quw+dGNonqdjTp8XFGumJPppIo0uQ87KMT8LxJp2ATL9slPjzounoYbNRcXNfMt+J
vYLGA10kMm8+4ykiTTvt6R77vbsq0jfSymHias05wpxGuRXYCApPWznCBSl2zT1ECze/siCKqIes
LrP73DbBq4ik0o7CqevaM/Ote2R1/Kt7SAqV2P99QfnDmspiwsHCBOHMZOlkTS3HAtlJmvNKM7v5
BCsgv3MmBe99N7Z7GguXYnjPqjOMJZQnG23HoXd9VosTmmPXpnSDmuBVH61MdVVhJqKZZikXjgd/
OsewUXASAxhFt/7URKGnOAFqc6MrFqL+jCVhDufCNW8rvBvHCZJCmCEHCUwGQselYvSZ4EEudhS/
3a41y+8cKOUH0k7TcEUhcsHh9Ie1lPhubjmDDbzbzskhy6iFuQJdcgNHnxeXQYY2/R/OzqTHUazb
or8Iib6Z2rgJO/qMbCInKCOzkr6/cIFf/xYxeWVs2apvUipVSQFcw23O2XvtaaOnSsuBEQ5bsNGg
Thjka41hv7r+m1+6NDVSg4KIgTDQW/TAXASbueEBwYzGND+QH9ptW6qWd0Pd48LNx3ofKcNNHsGF
zRq+f3rxSIxMRAmLxVRpWmkRfRn4TOUka5CL+JiLusZ0il6S+aBbw6ygxZQgboa3Fnr9s03L7OBV
QExy+r9rDUHgjdXlwnrK288YcF/c21LIxYFOa8qUtMyQrt1vrN4Siqpg32U1tCjLydvnhDl8gXSE
tG2QX67/EMBnz3ew1OfVT5e5e45a09Uxj9OJVKiSzNUYQ8mk/grTDvQSHpRm3PcetALftpCM+B5M
IzwnEb71lzqW3b1gqoFTYpaUF9KxdNaj3pW/JuqV7TqyVcXbuipzpRxsDbsN3798T8eJTNdM6kaM
h2+KnsldST6Krse71lDRecBvRDkjdkX4I2bnXWI3D8G/lLTJm23p1fYPCnrTHFM0sLxINSEYOmGr
+gBQEHV0iHvje+kJOnU0Hz2D/AGBMF9WKEZmo2B47J0en7QN7k5SmA/EQasNtOFtByL4YMtEJUhE
K9FZo2+LAMJZzm8Q9qLxCWETCmlyn8zTGX9KoQwSavFJRVWxkodrB3sFpTQn6JI9ayUU1VjtzWiF
WSNh5Z48148RkTbrzKu7V4yBkFiNmYvpyDH5QvEfWKb8BGeO9IjvXQcbjC9baaZbcjq7LcorgJu9
Tsy933yCOL3KA8oZcfzHAjuzOi1rsp76T4BnS8vlORwMVE9T7oL4zEpH/uZXcB5pPdhINkUFPVRA
avnluVNUQyUkY/UOvX5rr0UAz2ub6+WEOssr03qjipAaCq0L1wL3GkM9tcK6/0leeF7sWidOWe6V
adyiq+FgEytotojF9lid2DUSyGoaOKk0tTBfeqOZMBhLZfioFTXREb/QrSDXKXp1ECGudD68bTBa
4iD04gGIRfNRmYqHKjrAIashBg43bmqU5S52OyfeZ6Nq1Yd8NJnIWTOlb5du+RfqCb6H2G2DjToi
6De0LieDDiiONkQs9lYzb2Qb4jL4FSdzfIcwR6Znz+q/6w1h/0I/hDgA0T3spqr71Td1+zQvgb+1
CaHoOqkVJoXYHmgseHXZdHs9ruHyExVgkkaodKipjYoEvs0wIrMlqHM0fDNoMMT1UBwQd9Djmda1
jVF/TQKrbEkyjXqLDJuieOO+stLXY/rLa40oN+NOU4UZH5uEmtoWhlZ4a3d9aS6gocuuHqO8Y55V
ZQmHHtxxrqmYhkedPnIsAD0oOkoMuWvFopzn1PbwouYEVK14a9wbh4sLazMUAw3+IQgTRCaLdcEB
YyCUNoXSS/DnwepL7SFEUkvhK7phMp3/0unBnT09NHqWnxm04c1D8a+DhKhEGzoDa29eKM3Xopft
nSCaY6PFMvyjWFOzsyoLZBrogBtr3/kzIlEDNIQmzoMxv5SdomVGjtc5WHzdYLpjfhx3Qgzly+QS
n3x9dr/wkHBZ2H/QzEW4YCwWvBFjlFr3lFH0SS0fAHUOvg54jusZ6ZNDGBI/YmR3P0h0eb9+5fNN
HQ+J5wZ1AtVpuh6nw0uSVCcxKjj+2CcRUYAB6UBdOT5akUkPiQ90c/16lwYVqRkpMEi5KMUsrpdH
JfxhJXf8jowwlgNjekZOY7y0uHNvDOr53gVbHmRxaDMUnImpP320MfGaLHMV28c7QzWtFtpIyhDt
T7gZ0LXAhZXRLi3bW5vJC4+IWdFFKYZQzUFVd3rdJG5CmHOq63ukUD2qZcuWPjLdbxPv6I1T9idx
cvF1cNAF2ocyepaYL75DnLmh2pnC8xu+Qyo+tGaHx2qMVR+4TAihLcrEPw6A3niHlwjFUMPJl0xi
oNX4axD4rt2pgtCGfbovob2NEcV0zSUzNEWh+es///ZUO5GLzyoIKrCLT5kQaqZM0N2waBIJtAxp
VwGZ1jc9vEHXL3XhtwdcArILUQO717OsocQSCKLMwHca6H26MqZ+WnYEGtZSIZsLWAD/Qxg3ZowL
hWVcXxSWMWRzTiL54PSnHw07m0YS032DUn+4y12dYneG3pjzsWIO69BVyju6Xxorii7UF0KFLDw0
zpDdeDEuPT8HNVfnKDw75hdnNcVJcm0gadonCpLEd00arwX1kncjJ1gB6nf8kNM3ebk+6J9v9uJt
pE1owBxCkwK+bPE2NtT6MKuVLqeoquZF4uPaVIUTbgu44vto8HCFVuYwkUpKj9TXTJ471iP1W6OF
3cGTWL2v39GFYaD4zLoxA9Xmfzn9ParQMuthtng2XgJEyFaTvyXGj4IyUMjLgGxzFwsM8Tcue2kg
6PezPqJGY6++FJmkrkt+jkF/f6J5vvMcDrFONeh7AIpltDXMSkHDqtsvVjaG5LImUwPO0K7tL7ma
kpeetLdiDs7nJA626Gs05Hyc4qzFXKhxYfaRUbyBW4eyWM/dx8FNfwV4it+uD7k+j+npS0CPk3eP
rgBfO4ij0zFHxeYQpYf0Dn+Y3OIw17ap0bvPwk2MR9xFLwGc5GPfk/2eYVXcE8FGzKJaF3uzpMMX
Jbq2L2R07IQeNjD7q5FgYth0rhJrLxos0LXbjdF9NIbVcSzV8fv1+z9/ZVgPkYfAUkD8eKYOmao+
I5ouhhgOLgLGSj5tvWqGfPbJ9KQJdgKxNUU3pqsL87huetpsK4FApwGAOh00N+5HWk+oCLR+NC0q
gqn+EKvZVPtVIQcVx7hWm2vDTDVjm6Wj7rxZYdj+0VWInw9B3xLf1niScx1mePJ6UQM4P1zNiPMd
fpXQ210fo3N0jsaiOkf5sCmDnbNErtDiDsOu5NAF+CjZuKgxnuljGBtzpP00jS61NJAq014vqJzo
mtTwzpaTsYsCS+wsZr1Vj/3kmXU7e2f7pj5IRucohXzSRec+05G41eueJ7zFW8kdU0ZxaXyCWFx8
AOC43NQlwnXDj5dvm0Lp/4ELNN14ec53U+gE6XGi4mPbYSzJZYi86WVOQbQpwwlKWiY1BZwqicOO
0wmFCYeD1/Wf4ux15TIaZRKMWOym4ESdvjiOF0ubXk/K8ZewybnlDCdrij4KozK2iRtPT/DZLPXG
VZfPiRiHihwtVOpCcylkMdGTCu5GQtVGf2wU76DIMdyNmRMQP1ijVrM4PF1/yuX09Xk94CZ0G7kg
q8vpU2ZEe0C080a/b3XvgaEf7uZIdYIbO21z/VLa8k2Zd+AWshCN3rjOGr54U9ieDsBR2CWF0tKe
IuKKdw52JCar+MXGwL2NvQBINaTOTU+R+whbFwWFO6p71UqdQ5jk/Ddc6Tfu63zIuS0kzcBl8C2h
V1kMASFCFfwK6buJMjyQVaDui6os7qQB0zpSiTu9Pg7nQ85BhHmccwECrDOsTA6BmMBvR/oN/oFt
RrjkygqQ6ztq8+P6lc40Roy4NjdnaShQ9aO6vHi0qPFq+jYjEiqXvcBAsWA2ylIKqYMnLELDplQr
dwXXo3lSGu83qQxYBRLi9AZK4ztHcm+Bwa0Gqv1uR6PzZAnqHJZT10fL60NCOJz01amocqVGFFC1
9jz6BzdV+xfeHB3zFBtxdp0zgvH0OXKMzmqrEaTX4vks5lZQtDZkMf69Pl5niwXjpVucLlgyUOYz
/Z5ep2o9Q6QaDfW8VvtDLcC3S6PFn99a6hpoVPmkdan+JwbWtyceKgROWZScYifrXpiT+sUSxvhW
V2DnDatjE5yPzq2z14W3B2DnfHfQDUxMKKe3aHoBbLXUlT6HwPQen4rYq42lHgaY2nc3hmN+3H9P
7fNwIOnlCIRHYfYrnF6rTYiLl60mwaTYAQwXYe2dIBW+2gwNgn+rFk+NlfztDUkhsHfqY2k0gw9N
Bu/ZeDMMcuncmO+GaZg9EG3IWWp8ejcRNvtRnZC9WRTNClRKGrLJYFIOJHgTQy40PDWQrHek+riP
7dSEz+EE1u/6mMwXWQ4Ju07O9S5yU/Q1pzfRJlYW6ZRG/ZSZ7n7UjWFbxHYK8WPK16agrgYaiepR
ppDngubx7X+4PB8zMxaKt7MPmtDgIEqZrWAgpFaPkQ0jYdpXYu0m0IRwPDXreELLYslqWpWKc8sx
fOntI/gGpy7AMOxti7dP2Baiq4EfGaVr9VGRm7zDuQ9zo6u7G06dC9Py3JuyyS9jz8hwn450qHUu
mg45+AD/vQ1GV7mniE49qkYG5kX6LbjrpUebj1ZUwmhw20tFLEz6MjUdXq+694Y3mwsgCzLEEUJr
eePRlluL+U2eVbD4QlEtO8vpTHRqPgZxOvjMdXa2d1JRkOHlRtE6VDOxM2Sks/oY7f76y3Phspif
ZicmfgTTsxbvrgMYqyKikCpFbbhHwtkBuZR03KjsT1+EpcV4M93/GhrFs7Kv4IzIis/ufwlkxoPs
YDYOKUeHIGz8VJJPXsHoSlCp1uFh6obgxuh+7gUX3yiFCdwOc/GN3dtiohiRWxIBPfY+hCez/Ba6
AsDXEBTeHGBS2yXk/yHFa+IB+5/a9i72ek2jVx8LFA1dPn4w9la7tbLEBD0Gcz/epHold+1Y6W/U
Z7tgm6pF+0gnQYzgylBdbGUX9X+gZHQ/QfxQLxIJFjd0zYpa7QrLFHdJH9HtV7RQCSi6h727satw
EIeE8LUHxifMSDfUzRuy6wsfEfcKKwbajMWMtBgKclsbKtodsKUAuJhaykMoleqefHKH9G4UI9ff
sAvfEH4+SLI0NSmaLXV3Wgz0IctAtPRRhwJbOMQz1qN8N3SgN//9Uoj7qMTg75nLXqfTQztTfoha
MGeWsvuFrIf8KFSr2EMIKP9cv9SF74bjPY80w0wpl8+D/K9COTzDabA7LlV13XAUVuj6mpiiQ5LF
EoKUq9/rXmveeL5Lu2WMDVRYGEq6EeZiL0LWmuGysTModipTvdIlUrcytaPHoFF+qYEFaEd1qg1+
Bv09Rxz70rFd9snQSGmc5s3HmIyN35qVurk+GhdeqZP7Wgy8MekNoPpP3bpdvMROfCfqgn1sI5U7
RUCLuX65S4M/G0rYMGNiQiZ4Ovjx4CIs7kxOJG2mrtnzZfdAVcTaU6fgWKth/TVL8+n5+kXnU89i
BsGoxYkIpDs9Cnfx2bSag4NjILoE7bC6aeNa3Q6d8Xcyo3ibDwqBPamT/6WNMd4oV1x4Wi7MisCR
k891eZi2kixw+6DV/FQ49WZC9fLWh8bfsqNRPwggzXDdixs/6MWH5WpINNDtMmGejrB0K0dLnPma
4JizleOq0aZoM/HQJSCt2NL1hxYSFTA319leH+cL84X3SWfAI0BA6dk41yLywDNpPi+3+a6pon0c
zcT7KEwjvyEyOKussBBRMnPm35W1gfTP08dUMsIYyOtW2U90aQ1so6oPhnDKTdSU4Wpw7HivDGRk
DmavNjSFprHfBN5gvyVNBfC2Vksn2aVape3QZiFetvqxeJ4EMWlkoTQ7NbfStaz6/yo2nG8bZz4i
EYTlsz7o9LYJ9h2lwV7Xb/Rap0NKF6JpcbZksVl+cEBJ3hrMBu8T2/d95uXNjcX00i/EZ0Bpcz4F
sBs7vXzj6LhqEZIAwQ7c7wb8Ywp2MeYd243HG5vbs+Lu57POyzYIbHovyykv5cwphtHiTZQWDFrg
Ty9FVUOpAPmI5ce19nRW1AOxXnindK26b+OQ4FA8YvomgPf7eP3tvHQcxGiK3ts0qQ8w858+PHP+
lNSNqftaaneHSbrjy0QQPTI7Zo31CENkr+fEs2RADe7dMI0fu2KqPgShPq95YNhvugMJrTdTdlvQ
QldFW96qw58hfOYxo1iIk94EFH3Wi7MM1nfZ1gZaCKV6coRLGFMLHHVnEmPzK0sblaAk4CstpnE/
asYC51+irF1T1n9vDNeF4yJTJbp79lw2Y7Z4VQ3oy0NpSxxNIKP0VdM48hUxblgjcsTX36WOsk8p
2a9NbHvHvmxtn+oIdGmpf5i4t2/Ma5deXRfUPX1mDkyAfE5/vZStdaPgm6CDZxR+7wp1hbHN3CvV
ZP0P8xg6fYxODqvF2VkF0GESOR4/Qk4gnJ9FbrfLId3e5RXlrRujPN/2cm3iGsihqYbM++rTx9LD
QgtzB7CdJ6vxmbQh+wW+CZtqqBR7hCndXRtbvZ+0o4ZooUqOOrvLIyLcZqfA5Nt0TpR/vX5P83dw
ekvYjvhiLVZLWmJnRzWrrAJr5qc5pAo/d5Q4N7h/YXXzX4dfVQD8+/oFz5fJTwG6A/WLkaCQdjoG
Xpii8uzbyc80PflR1/qxyma3aaqOFnIGeOi1NQ43VpAzVwmCSewtFlMMMwJ1qMVcOOhqlvRpPyIb
DVUA56NOTFWmkZ1sWsGvqil+hbB1N2oIIK9tzWAdmcWIZ4O9IU6phyJWbTg3yrBrRhCSIDjtvcjp
16ag1nYDsrGDjCfzxqt51jmd71pj44QBHEUJGszTsertMXMlbiQC2JLIRxhY8RF2Pw13bHakTH+B
AKJsQKubD8Rf4iHQk/rGwM1XWLweEIBYJNhheCy8i18LWlpvJA29KDIHo82Q6x7o3ELdVNCo3zxi
zzaqjJsVewxnj4o8uDEPXLw8SyhNOpNN5DLHHT9AAeczm/wo65EJo70zfHrI5LiBq4NHqpq7BME+
7F+9qe/73mtuPP+Ft5WuPJMDNUzyHZYqUzcx7b7X50BEL2/3fWY3G6NTvE2cwf7RYq/epbpzo2N8
vqmjCWXNOnLeWNwC8///15lFMSJt6BD1+U0bx1/B6z63gVu+Mv0qe01Cy2wovPguW/cb89P5rOvy
QTINzMoeTvyLC4d5lhY42FU/a7RhJwY9PGIvnbapSMMbe5MLWzquxSvNS0vHDHHx6UO2oiMJ0xom
3yDCsiDxOFHhDLu5X0/k13WC0gLvk1xldu34iS4BSZkcIlwrmnb8DL/rtsge+iBJMRTI8ODVRHdG
lvdjKPXB7ws3uTE2FxbrWaGB1tWG78cGZzGDEFGZlNTwJt+O1PgVR0DlU2OjI2qzEUUi6AbbuoSQ
4MC+O/a1yA4jeTl3hQe4dHV9Cr2w2frsCFBZo6mMlGNeZ/71hiRlGqbJICe/rSp5jxGpvRvBwG5M
zaCw2AMnc1sj/wO0Xd12PVqHYSyYtdpoVsBAzbl+O5feV6ZU5AQ6pQpW7dO70UraxkHdqRQ2dfE4
tFq5ZiTsPRxnHfp4Lg5QwtpNLDniX7/ypRd27t6jEUNWAP3q9Mo5gBLpxBWLV5h324EEiTV74W5X
Djhrrl/K5E8tJkLmQcaaVAfmwqVMp8yNuARuNGCTHcQL3S5zZRZCfr1+lTPHFDM+xbb5/EqJkTPD
4hOs1TgdwaaPvhIW5pwrlf7Ka8O5q4kHX2lKWm0NFe6z3tj2ugnQka6qMCLFerJr32iK6IXiqHLj
dbswB7I55QDGYYLT7bIQRcG+7qGqj/4UTmCvi7q+syqpP4KHL480TPCyaIRrXB+JC/sSNkmfsRYU
zFl6Tn9a+EGaFcfF6IczvqwwzegQ67G1VXvrq0vI2e765S5tEIi9oUw0408sFo7T6xl5OxJEWY8+
95KuzbageawN45YCAkrbSHj70rCJLTDwZWsm1dBRyQtA5GawJVazLyCb1MbaaaGOx3qQvhmDYu2G
NC02snDyPYI4c+3VnDhv3Pel95Jpif4avnF2CPM4/msqYPvqTLB/RyTDjv6cesp0pwa1g1pZ1V/Y
vxQfIUpcBMS5et+Sn7ApBhIIKgOIiVSU9kWN8LaHbtS8DAQyr9R6GLYIMsiUMxIU14nl+Dbzy2py
wvFeMDHuNQfCbDgRJXv9US7NsDrFThYDfIg0ihYz7KgQpugY/eDjc6BxZ1SSxIHYFvo7smwH0E6P
Jn/lKHGD0F0Nw98yJxxmXQK2vW+R/9/q5+sXJjaOjjPtjJWYCtZims1xl0C7pGFk9S1DkLMb33Zu
1B4JkQjIF8KT5qGk+4MaBIcUE8eGydU4pJ2Dpa7HUk9Uo9wBNgk21JuNo2nK9B+zUaJ3dkr2hhQc
0p0dtpd2Npg7mrAwV9o836SN7L8z2br/dGEHbNjNXgOjFz9vjPelV8dDk0EzjI4UMoLTVyfua4e0
cJWun10rh8hAcqYoUv1VWhk0zQmttj6W+ZF+uPcT0S9Id1gmgrpkrx9C4aQbJxu0lYrd59uNO5sH
djHZ0u2gTUWqE8KRpbLBqsH9hpU6+moE5HHbjrK8J1E6O9RU4r96g+c8RkCyv9edV95RR+m/az2c
Bji08WFoc2uPq/i/105RyFDxMqDLWjgpF6sctgm9r7pgABreVfBkGqdO/4kgRZTbQodsvY9LJ9fv
bozEhQ0wHyrx6kh255D7xedtBZpZFLEkotwYsn3dKLnuw2LR11NGrY1gozJfk7sV7V1Dab7YfRR8
OLWhfjG1ql4Tc4tnGhfOm5H2P+BmR8menDzL7+u+3JKv+SNyAV1cv+XLd8yWjgPenIG1+IpTevCD
YRWaT0hZVfvAC0iII4b8KD37SwO8nmiIQAFerwg1X+l53myv38ClUxOKXlhWaNSRqizj8tIk02Mq
OgTVlTbZHRCb0nvs1NXR68cPoyFxPFG7+fTNyS1xcHrmavfl+j2cL5mzNY8N7tyNBNaz+LRMI5lo
BHotAvJJ/x4ZmljZqNK+2ZOgECkDEFjF1N9qO5x/Nh4yCw4OzFaU+5a9SVI/3B7ajKD0HVQO6Otg
bH1gIXbhG1nkvKeeTTNPFUOvr3MC6Fxm+mY0CcJGaQZK0YP0MZEDMK1JGYKwdX1M5lf19KPGGEEq
kwvdcvZIzGP2r5VKyMrQEteA8sJ3j7UetuqxrRBb10PT/vKS/tbx+Xx+O73gYgshY2Pygtbu4Kt3
IwkttRbtptyYbsxWl56LKYFiI2IdCnqLnYNI7M4a8rT3VTsrSXnSnDslJ5GXtla0CtDw7q+P46XH
wvg4/8AUkSjsno6jW/QaFIK2942+CR8I6CvedGu4tSG6sBp78PM4McwqwHm3dXoZvUw8WeRd7xNR
1W5bQrrzlQyTYEW8y/BcCLN5niwveIbWYTwQCgqX3ajEQ1KHN47D84WW743BTh6QAM47Bvr0Rihc
RaZMuJEobws/SVsg2KJtHyAK1zfmrguNO2qgaCEhkrEbhPp3eq0QE5Q+mRlj2+DBaKwuwP2RKN+T
XHcOPQ7jVdA2xTFzqbsgU0nuuqb+cApFfoMI69zNgpx71ZU3OsGfytHlEHDqmKGntGfZip/eVq0Y
Cjxu0ftE4E2PXtz/FFpqHhIxpXtYdcHRkS1VWU9+jEE44aSzgvs4VhrK70LXfkSAlzGHVt03UXe/
80gYb20MJTitImKstN65L4zI3nU6eRXX39XLA4qEALMQBRT2UKd3XgJ7zvQu730CiAChFRmJYAPb
96MOSvhVIbxiBz3NPLZW27+ixXegoRJEgQeRA45SatMmyfH4Cia+3fVbu/QZzTxUlnOoh+DSTu8s
wAcXNB53Jq2wc1ZRQKQCwR3trUbE/HfOfjtEoTOPkmLe8qyeQvfodYwkPkyk/qvss/puaHtycTy7
WTlVlm5qt2wbcqWr4tWbpnpbImK+s/PsVgjfxSem+AqSw6Kc5ixebmBrRBUDFqbk4hrf1UEPHg07
jG9M85c+VwsZAX+DQUX1ezquVa8UWFqY5ouM2DGhBI4PCE316xJHzfWf8NKlaD46VMkMRnb5tUIv
YBGJnM4n0yMh0Vl6c3EmIuLIq27UAS9eav795v4I/1yMXVdqZRYbYP5m4+G66DoCKyOywxD+3Cqn
XFpPHNYRhFo4VaCwLQZQiAb4D+vJGA/GUVdFQohZCOoYzExMxNet2eXSo7EmW7MuDKvdcl2m+VZU
neLOYb74jYMyb3bNUIe+RojM9voPdn6gYkrlqIGKiVMetcbTR0OPiModHKAvCDy5M4PJW4Pyh+zE
AWuvkyy1yjEEbQqZBje+9gvCIi7N9EmDZ645Ln2LEcbgjOZl56t1bKzVVs/vgnFSfldOqvtU84Kd
biScf6cuee7U4UeWu86+hB26z/q8OBKl5B5Grftdw1d8H6JKbVdsxsdvsBNKOA9ECkWSOjxVBBOR
K+DGXRy4v0fwKs+SJCcS9sLsqTcp5mJUdoBiNLX1PBmdfdQjctFkQ76NO2bZ6/URv/Djoknga2cp
R6+23CwQMFy17Oukb1qxvZvq7L0qjGk/hfaNC51v+2fxw/9faLFEtcCPWom3xZd2AaIprffDmPcf
9pRn+wBIyzcNLAGHES0HQ2e1N8rJ84uzmGSB9NLlZdNLlW4pXupUUUvAdz1W0UndeX3fbCgjK5vG
VEh+Uwv1UWki68ZFP9Xly6uatA5nUiIl+8/6wb92tDp9rM5o697vEjsqSagbxUvam9XPCJ7xdoDk
4lM3aFexo1gYC2uCsQOECF2WCognegeQXxVE3I4VdryY+J8XJ+/kNran1q/qUZDS5VVQoOxK8mSF
DDeJU+U7vuLh+/XX5NL4wRieW9HQmnim0w8zreiSm1VE61FT7LfMEsXGiDtlE6YexbdkIPiE1f3G
SnHpomiBXQQKVPjOlDpqB2A1cYLedzMDR2BU/swQN24ENrG7oAZjGAbRrdXp0mtKAR893dzTYkhP
HzRI2qkly5XNpBcW73bZ/0ibCht+JYp7BWrIXaw58DsBER/TIP3n+ihfKDJyQkCogwYaDxz9rNOr
V8TOCs1mL1Bruf4XZiuyDPaiKxyr5k5YVf0bQkK+G8vR2sEjBg4cWXKF7FDfcq57JM9J2cvRCFbU
6hICsuz2DyinZNNkyARBGiOtb1xX+Ndv+8KCNJ9l6UKir+e0uDhH0fXMwj7TeDnyNrtjfRgeZaj/
Ek4zHogqb3fXL6ddei8chFTQttnr0lg4HSUq4EGiANn3tSGDCaVF/Ws0UQokxjv9lsikuBfgITeo
dPWt0rkaeVVR+LO1dMZ1PngN0tQ2Sq1GnJDCcF20DYzYMKs21+/z0rC41AeRl9AbRcBxepuToSYl
MVvC1+rR23mRWsSkdamEhXoNwVa1/O/nIKY26mIo16neLmFqaU7SvUfwns/WfdgQcTjtIZmVW1BO
3fP1R7ugngHOr9LkQlLG5t2YP6N/zWwJaZJpDunbV+JhOKi5Gqxg1LolCivQEK1rUQGmJr8qDRhf
If1jTLymd9e4kNJ5hYKXip8OzePQDj5RQ6Mvm+oWGv1Cr2SWh6izrwBl9FmVUNfDMs1RCPtdoRD3
Bm93C6qqoSYbeGLlTk3m59UoH5y0nu5FRhC9qWdQVOJB8QdiHZEC1e6Nl+KMmcQ0hvwPpcHscqD6
My/I/xq5yKpJc9QbgZCGY5pTEUkWw6JET6ATBJ+qKgmApgJ/Ig6U4bW1R/RQXlYywLJtXxUUVD8n
U29/JEkMObI1mxuT7oUtGJIwGhwzPJ9a0eL+bGmlLlGqLdE9It16Y/bFqYAlyUnvtmrlVXduaUZ+
yw7nxmc9/+HFYonMae7SsT6dAwCI18OLKcCYKEns/mxUxdxlqDDo8Bbdjb3IJ6z87FpEo7MhsTEg
LCFZhToBp1Bxu8jBsT4aPJkH2rf6LpJAMVJjJOlbdBE8PFDijhYX3+LenYMebeeh6DL7pVVD98BR
LSU4HER7Da3gaQzHn5Xl2F/RP4y/meI/MH3Ju554St9Tug+rSSpCwiL12I4zQzd2cFBrSpw+1pUR
7XDz209NqWVfC9hk+Iws9vKR9y21vPD7kLnghNJm+Gk7hHBgimkxBU/y0GUxZdwghAM3jVG+oixB
YGhiQ5ga42R7/au/+GrMyTjUmh2b8sfpq+u6EWFxrRSzHK18A7p8yJzcHtcN7zPMtnSEHhQM0wOd
gPru+qUvzKWIJDmYMp9i5FgujHoR04FyWgEKNHDfWRm+gKEPW/LT0B9Zkf71+uXmLc2F1xESJORT
Njy8louluI8V8pJwT7BDs4o3V1Sqsdb7UZeY08zyPRzi6fdEi089ljV5kOvR9kKTfMWm/WsFMd30
tjQUsa4bymNrnEyxtSYw2sp8pge1fKGiphR7ooys6B5QWlRhgEEygniGlQj4ZNgXa1sjS3VL1gom
AmayaU2UXaOsGkHgrJu2dDbKwIHHB4F7XRgO1EJK1uE3VCdCfRNDpw3fIEgGoOy1UpOPCNxi8Sel
iqN/J1y4zY6KRz9tbcaAC9+gNklg0EYpo2471eY0lWuX9o730/bGYE+bqGlX+ogX4g7cni4fhOfZ
4j5FYWB8WJknXGWFxLnvgZMXmMs2DVr28p+Y9Cuyuz2DCMovRZrH7JsGSf/GZ5oZ8rsmB4RF+ifS
pVXbqF34mMi6MvdQ2QZ6OuysbWvV5VZrvLm6wozt9GY3X0OSAfCK+qTFM1/qqZHgyKsFhIRNbeqR
8iUY0Hv5CJT19in7DLWsDZCtw0oOVix/AJ2VZF9m8/v0oFSfqZjxnJAZtlbWfbhJEKrbwhkI0YxC
XBzBZ7QmaRVedAcqkQBns1D7o7RQ2cz+SIpqyVhrykrKakh9SNbNRrSYulcoocx4U9dFr24jq4t/
WmqYAKQqAk55hfTK7A3eQtau1UrRSyR8NtHdQTCKae1mwvE2Bdr/HUCruHmt9bKEfYhv8U8wEkV8
TAS/JgfzefdV5Ti1V9AMIWdT5oufOjQpzRvsQS+4V4xKfaNlqE8r1xynPZH30E2yIB6TnUI/8kML
vdx4FFkw5P4QjoG1UWK7vp/KIRFrTSrTPRbfwQRLGXvWCjV51d0Pw9B8iWgektVR4jFejcIiyNjt
reqxJA0LTGgtRpI35Jj/tHMC+Q6Y76wPCerycbRJy/PaGk+DHGnorjMzSr9GUdAHa1Ot4ThmrO3P
Oid+8RDZhDvA2Y08e9V1NnYcykUp9IdA0KY2wmmf6VH6MBJ/YaFhTu1qlTQtPWG3ztwD0WoGs7mm
AEQaSRZ4I58KvXuU6436lEQ0otCID82fYhySJ1IeFHJiC8KbYYRlkMkoPMtDM4AhXYcSmAH7ndL+
Pha5aFe9kk7OyrSD8bGUk2x+W+U0PHU67IYdW0JgtiIQPc0TQGE/pyq1lBXxJW64hqRQiju2snq4
c7C5iE3aG+VONUG7rTtQuIC0cdziOWxd2R4TA0PRyohlU657OzaeKsXqfpG/Lcd1ShDssNEJJ/ke
JlOqQLumkbMvPADiB/p57V7R69x71KrONtdj4Gb8Db4Jfc/utPiaKgNzizrE4ZNIMtRUEf3Nj2p0
kvd5f8y85QXWdzOvo7ckKA1nHfJN8+RATXhR09TdBiScxBtnUsOvmRpRErEhqck51SQIV6Iqw7/I
nEnoMBms8ABzB/UoaDDiAcvWmFbcbjCnibvRj6yLs3aTul71FsCus/0ssKxn6rPM9SSuDS/ICj3L
r0mug7Uf4qNbKREJTdsuV8L3rOxI/SDcpQxWJjwKPGFh2h4g7g3jeihB+m1lC805dcyUcHEBu3Xd
0X7HA5br0t5ote01/qAKR31Nu6zUOVQT8LieANI9Tl5q/OiM2tVpuGvyYNeePlNabdHvdHMyphdC
Z4pfiTsOyrrqHFCnFPFCext3vfONmDsneWTR0MOVrmXFO/E5TrcZbIaHzlMM11vGbYlTfHRE8n/s
nddy3UiWrl+lo64HOvBmYrojDrAdvRMlUjcIGQoeSCQS9unnA6t6jrjJEKfn3E5E3VSQIvZOZK5c
5jfnQ1rm/SFnfJ3ulgRLWjpeeb2rDTc/cy0BKxPUo9WH5TznJCtLaX7VJjvQ9glOVXwdkCQXeacj
4Ay3UorNkvoWz5lN82HurNLdo4g7HlbfnTl0Ztleo0lqIkzhOOxVn8j9qMjv+82YWPUTzjLpbYZO
DfY+PR6lleuhmVH1tXNvVLVxl1EvY6SbukUZrrLqJEQepuI7rVLOozeo8nuWGcOnNed0I7dhecMO
xbcveZsHQ9jjkvhTFAWalFlsYBNigjYYsQLprXMK2vEBdxcfGj3OrBz4gqZyaNCECCLPj6G7G61m
i5COSXCW1TayJyjVJF6k1aI8U7E31pHszPzeji1jhj+rwKv0ndKvkOGUCCTOarip7D5j6hh75Sci
eV7iL482d5Qog/UzM9fJ1oZuc505KhlDkQXj10HPCVOaWfvnsS4xk4bJ4aPYHiTJY1z0YLFi9ORW
Q/CymkMtD6pb/OMDEYkkE/nWzIvqoTJEzQ2gDJBTk90IGPDd4qmD6fcdN4XRmREG6MlNzJ6HIuHp
uMZaSMt5O0ZMPvpEtovqONwl85D2yA4eWsOZrtzBp+0MWXkCHdaUrKpmdFIeprr1hjBBZaLdoRdR
BddeEWu3RWaYRJpOIXU/oIhXh6BJjNOY6FpH7ThmtK0gSfZR2q5rXmvC3i9SUbEpCSqeP5hwQWc5
YQ+uKcKUYSpjsdOsTjahCubUjox2SIYvAUDN77kde0+V3XpnhNFRCymwpoHbBRbcQY8zF7FWTJjU
NrEm09x7rMdHtDpMe2uneX/S47OpLrtgKL5PfYrss290ZQ0Mq6/dLTzx/EuH/ml/lRrCv6kC2SDn
P0jzmoyiEKeo7VVf6o4qfAuOGGfhShv7S3Qj3BFdCis7n+So2jD2K+2TnybpLcyKcoxMgW4oDL2q
vGmE5n1zYw3p6DJpuumGrMZSuzzOKxsXzzG/GCRWNqHo7eBHM/jtT8sy8KqQns+klySlySJ/UDZM
CXTjlkMiy1qtHiX4XhnKqcEdpKbYoP1TVQhI5JZ93oLNAnTfLaAXZS3wXGmq4RSdABSdEYiuryut
bYsdbLcsjirHnO90JYtyhzGlu8PVT7e57pt2DEmpE7XJF+GjPkmYbMOiyP0aj7tgKW6Htp8ek67B
w8P1E7Hr456u5eTKNkZfUi8bHF5su8TCULPkLuhM5ywZrTkIi6AuT+pM01rcF0zti7SE61+WLpfi
qTYPhtx6Wsf1OuN7pG2WwIqLC7q9vXOKIWVGP6TKxgnXJZKWkAl/ge9IMfUgyhx7RJoZ8aLQVXEj
d33upWonYgO741E45WXilwsysn2g70xzML0o69V8ltQDFwoikwt5clMlP7qmrxGZVHC/R6sq3TN2
lkXv0v7sG8p9bG14v5uaiIMhgMSBLJw9p/02mn5XhnEzSjty9RHlndEf1nbsIqbxIk3L7MlQaI6H
tPQ9MhBskLuIRVDV3rVxZT9AMaxv46G1rI1AX5sPY2eIW5htPp4FohKf8Itvz+YyscAy+xmRlO1h
issg7dI89NKWC8ubxwmMijX6dKsE3awLzGb1ep8OI/ZjWmqgYCGaDBRUrcigw45iMOVFux4JBOOw
A+hPymfZWYUbAjsovlVzicoaFpRjhxKktDDuytIhi4ogT8+cUqugNXhpzk7yremiqrE83RrDWG/1
zG2aA7qA0PnscpKPdjf3u1Zgr34SmKIDw7hMBsJFbd88Bl5l3PuZHLWdBDF534lET1D+tMVFILjA
6FfOqRtyJ8Tu3oRVM5MxGvg+xMIe+22NJVZA+9VOvC1qs5g99JpWVcjJlHLBDa285O/bKKeWSVWT
I7lM41NIW1yJeavOW1fWRogjah6Qpbr9jdPbrX+aMPWh3I5xjjohnHaKaqNpnuolKXbop2gfU8fO
EAbHbLxDxhaPLtevYo5Qo0ziaNJhbuJZxaHHA2ZXaE1/GheeeQkXevlY9UZ1b7vJV7soDgAVqmYr
JkVY8dquf9BiHdc0DNkKdO6zPpl3zRTUw94XedfuCmMo7xFBHdMd/jq6geoeScJWS7HyC4t2GLkx
a8CUkZsLxBC1FthWG6zG9WU+OZGPhV2MjGejXdpscm2DGH8PEjJFbRNsUYx76OjMA6qunqAnqLuZ
jJalp1KvBgVAvvYTT6zGO3mzASNMIr/wsqbd1BVAmZGn9/RQaa62Hwi9w64bLTPdpYvd8YwJ7xkU
vEW6dTWRxmGrg0rMnVrejA06z1uCW5pFwp18HJJgXmKVWxUIkUFe7qqNjX6KCEUu5WM7MWzfSHQT
HuBAJtfMINRd1Q1xtq1ZkyZMoNo5Owa8U0vP3yGE4ZBqXtAx6xHct2WLaQHX3pUclyLf+anwvBD9
qGlE10VYMhqcJg7IlYx+2zRaXIYFUf6bPWLbtO2JMEKN0AQWM085RBMyg36TYKkHC1N9BrVJVDLb
VUO6RK+cS96zJN4T+N3caQNdqxOcoPXz2uzRPXYNoXYdCKlVvxhA8BlyUKkX1VwOt31m4SXXenV3
NhWDh0VXnLjfilhv3J2eTvwsLkgPIndU6g4pHoPrXgXZ1SxmB2+wyVlVTR3R3421pU+fcytNzBPV
Fx2c2sGdTsrOojvApDLVf2BcmG7JBHXnopYMmjZovtkiAhWCBkWMV+U+n2Zv2eNy4Z3IwR1Wh2U7
/rIkYzV81oU+oaQwFql2lpud0TI1aPVrS/oZGczSOXeLtKrqk9sBzdqmdSbXk4L6u64GZ7nKsCyk
kHNHwokm/T1fwpoPaZH0p6VVJe7BtcqV9Oot1dbI0and1qwmqbihkOU1igZLnsSD5MKXlla/wyGi
fEiSmuim0bb4WSe2/iMe27zhtKTuqtWlG7tkTjKF/DEQrH0PQjjGhF7T1HZ2MqfaLn1Gk4y0zf7c
BgH3kqD1Ou3o0Ds/AiXqn12BK0VItDPd0E5mK0NDWuDTICXa20gYN+XB8Yrqzs9MHa46N/oDN+MS
bGx3MucIYa0E/62hcr8Ri8CLdAScZIvQmDVj/ws6Hk1kO2NCZ7TlHFmpo6HNpIrxYIsM1LyfoI2/
ATqPk6cTyDwq7NGuTuihZ2OUi5oSinl7G1Lwic9lrZndxiwDs9uaGai5LSVU+YQTRjfugBVmzb5D
Mhv4TFz/KGqGFPu88yy1AaWr3zqZlX/N8Qx1Q5IZ070w0mQpzkw/ZVrNCeojkTkJVSRgkytCQm6E
taQAQ9pDbzHlaDBg2RAJgviiUYmboJ4ndS8ah2b40jHEVHvbstuJ7oCt8AZ1vVndl31i5rdKOE5P
wu/GV/Pap9iNyBbah7iyjXNLjohNF3DVtRWSqG2whZ+KiIYjZPkgFoBhBgxIcG9mZH5bW6Xv73pr
8n/4cz2e1vZQ9yGQ+7ba6NJnzpWobr2AkCrMQzi2GIuNRWVdS5QEt7JX7nUKqFqnfk/8i6Hr0mKD
T0UAjpZ+n0SfX6HSrrsL/CH85IJlK9opTQ9VPifsElEXV5nW2kaU4Wk+R+DDk7NEwBTdDU5nflSD
1/bIrrmUaMQ2SgAbMBHFiqjmcaPZLlx8vzfkTD5okanxIc3rKacLsB8yffpINJDDIc9Vru+TrjAP
1jTF1HKtMi8oYwfzpKfLA6vISlBYH9Azj7e8PnvXzq1mPC6mOSETXOha/YhNkDhHQ51mN26MzbXu
LH62m2xSm40iREOPb1C3PBMaNvTXsz/xhpSd2/OVmcx1vB/QUbbPxVT5OxiSprEzuzz9MeqNf9HZ
ubI3k6NwMcwbZdEdmfQ6hBzwfO2gihL5XtP/VLq/3NO8juvQkH12Zxcuq6CXHcJksz03+9otc3yt
tBEbLB/NdaSGF8LWrldWVm6WLG9ABtDCrb8FcuGOytwuvQqMNv5JK60oNybqZbg6DG75ue1oEkZF
xh4nfyySh7TUnQa7Ekfsx5aCCSOMhdZa7sEuj5LGUcPpOA/ztsJt5FMtZXcQcQmOhkqpQ/FQfaE9
ikEjyTZAhaRauvgiICZupTYS6eBcY6qi3PmM7IA9RnGb4pDV6alCyJWOzLawK0JHhqmPezkNVZBs
VD8UJ35r6rfo2aPlapDJeBcDHNP2BHs3bjdGrZ2xJUGarigacsxds3JgJ41aikFUW1LgrWOmfmNr
S+3RkKZH0Q+OFcmiGYyoUMnwMUky75MvmiDfGUWa3yP3P8YnE0pbiGMmkEAst/8sOtA9ALFkqqNn
E8SXtFW6VTXBLr/pzNkdylhT/zzKGo+ZKm/7Oycu8+uZoJPiBhaXj+tM/CMQpGTcFjBfYXa1Mvkh
hU6lXFY4veyl3o5iq5NVfdetfsTkE/SFuSF/n69bhBg4ZoXfB/sVhYGGEHf3Dc04x+cqZvyyZ1jo
3HvSyxEf7jHF2ge5FQ8hBuTteWYs0DsasTw0pPV+KJeMrHdwpi6izkP6Uxv0tt9Ko+ouoWxjt+sl
Xt9QhI9udg6Kbm4OKEySMKlUQwkD1Th958V6WR3Aqw4duKPKS07QbUrWl1qx6bDltCg1yK9DrYOg
H7qtl92BuI2zQ60X6WMBswCx1bKWOjpidLx3VS4md2sGhRiQEtOdywwlYbUdmmn+WBW19sBbhUtc
F311j726kUWNlXhPw9AXPxupU6T1FioVG7VgLPKjr1WODfPSze4pkgMzyMQqr4sbnqLfS3OonNPa
8Jf6Lk2lk0TLtNT1tnG0TNuVM6B06jnU02BwiPlUEhyYOcZuS/WSpwZZcrH+xqgDAJ9mLc+jgUbx
mT5Wdr4lJ0yjoZVTQDXoVNSsUFPPZpaC+lji+EDxPkw/E1a+vUicteemmeiks1xYjjDZSHNoB6Ma
on+ryhnRL4cpKB4U6UnKmO4TZITm6t+WhY6JPlh0IV1sJ8PC1ycNC+2yPtSTqNx3RlrrFOd4EOia
q46iy9iZTvXLkRb2SGhTLlhLu50AA4tFWY+TZz19+/086c1hEtA5V7fR5kLe7+VjqANggHGnAC7r
pwAHvwo5dUd086lAXvWdCe6bc29UoVZABt4rKES9fJoikjvlsICw1Oz5nrPtkfkgHLCDHPsAL4t7
Fk+thwXzQT3qx866GIGmk6CYarAYZDnWdsS06B2Q8huk1ICZMsKnJtDpVcX+5ccSZar8xUZsBjk/
O5L60IkNkZar0AhwNpmbpcC1BhGzLfHMPKf965yYaeKHYHLyEwM/hvdQDOsTj96+bzJX5MWb1MXP
4ORfZvGeDdAMUigciNJob6Q509gJMGWuxon9uiTltpG5/mgzjN0UeddsUPws9h50iB2e7/PBH3DW
+P1OeWNDYt8EtxNCpY8I+RGWxiqN3DE7KBoZnFm4wxkCJT5wpN8/5Y396Dsmw01qJgv9+yO0aqYH
mUc8IsAVhMNG2vMpCWIepUHxnkDA81T4eJE5WNhcoiMBpOkIR+0P9HPbNEYbvyHQbRYEP2EC9ExI
Bwf/WJNC/UCd/zSYy7TxiaYRMqbz5WJo6YUxj3hW1NMCKILeG9oQxX2JldppX5V+hEXv4qN1PaXb
3y/PG9qqDCTQqWFEyD1Iifdyq2omAkBNL7tN4SpzPtS10NoD5ilWhbJdtugcp8n8QX89q0J7TMns
ijoPfiyutL8p3SqpPYg42aFIR3WN6jf6MDk4N1D1uv7d6pL5tEswSwsF223VnV6m67EpxM2UT3YK
KLEfAKRwKN5D1L2BbkOeUHfgDcO9st2j994iwYxjG6bazmT0yUYf24V+Y1FYP/sAL7/zidz5Fg7Q
cjV2cZNCC/e98Z0d/gZ6C9oNPAWG+WxC52g/LM2sqsFisB7UDojHBEtntkbi33IknmbymR2aYO+R
zt7Y8AGCgOgjQnwyXqkPIfWjNya9nNWhfLkeZm06jSsyahLa/B2owlvfzwY96K6MWzC1R2vMfSkb
uxVcKb1Kf9Zgo8IUheuNkev6Ocp63m3dmO+pAb/FowAIBzeZ5ohuGcf20D35huwNviAlFiSJMte6
3YLm1SkT8YA+2pQmkdM2Kecvyw+8guCMaG/ejZymsCNIbvFP4aPWpte+Y8T2zHx8EQFgNqBl46ww
WI6Uc3T7oWZK+joPQFTNUjAhp7E5I65CD3+rNQxLAJUuAVZUg9Hkm5ZTdW9bo05l3KboagwgxSnu
KSuTQefatFs9tmD5Ijqxw7Zw0E6kg3fWPtGd/GnRyxozo1RgUwX3QNwEegcTPxllXt0sHHW6ypMV
XyddnfxIsckJCCxBgzLI4n8uG58CJIhrRrJ+CbvpnRvw1c4g0nLCYI+vAkqv5DOANE29k0nWAXLy
TV5i5jBZUg9LYS+H3Bm+s1D3v49krx+J7jcoOO4SJkP6saBQuqCtUdQNE9O884ezrBcgmuzSB3pE
X0cuOw1tfOu0h3Udv3POX8UaII8M44B0wcCC33MUQ7scntOMv9CG2Vmym0ZxbUJFu9Dp7zthIn2I
spPSH2KvmNAeK+t3juGrE78+nqudJAgqIYi2lyG88+OmNNvC2djpCLBlRtY4GrXSOp8nen+/X+VX
6CSe5aG1zx5HiCc4Vs7FI7f2egbyG0qTeO9bwnuQ0rrGPRRid9Vr7xF13niroITJEaB/gD44BinT
YZYa5ovOBn2wJTu3dWNR9Kji4CeGqTB3q5LtfRdYlBTvvNRXELBV+QUyI6Lq6LK8QgeSgEsjrzue
rCc0DnGn2ywiZ1olmaDOUKAjh3kWrQPLP/x+jd/YTlyZkNxA7MGhPOauNpaf9l2Wu+CxWu3e793q
VMgBywQsEbqvgsi4yWt8xkb8G3YG0rTGOznTc9r8MozB3SGOrbaaFhSp4w1t9qXOhW1tkMcpQSup
lPlc6TBiiSuZ3+g+qqUhcA6wEXNrMnR30ly7MhrHv83svPq5YjCCkCeuGkUgBlaBkBo4VVEhLjWp
OA+D3g84IMwvAQCl02mfo2oYmjH0EEtzx0cvVk0e6lq6IEpd9PkXtynmx+d1/j/fp39PnprrP79Q
94//4P+/N2KWWZKqo//9x0X2XTZd81P9x/rP/uvXXv6jf1yJp/pOyacndfFVHP/mi3/I3//r+Zuv
6uuL/9nWCrfzm/5JzrdPTKjU80P4pOtv/nd/+DcEffkrH2fx9Pc/vv6osnqTdUpm39Uff/3o5Mff
/wBvyw5aFWjAl8LHgAP+yxZcn/fXL19+rfg7H5/Kp+qrLN79E09fO/X3P4IPABNt0hoyGrJcQMd/
/G18Wn/ifYBSBzLbtUi41zETh6pmApLykfQPq8k0I7lVZAEYNckQE8n1R47/wQM3TujEiTpACM34
459L8+Il/r+X+re6r66brFYdn+ZVpQOYl0+3PoL4dAyZd/HvadHBYtgItC8Jk9QfBDPJqj244AHP
8WoLQIy2RrTUtrrySXffCRxwY9/4CKwCKmHQVFd7uJcBufdbZzHmXo+Ay6sq6kzaYgETdoBPQvPp
oll0ixgCE0QA3i7WddIGKz5C1v2Dm/ZOszXXMSu/Qaq8YZzkXAxNMjDjGV0EVIXfP6CJxdHRYroa
tLPMyThjNC84Z3qQf7eA0MkN4aEqNj7ThVu5WMQrK/PiO0MKI4ClI2KU3UnXz5whKw4lrLgggt1V
PwEls2mGLAwdtv7QkDYAEZk/z54HA6X3gvg7c30gRXqbf6LlMqDFs+j2zlkaFHiwNOou2tGIsbkw
x+9mHS8Xalrkj7jLhk/AnqaPbVkW3+PJZwyTIRXuDQMWEsjO37W4zJ+1XGR0sYd0fpz8vj0FkDhh
i9WAONuAuEwv2xYuCm0MDce7IgnGi3FuOyOE5TJ9z/TRrMIugGN1AqmFTn3ftizTDHt733aqM8M8
lzTZq6zst+PYlP4WPcWpjZZ4KKYzu7PcKvLo5rsb3apqNAuWBOqR1CWAdZtRpGIqCmwviqccm/sm
Nxi8kYuPxVmSMltjjNnHoJIz5dzMpiyq/RjHqOsOxuD21wxuhbhAf9BoNnnrini3wF+Yt3Oem3ao
0WREXXJpFxPSIVwOhNWakgR2IURHZRHb3rVZN25+kYI+w4vN00VyxphRTfc6CPtpa+llXyJgY6M/
20kj/Vr04Nc2ee5V8Y1DhvlRzQvZYt0u6mYGc69vEJ+ZPuUxCBJSJTcYrtu6xo1G03yzPIGXWzwu
QFSf/ClhNlMIjhUzUvrB0TQVhojYSyCGBAQMGHvupH/sOyeWobZkEiaOm4mzbtFbFdGUWuYNclka
hNG2rD7BXlPruEEquQNyBffaErZ+6yNXwRBcWU4ZuUHTfJm0VjLEsHvHOdT5eM111N+aSunPw9Dl
vo6r5TAlcexEXZLkV52Pp1/UuZX9rS0HHHXiJdNsBimjX0aKST6gHdz+hhuTPt0nOQTMq+uqcP3I
9gCWhgjvSahmPXqou36c6RS5U5GbWxMwibNVEKa+j/VIVpfOubpxhWm2u9phk+6kDwvJ7vo43rSO
191mATPEvcI+to2KzhLJ3i7mPmfJxtQ+MP2HQK9PcYvvHDgstV0ruhXXO5dfbaCH75XDr3JEqGXU
wWTlaAabr0LSNNhtNaSmHlVuYz6m2mzcmL3nHfoGTepf7o6/AvKvAfhVyrY+irgHsY/0AEOal9EP
7JQPVIZ+27SiL93alowgxpnZq+4fkoGvNmSj/U4O/Cpb46G8HNJwC3oWWnovH6p7qacB0DQiWVby
exPPX/t0Wi7xPjLPgF/WSOSvwOXAYxD2+6/71sq6kOdpoawUnGPOsMd4RVUFvd8egsA+xpg4mrCT
Dc3Se48OvaZdL9Ky9Uty3a4FDl/1mDMcjCkNbUcw9jC7Zt/oTbuBeGG80yh+leLzFA95AejPa6f4
mEDq2cTqdoUEU/FwaBevPbGsuAYD44hobEEj/OsLiJEEirOsIbj+o9symMAfAws1I+nU1bZJ+3kH
UnTeg5p6j7731rsi1YB2gIoGBO/1q//SBdVbMCNZz6Nax+q2WmCoHZC7JYJc0P1PVpHWyGpNT/p1
XCgVZG1F5ZWo29h6epLks30iQKmcTrFuXMG9Sfa/X8W30h4yf4ruVRcD2bCXX01M9ZTUeCFHM5SI
aEwwc6hjQP7Woolr8KvjxdyOyLQtPsj7si7rd1QB3iB0Ql5FyJ/ri2PPwX/5AZzGZQrI2CVyZCDO
bEtmh4prcx3B+eT4pXvak7gcTLNmXDYFBuYTRongNzP3MlNgC3Nn3jMee8hSx90ya5LMUCuGcV5h
+UUYSyG/QYiwb3+/bm8FDhZNZ95hsGrHXegCnnzTp5mBoJdvXmsAVfRI4Re0p2s9fq8b5dwKZwRF
3qGW9Gfo+N8C5LkAodtOEQtbBo1QduQvr+VVAfJ/iyfZUdQeFyCv/sSfBYhhfAiguMOWpEylw7R2
Bf4sQAyqDDAt69xpVQnGFfrXAoQ+JU2gVUd7lZJlJ/yzAAk+oPmG8jM/h++FjOb/VwGyym1Bp6YA
WR/lHg1/xjxFOweJgSiTWnY2Lr0J420mOdBmDkdlfZXumFxKFCrPOqf//su6vXH5vtYqWrWkUaZc
+0A+wfTo6W06JAXcELB0nT7scgv1bs85WWR9CpX9zC7HbCN8gKN1uuwAEqeXxKly+/sP8SoDeP4M
rIKuWzjRHUt+LbNg1ulULiPVbDz4Qh83FpIHYWq1crtK4V8pxALfuUZe09jWp9Ipgk9GtwaVmZcB
CBi2U7s1vvRd0vdeZDK0ZsY+zu62n+pi3msxBN8NOBJSYFcW0o/KcdhSQTcO7k8xLA5NmxhTOvky
hd4Sk8+ZcQ5/zWybq6R2NICUk2ZfSj2b72l7FHQ4imloN4HKMTZXKr3D1LEB72cqtww1c9Se4l6O
F83kq2oLF7a7BMoKqhemhp5vlsZ2LoeEdAlUrQ46pStRvQAqt8gvahwOHmEpgGuwUKnR9QrGE0ZY
dKFGCpuv9hi0zg5RS+YtJWNI/8/Q9KI18msS9+qmZP/w1TlAiBXp8NteLqapxZNKOwwjfCE62GFB
vQFarjZTbL3nRfZ6iOut1uarxqtprg39ozFJIApc5ybXiQYxDFEB2+I69TztEscGOyrm3I80L5f7
WMGyMvMg2zVUlTmp3dlsTfGl6mfznRTWeO4SvEi1+Ew08dHSIdHS//z5L5lC57tNVbY6jCDYiFg9
Cq2QqAY74i7FkbraeXbvnxpKy0Vo+0N3DZVAnptca0BJIRypMPaQhQRuWkLNcVQm5IZXNnr7JrP0
L54OAnM7gko/FxU6HcAtg0urd86l38OyXLxC2yCtaFB7V5nxudAqOQOW163PpWPUwxaLUgHcaRmb
MNCqjEsWqZHPPrf6D9fXoclUVTB8pp+KWLnIde0wW2AlGX6MoA1MTiDmu/6IHQb+fvoStvwUupiu
4o+F1flyG1RuBbmshm52iGlh3EjlSLRR9b6GVThn6F9MuievZOeX37plGR8lqwLQuS5gqRm+gOOV
asI8+DmxYFvHzoJMo8TzLRx0ZT+2WpUCEdYuWiQ1OsvPD34FJ25bZzPgH8iJ4OXbubGMG6tDGjtU
nysDns1mthUYIOkH32t4hD014jhW+24aQdxnxTLZUUd9c9W54NOuOOdwEei6ZPtcrPlspxaBLmns
a8Sjse5uCivWzqy2aT7rfP4Tusiw1RYTuNteIaZshiAnJ23vV9mXMfbSg2nnkBfbYMqYHgmsskJP
6XAFHLDD4EVEH/SngzZOWdRPu6yTQbxRYgmSCPXyvI+a1ka8JLcTLYmMQpb6Hv6WgTFvm3UHXU89
61rD2iWIsGWVV24yI0TU0/g5j6cEgnxtJxM4Wc8FOA4BAYTN4INFGrUeG5caBY3HrvLLG8Bd9sYc
E/PQQWHRw7Et5YPtpbBOGR6lWGcZzf3Asb+ZAlWW8H2aqoucrhrLSOhDY0W5JJcLK6vMLgJ/9PWz
uMZgHndPW+GypsVi06S6uZnw8HYOhh8zo5rTxnkY4hTejbP0lbcFYXW7dP5iwFETZh0lpuyK/Zz5
rozaYsrSgzX7y1+DmP9NqJ4TKtukQiJErjZ0CBL+cie/Sqg+0Y792ZQ/jhOqV3/ir4RK/+BQWaJQ
RurAKHcVbvwzoQo+IHXC2yWfYhDBQJWL4K+OrhN8cLlykfwx4Kvb9upM8s+Eyv+wAsgYx1GkMjBi
hPEvdHSpbrltjqIxemNMuMjUKbGPBRiDlqNDCWFGZT9o/V6oZfQ2NbI1YpeMguYV9BnzEj8Wzwqt
uB28qFuc+jLzvJguKlCPU9vttSsTJDjBBLfTPfjTqY4A210AS9NumyFPv3IL2w956Qe0P01sOmke
5cupM+Tznk6tty3nvq423EcQdlxjQt7ENrs4TNFCDv3Cqh5jO3GCqKwRJgtrGmEXzOnncZs0Xsvn
AuNY044Gqnaatv1cQXS2xE1SJ/HnoVoMBpew82AruM6DHI3c3oHfC7DTy2pRXPgV00umL0N62hoc
qYivDRBcOal9CgAwseBpKQiry0h+G5Yc4Ou0NhYIHZmh5qjTvEWEtTbXn+DYnUOqElxUDJocyiuo
37AMqlWjIYVXGGG/KU7ijigaKeZT9yVuQeOJnVSjHTpDL8RGLKXVRWY69v2mTVX2dSqNKY4myDNR
nNbVvWNNtAQbiRRvOAWuuPOXPi3CBmS3EVrPfdv5uYcr1nYueyG9RCuPHi+NsXGKyKLa025Ypkfx
3A/mDkvO6qKu7uqqHTe5L4OwB8R8o1s9DoQ6rJ7QNLr53FvU+Al2en220MO8/uUIvZFbv5ETYdXH
kJeiA5TPsSGjHaN6zEAQQJeHfG+QlxeT1f60q6F6RyjxrQexNdjr3jOsYs2vf0k+SqRUYn2AwKzZ
DMWo7Isr0xmHnVAZ5K3ff6k1kTs+WlhaAtVj3Eh0OaoXIO0Bn68CO/IUrfzcAxhWWE267WmWApND
euj3zyOSvH5esOaV60z3lQN6LlRiKtA5AHh7rm74SFsSmerm9095XYHYJq09CgHmQKtW/8sVrNpk
cYC7w8hMNVBWCLjubOEkG9igj4bS9W1tje7d75/5xkquEoW8NkbVK6Lq5TMNDZZcpQPFRfiIwyGc
6jKhExumzDTY1/7y6ffPe+6oHL06UtPVYX1VLCcAv3zgIDMcJTJkLcCiuuHiu9ikFGN5yEU/73u9
s04mw1sl5/wzENJj1OYxvddK0WmrVBv9/tO8sWdRl6H/Q2VOwXC8jxgKDFWM02ykFU6HqF6jR6uy
S1RazXuttbceBbZmFbPBZ+N5tvnr8YCRrVYwmR1liGscgkFwUPqhjWCNvCfa+vajkLtf/6NBub7z
X06iGRODe1QtOPJ2S0mX6QTG4Vxq+b9scUrBQWihZkYRkqnt0csUZtc2KA3xJFKksFuQjBqTKcfI
Zay2wdK+p3Dz5jdjSkrP3EHK/dh0piqBww8Bu7Wua38/jRaHA/j/XnX5z399ZxhARRBJoLPM4Xi5
hpCMU3o50EsLCY1p6ZN4Kxtr2OZT8p7e+RvHnvoR2hO4Pxvw7lELIPEc+DUZZYA3mn1EveXsmRBt
HZSKN1WAitQQe8k7Ae25P318DJGHNsFVY5AHGvnl96tQdMiQ4Ic+60y1GYLtLNso79TwJUkzINB5
Poifo5QJbBNTY5y4tEVwOgfW8p6p2pvv1GfGAyiPRuyzlNkvuxUymYRLktr0LbQ20v6TvfNYrhvb
tuy/vD6y4E0XwLH0pEhJ7OygHLz3+LLq14/VgDLzpgiex1PKXkW8yM6NzCvhwGy31pxjKrnlqgEW
H+RJ56LLTtSZdCizbMhMyNuYflZvlc6V3FuDrXlN5GlVW3t5mdk35tQw7hWzv3CapPEDs/khaq2+
lKMs3NMbPbN4vdXbMWp+/RWrFy4HWVtA6dJIlKRpzYrzRAQOArkeppBGteaxHXW0p8IcbkbIu/u8
nws3qmv9wgzT5nJuOCuNMmsQ5Y55k42zfUj08rua6PpVJXQcikqg77JArlzEVDFRzLxNvK1OvpXs
QPOUsSe2KQQWqw8AQEpbIqZjoMAkj9gueA7nVPxvyvyrG14tbJJkmAntSs1L5ulDkIfimIkRfmxe
qhtMULInMnPcSKKu/Ak2/pnnfeoDY73htdPXAGu8mg5JjtZjbRIa1pdc24poSA8NkIjDUIlzKorl
r1qPqkUtwryBhpVJ6vWoiqQk7rCu6J5onw1qbzveRu5T/JtxgudnxvCJ+2LKRVW6TL6YGlctKDGP
OT76pXwwyS95roMZQOC56Aan7W9OhktzzSaIlHuy0cKs3p8TlCKkmaZ6QWhxuWqGPpfN7TaJ9ObM
Tb2ZDJdLLWrExfVh0pN9/QS1Lo3bFlU9AXH19yTWh33UwvVOcjn3l760SyDD7ydnU3ims6bwHHWZ
3cDra/a4cx1ztFTwXJq6cZI53A02yXDKPJj795/k29vjUsv8w2Okd7MWXQZmhBixAWCMm4tyVk4/
3ZElrJs58WOMB+JxQBv/OQD+p8DwX4tgTDHZs/6vv0/qb4oKN01a/FpQ+M8f+U8RwTGQY9P1QHD/
U8b1T1eGEBQO8Hz2fI38z/8UERZZmLaAXYEFoLWk9/JPEQGdGUIFTv0UICh5/J4s7Kf0+vWEwiZO
ph3LZ7kMvuVg8sviSLhsI/WchDzONNGVRq1lBnFd9l/VpArvWsmh/lVgyYJlZFf1ljYqxTF4mfod
/f1HPmpKZ70TXwFvojqZkx6Om37UL9ufVTa1LtS9uZTe2qUIZ0+ZheAYAPP4szxXq7WTA+uYigeS
QEtyC6dnZhxKmKLscfd2eWq5ouc87eV1GjzYsWGXbrj0FOylu5D/bDRMBD7prjn1vjEpe6vQERbp
4Y2F9xnNkRR8iplcEHuxV/VCQx1cvcuGZ5ORYnpjXeFYdMoJLB6MPLdaqjZ/zjj/Mzr+i1WXCR+N
IrtLc1kqFmj6fz9SDnmevuTfvre/DpeTf8dfQ0f9g2/TZiuFcJMuPtuYvwWVLH500OBRg9tXyMH8
Z+SofzCXcsZlvEHxMVUWtb/Lb4wclhicL2iI4f4Rnff3oP6rzPGnDPa0oBLaPkPjn6GzzLKUHDVa
eUuoNVLz1aLVN6zFlFscDKgEDXkmJJoNZILnacC15VZx99KBNIo31Swv7kdRBraf6WnxHEVhcaTR
GVfbXi66+DoMu3jYNVHHNzxRz+n3kYhHcYH1HyCRkhmkI0SyCgIttCoJJD4BPf2hIlwVZopD7wkt
MhtLb4Lm5eylaWQoUdqWxucQ4l14EdA9A68z2fo3xSbEmC0ZuehXSoWeLXSTuajnOyVvAXTUcJYw
nSWXyHQqX62DrQ0MVd/hVx+zS4WgQQJuE9yCXsWxcva6kJDefZeVA1CNRiNv7VofgIIe21LqHzCT
a9EF7Ev4sZVtxcW3gQqitaUwVehb2GitlrHQxwCMAmBo0m6o+wAV9wZAL/UsUKYuzFGN/2cUHlO5
brZSpPU3uehfYF/LD4HzBDIRu6rylEWqtstgpsturHTjXh2bajPGzkYF0zXqsqcYfesNTKxkeCDu
hg6ISSaLwmfQwI78QQXOtamrZt46tdZ6c9cca7XEVA/FC+sfJ/ghMV96iaZCWQ17kykuxxPty1Fe
eBqawVyLPBASWy1qLqrqU5WBtauLHdztfS7EDcpAYpTySjxazPftMZKxgDJfNvUBHxKlELoyZQx1
FumphNhOwU4buh0FWRLgRqmcILtKKM1B2ioHeN8f1SSaHnoqkW5aOYWH/773jKk9hGAZ00Aqd4ju
oBhjn7ObYCfTddP65IcT8Lcq8CGQj88ymJi8cXl1tIkst3PS+7BMPGlUsfoeLfbrmQRYtE6PdmZ5
ivNYi89UmAMRqUfgfPV1NQS3bP1v8jKMnoI0KT/UZf5Rmqd433cNHnkQxaG4TPigzVwtgEZgB7mv
aeByFIADWW8U2jnXaqjXRxA/HAI1JwmuUtBEg2eGyfXSiJzcWcVtl7iBCZVqk0u1/GkE/OVDVfzo
IGCsre5xbjXMQJMEla9enPcRaCqlCEEt9L3tdw2JzrNj8klVn9ikpUehaTPoUSe4XDqd11WcZ58h
v+DTNwr7pqzlZKuIETRePhWHLO21yG0hwHyd868ZRfEP+QgXUsKrrF8EKGXHByVq9S3WiCInhXCJ
AQo4EqV+k4FVo4bxkkhGeRvUCELrvYLcd1JnzoH0/8gllt0gau6Hyqp2sVPCdk3UJzThwq2FeQAy
qHxhJ+7aGCzK4mmcZy8SqplsZn1O8isOWFm8hxHM61JzqTGvczjnza05p9K8NWO4adtpFo7hTkIZ
yI7R2hzST4ElBk5xQzglXJUJKA9lKhCLMJGiizCU9XqjNk1Xe1Fio0WqW/lFTDTHL3M7Gaf90MbV
cLQTjiiuPoetukU27ATHup7leltrptA2nc5IcW1DGFtQrfaT0w9Y54knDp8lqZGfUWL031seNVSW
ZN7ZhXHFCtMdarFQV5TINel2p1bS1Bts6fE2Ku3oapjn5rl2+GF2K00fZBlVLMiiclK8obC1bYEa
YBdmQXIhCgcnTIpgIdwMSMmfRlYGcTRKOjRuKkgZ8WtVjNFONtJk3lC2F4WbKKQOu2NEwRuVs7Dv
+inr7vGuMY46FbTSwTQlq9hNmNcZCYY82QjIYyKXRIKsvinoq/pqA1rJ03WpeBgqbUAKbmkPMQKG
myzU9oHRPZmSqbuNAmmj0Pt7okdcM8u1qzDKvBTUoRisQ2HUmGH7j8P81PbtVrPz2043JIqUOUi3
cP44NaaPogNuSn3RG/mTPSnWRqIQC+5Ovp3ijiBOEcKDTaEDmzJTTpwM0HPnC9PezOoN+0I37MxP
w5jB/piOstoeQyc6Kn1zLJ3G8DLweV1waxafA8fcQlI4jItpsK9Ap9fVtnPUW5hiz3YSPzZqhA3W
oav6SWeXVQpgtl3iWbEKs2UGtzd5NEiGraLVaDmSJp6JbnKQN1ucmNGAlNkHSae172IvupEGniq7
PBJtJlvooG3QrUgok+8ah7JKTGDGo0XplqHbD85WkVjt1KSP2v1Yqhq9bTVSr2oRg16ZUzzdGwEq
0+9G2DDbukOvAjk6uW0m+0Guy8BDPzEctFowh3bSUxWI8jktm6fYoLjoOMw7Jr0bL7IykJSDUUcu
n+DOrGzTz6aEWofdOhtM7aCJgv5YZRzwLDObWjcv7M9zVs89EW/xiKy56ZJo16amOChRKH/Rh8ze
68MMwNSSdugX/H6U0U1b0sdab2M6zW2ykSs421IQaYdYRFK3lZBjf2yKtnjKJkW9btIpv9LL3nSl
cmuRVTPJd0ov1GeyTJI7CNHaBhZR9s0xpeI+c1ij2OHa2mVrpPqeFvi4i5Ovci6xQrpVyxShIl1w
k6IjRhfR/sbI6mQzNZP4pszpZSCnL3WFZgPcRHiRxzJt8tbKN+24zGBG/BTAu0oyickfWLBu70fJ
vMz1bLyeEfZMqeaL0tqWHXyTRs8PSMJqj7m+wDJQzuomZLaYs25j51F0KPPwJiBidN4GnBHAxPC1
xtAkXa1K7nQHQ2FtT9fOLJtX2tx9grjF/KtVLFuqNh313GIr1TtNvIG53fJ0WOdmjK5Wj5BRGmka
6oP8fSykeFurxnWminzXQvNNjWe4FXgGtGM8TXdSx5jodQjQshdi7AO41hif52hA4wE2D+GCtUHe
6Ttj6LdGlrn0+9xkLDzL+pKb2o8oaQ55o9+r6Kj20LpykMMTM04DrlIj1iS6nxH2D9dR/xDSXzU6
240CMW+nhojqNgX8kkXMG67GqnfQ4Z3eRVnduuQyPNt8FteiaeWHNqmPsgXzdahnP8KyAUxqCDM8
lSgM5KBvdw4cH1duGfOoDu57JYM8aBgPFTHlfZnUhw6XZBL2X4cuLZ+tgCVqiOybFKvBwzTp1vdB
TNIDxXb1uTMT7jTAarRBZZK7hp59U+I581Mz7p8yRyt9B4yQDyFSdDATF8T2VIzAsF4GJ9q36o85
bj9MybALTSna6WUsXizgq0e8CMNLmkM0NBHsuIWZ9ZccNj+gbv+O1oXEKSm9z6xom5PZQOxULtl7
ZWDUqan0PR/I0006y7jB6upBxPayKDvEJq/f6hlSIKZ9SLFEUiN3WwRsnTTuIJHd19FoHxMSQ3wa
zp+Z+/tLgklbD8GJsXcokPtiiszjWE7lhhDlG0HzDu5evEPpmN2ZubLBt1N6Sjsc7Gh+gqB9FMKB
rcZc/JMw5PXs8N1qVBp8OYscxmwXaQxp2PoGzvSNWhlf4RcyNMopYKrOvxphvW8rE/KQJd1BsFR2
E1ok2oJsPHs+5UKvbbeve8PcR3M3+wo26AQIbtuY+IjT7lmd1HYHA7R7SMh5v2mUyDqGunAemxjR
TNKRd8pI17pkV422X6A988vE+gro5lNu1vdd+CObD6qZ2/u5nxJAIUPxoucKBNGuLVyjmTQSoq2d
FkaAFNURnDEN9PaD1pkdzsQ+wlgk562n9exW56qJ2Y9YmD1MGZSunHxEqcNRoWsavIvmjl2/K6bk
4+DEju6mjS5/qRetkjU9DW2mbdU0uFeU8Lu+pG1nTrJP8vI2K+XbLB43/cyqA29KUafvDu4WIKMW
mYBG+KRLBBTHagYVSY2rF90psj3LywJEx6BEcmU8uSCirKumC6koBMB77wbHOMLj3KcKk/qyACgY
mhJ70wNI/Nz1avAV2r7MRJ11nmPk0qUI23lf6Jb4Qs9R3/cVQE8m1w4mqll8KFtFXKISVHex0nyp
x6DBwjl+YJAq16OiaEcDt9mnsuqnZ1lunrM0u6I9Axm5Q7h0heIoO2RjkbDUk0wSf5102PzsLZQ0
fdacMf1SSsFRVkhypfZhF7WrRuKoyM59UfW3QVsd5ST/HrBlNI3MTYLZlQr5uYiZ8M3BN9TiEILK
TFSmuux7MWBmzZsXOS43qDZsdrCZscsqYxfUwGJt6QUJ8a0c2dvMugtl2c3kbFfUIDRTwGm7shvv
hJJ4sEyHPX2J+Mii3ntySwp2HN9bWs4BokI1VQhx0QezchWqPMhUsQ9VP+9Sw/FZ028SGUBlK22l
Iro0G4BGnSFBhk2/o464z4Ia9J1yCyLSFeEXNd/j0WDZaH6Q0UvDjliIDw2PqEeJsXFimHSGLhK/
CYbPpVEBg8x18zCYZP/o9WB4hW3rD4XAYJS3aOdMdVA4csufodeld2xsODvID+ogl6hPPgPXdrZq
NMweDALjoivsSzSi2NTC8loW9DdIPr3N6qryjCIt/Lzk34z6tREP+8IsL+jBsjYoBiQm6XnSrNor
h89a2m3Z3vK70AfySQycPf2ItBNcUXNGtzgwd6ShFJCotcTvJUaeFRTMqEmztSCiwird/SzF/FaV
6v9DQy+FIbRZNDgWUTdFoffqTx/q//O/KT+lL8GvBShcwW//kr8KUPoflHcwZrFpWKApS6P7zwqU
/QcX5I/RqyDT90/Z/N+WXuMPpGKLu0VH6I3an+LUXxUoU/0DQACunr//mPM7Fag37RksNIs1CDmy
zF+65qhUM/joWNJB4Ha6fdHPWeyHdhLsnUI9l2T1pquwXIpYHkQ+i+xtnfaEbmSYhQSjNVAb6VK1
x2EXYYncQNXjUO0U5rI6tr+r9/l5UUQxeJPo/68dA8KGO6jBl4aAHFUvNg5Bn4CQ/NIO+uKMTGOp
cv9TyuML4FKOhjcAUgVe7XUpr44l7kmuC98qzOJTrNuSZ0bt2e7dWxTSch2caiCwbD7adVO8BB+r
wkIv/EwINHRNPrlqmxbfJs7wl2WjiG0yR+IDkGzqLkItn80+68GZT8FBa7LRc8KqugVayxQTVJyn
RGsZX9uKYOxMGUNPmbsvvwyQv6qevwre3/Qb1UVZiIAHg4hlEs30uj1Qq9WgiiIpfIrAzgNKyXFD
HudC0yDRrC9y5UxC+YlvGjgKD4b2JiVVnbHzazui73gBUTHlhMFa1rYOldBnFwincabG9fu3xrf8
8/Y0E83M60slUUx+kszwEV2rg6Gl0toEIeK+okl31BOkM9c7dWvMUOBF4W7REVrdGktekiI1zv0u
KqUHyn2pm1tlddFZ+Ljev7W3MgReG/oVVBdYTnF/rq5lqyEgOgJ8fMNWMC4PcZVtND6Y64aKHOtP
qF024VheZ2U9PAwjXR+vkox4QyLWOXPh8oWshpbBHdOPRMBKt2r5wn5pMBWtLCyRZ6VvWtV4VRaq
dJPXYAeSUgzX8zRGx0GWktB1sjE701U+MWsZiDCorkAdALKwegrQwaWgLuLS1yWneaCS2B+GMI9Z
QOkqw9yyH3oACGcu+tbxx7P/9aqrZi+Rb0Wr0HviqbdFQe2ji2F9k3tfe2CvxL6SzWk64jCm5qtH
2sewxnK6Ux2g2KD6Sd7wYM7q+o9kzjm6wNYBikahY/SqOdUfqwlTGUIoKXwOTM1qvajPnd/tIXMH
iJoXCR3KJG0d50hOyRjLAJQ5QIvox1TXhLPAjX60CXC9gSXdbYN+OOeO+vkhrD8UPliUez9XWnvV
TkH6O2fUaKCTCqzij0VT0fRwUmQVcgMb5cLIi4TBGmcTddC61w9p2CTPKJpbkmdCNfuU25E5Hoda
0rHLEPcae9qUw4uy+yp++BcDjEeDrYrOKTixlTQCAsE4myH8wn6gpanbxO/EQ/M97a1xSxaVeldm
lrRRjRqbCyjbHQLIbGuXaXnma1tGz/qhIVjRCI/B9cfm4vXoUmICHtIpLcFlUy5yTbkzfd6Q8WSD
Ub6ZlOrl/Rs/MZqZOaB3LCg/3hN96V9HczU7Rho6TCxNAqWjsXXqOj2kbXq2MkKh8FshazEYDs3Z
vH/hEzfKIYNUQJvNzgISe31hx8yJGMko42cUIz3w/9mBlNzOVyViAgNFH89Moaeux2K97DzYxRHf
+fp6A81iUYiABzuYibo1Kaze4P4i5yPsEmuvsJ04s/S9DYZkX4gplB2lrZBuul5riYayhT3kzJQh
dVXMeNUnOKHpnnaKues70VwONXjveMR8U0k0akSo0I4a8q69MsdOB2ERZCYlfIq+g6LGd++/gROz
KeZ6kjpZmAFKremd8eQE7UCTHCNf1V93KqQKCR38Pq9Fc+8Yg3aJkPHx/Wue2JeZbCo02AWIy1ER
r97CnKRqjq6fPLwm99MgNa8sKazOxDS/edeLE5CWMKsykw9mj9dXiUtdgW8LrL6jaXOtKD4x39Bw
Zai2vdKdmTpOXGw5FCiLzAklkLWaOQazAEgyTY6HXKS9Vwbb9gqSpry5REXbVpp9ZtuxfKivZghN
5RxCi5xjDs9waaL/OmLrsOuHpiPYQ0UD6fV5/dmRALd3eVNcDoWZ/mjHLPITdiIH6ov99v0X+Oaj
Wa6O9Z4leCHfrfVqw6T2tB2YIAyhNFeKNv2YNbyZOqFkB3AY2WWqBcGZ5evEE8YmAJzMWdgeeF9f
3/GUWBabOSwnBejR63msTFrckOQlVYu+zD0xpu/f41vF+XKTJBGjx0Fky77r9QVHIynnAlGCNxfU
NAcBQ3AJ5yMri3wSkZDpFaRSuGlx4iI4AbRjM4/uTJrde9J3st+duZZfw7K0/BzQEWs/Rsy5pejU
UHiYdTta4gDDhrYdnrPQ+sReITp398uUv/7A4Jqg/kBtRuF3tcvSO9Npe3gBJC9ICgT4tL0wpU53
Hdh8OykFNpmZdkj/0khr12yz6KCoxS37AOnMe18AW29+CSUA3jyu2cU0+/o9UIykpaLCXs3hgUwX
nMwbsupqmO8boRGk5E5UJiPa/5UdPRT2mAuKe01EhquhTeoGcBcSpcaGTz30SvtVmuFvAKqQrBF2
SQQsybbaIkApJex7IdSB5iibyHwXhS3dSqel7OaVjK7Mx9rJHVdiDNUvuB/IzaMj2Lt5Z5J2NQii
q4At9TWFoiEHyakDW96U1EPpJHTCyS9I5KMNWdu90PxCS+l1k0cU3eWW1u/zSMZIhSmLMnnatcz4
jhImMqUktKlnVt1lVX39bg3bAIvME0WII68t682gjUUvWn6hbLeXeD+JKKvyFKY9LbH3R9HbUcul
kEdaCzOGxNXlv/9yTlDwBVMCp0FOBa/aJebSfLe1fJdMdXrXI8Q5892+/VjgYi77t4VIDBlntbSQ
T6Y5rKySl9Mc84K0ga9FpsKZq7x9gKZMtiyDA/AbEqnVXVVzlKdNy1lS0lQSbswEObbCwUcrW+cM
auTkpVQFcRPlDMbhasfijOSNqQ7Rg2nB11SXFPrjWYB9srXi39zVciEeH7vP9VZd9FplTQ4ZQqYw
xTbNisqziQ3aqGV9jnS5PKDXX6DJ9osShLJgw1Hvv/4s4q6WSeUh0hJ0bBbQAjSmTSSJ6bKKrJtM
1n+8/xWqbz8LrrfwdmBcUnJaVwWoQSf1RPCTNydIvxB9LOgtpCNj607lSBenNLW7EEYbE9psBxEn
6tJA1dFLduGj64KKHzvoE9y2NeTPRJMQkcnsST/YaWqjcsn3s1ua+Mh1NoPs0JGiKN/fj1mL+KQm
ILDdFmUo23AQKoIu3r+7t6YMyls6CF4DXQYz5boGIeaJJg5CIm8Uhflg1uP4QCbd6FYdJDd+cO8H
jlXszVg7qnjUrwJM32d+w9v9yHKAwFoHuvQnjvD1Cw0nY9C1ecDROZjDvi+WzSpesG1cZ4VLaUQ9
WKUAk0ZO2CX9oHOa9rfH8+UR4CXi/tmXsA17fX0L0cvAzkvy9MReZm1O2R7cUP2bqknB1aRg4XTD
XjU29WChHBrMH/SkpT1RVrSA9TnaUizrv8m4Qdn+at3OCBU0CIVcZR4hevdFpkmXsVOd28a93Ujx
sx38c0sNhT7OalMjB4ZCFoxFsGjFLE96aeI5AakfIEe7nVSRAac0WX1mTn5z2luqoQr+Yt7WIphc
Db4Usz7BBQEdX3MyPoqSTr01Lfji0iJQinCcQxdFkxdL+G/f/1JPTWZ4HCjLIfyEfrGanVFXCDZK
aegnigLrKFYt38mEfdSMPD2zbXhbLAPJolChovjLiMAg+fqLkEI1yulyM8WkaocW055vc71QDtaQ
zJ5uUkeIEjXcTZKe3tvJQHvMSUk7KurMf/+m35aHF0QOulIWDG3Rly7v45c1sFIIc1eo6XsNzuEL
Yp/tL3IuqtllzphJACvBexNr2/lOH9udJ82puIShv0tbs3xpB2CCTEPWJQl1cuYPOnoaq6VF2JEC
cyXRBN2F7HnO/ei3+7/lRy+iWj7Mt4/PUeZECZeKucYG6tLRpk9BOMrXRj0/BpaZbIcJTZxwZt3P
yqy6EsSsXjS2ke3OPLxlBKxWCk7duJDhi9OYWdc8i8ZS4H5mAWNW0P3NyeJ1c3tMt0adak+xbFYP
ukr1Dx5z66ds3DbNklDy/q848d3+nFyZXZbtsLk6Sva006ui5ihZOQMmHSktPmUy23CpTtqP/+JS
AAaQR/PkOV69/ljquoVjKVpCaPUaBIBuZfu4iXRfEFLw++s9ImtWYByJy6liNQ+A0ylzE2q6h/US
wX43a4HXxH32XYoJ13r/tt6C7BkElHqwNqC75SmuJmhAaotXQBae086I9TUcalfVrKdfm07pcCHQ
Tp2cOjmgU2PSQ0FLJ19vHgomoesq0bsbBTERRWXiLc/8tFMvl60Bam8Oe8i+l//+y/BMtIqXO5AN
zkQBb9QkM7BIO8Ltyd8Ozjzyt7BpDpPL/gPH4mIaWR+rSCyfQkuNAz+tJ4IicGmkUOuGpQCiIFPt
pnA/ylLpdzmRvXVIQEkRVeMuWdCz1LeRIMlGp0BsIpKyVNsc2bIMTX9SSYeWOqUna7npro1onK/U
UEGNIgU09atW21OEgnYCandTNeSqE4ckzrlDT2wCGKP8ozP1golcfbtBo3ESm1AzmgFl0sZJrEtq
Fw5I2UFDPgfKm6hvjR5X3xioQobwzDBdvqHVXEFDAOcC45THuz6xB1E2ODoEIC9vsm6LKLDfV5DY
dmIcrwsDBdv73/TJyy0GcODTlDDXn3RN1PfM4Uzi6FccVSPNl2g29lpQfJACyZv3r3ZqQcNNxIUw
3C8lptXimc2y2gxyJnk43SJ0cqqzoTwRHpzFglZpSYlkZjK6D3Oflh8DIFaHsOlNSKSzdeZMslxp
9Zw1fLAkm8BsIOxjNZYrup3dVDSsDYS7HHsxim3GYD3zeE98TfhAmG7h4y6mPvX1uKRWLTmBIMW6
k7A/4K4LbqV4cI6ExpZeNhGd3PKj3amdlW2kdNKZaeHE1gyrFnukZeFR6Aq8vnyuSR0mCdJUtJJ0
vGwOnG0+KAu4OtR9ozJkSh+hdGbZPTEXURiFPLNMyVx4ddFWGVFBdRyXK0VYm6hF4Yb6y9qI4exU
pCzbjvVbXMpaSy+R0fKz/vXLvFerkuowEkOfybHcZ4rycQZau8OgcNNISnQkDa/cF/Zk+3o1jISK
ySGuWxLhK5oge504Wze0c7RnuaZslSnBISPgvARgUd7/8k88FAoRSAIp+rFbha/zaoKOGpA46mgG
fjQPyq6FiEDXMUi/dGz+zs3PJ7Y9yN3NxaEHVBEJyupaozNZXcoOVVbT4mAoXQ/nuDf2YalKLiwt
vEBRku6J7tZux3L8UhhRcqnBadt0Qs4+qOh8dpmB2y4DMbXrFQluTl1SaUoN8dJVdG8Gsp4vEJO2
t+8/pROzEfX0JQdn+d3yuqheF0LRtViHZ+1EPzS83p4GDn6D4jLekbY5/ouXwoGLUzXgXGgOq5cy
VxSqhlIl6mTMbWqRogQ8z0IakChPetLv3xsqFQdoOBrdN9C8vCkbacw7LlY08s7WR3akaWwfipza
v1dr7Xzmgm+7NqzRHCaZ5fCbMcetbo8SrJRBeaXJroXKrm81a2c1quwLQ+zmWrohGcL0rRhPeMCe
wi1NWb1p6l7xQb9Xx1jTCALE/rypBv3z+8/i1GjgBEU9VGHgYk1//YXGk1ZOAJgiHySyvY1n82Nd
qcLHFxScecUnJggkDQth1Fz8sj9BVb9MEBICpdkyFnOLDuwgbLMv4GyQaltFe+nkinlnWDQnHUtK
z3zKJ24RtxTVOwQ8bBrfONSxUQgh8sCXcgW7F1GHbtFENAk1woZ++2liGzSZBKkZLE2610+zDcHY
tSAC/aLP553RZwWwBIO9X5Of63WeWDWprS2KMzrLBvu015eaBH3XbLkrO1DEFSnP2lVR4Bl//4ZO
bRMW8CtJVRSEiK1Y7eqB8IRpZUwks4eRetEREeFKnYPdSUHTWAVZf0s98ZM15niHEiKen+KhzPhs
ZeVf/RJKsKAT2K2wjr++Ya1vJxXFOVVSZTYunaxn3ZzykeoMOxQPFGQBn4vT61Rk12ZsaxhjJoxL
M/6695/JiamReQPVDE+YRoK2eiRJPmZqrrGATFUhdlY5V76m2z9CUwsuYgXD3u9fjoMiOgLeMqWW
1Ta4DuS5rywATE1VSX5bsQ1n8gLGP4f2Y9LYf2k8/9/xpWyQqL0tQknA+W+e84zISTSFHvjmwBY7
IbXGQxI7bpVgPJdBeWpk8m0tDXTc6wDCXr/SvNKE3etU1jN4R7gSitqzssi4gyhy7jBx4lJ8OkhV
kCYi45JXm0zgZqZEIjoWHw0jVSCo1pEEkW7xW2i/X5ZaaHv2AlEGo7Um7lVR5Fg5Z1GfWMLmRlMz
89iH9nAZz9K5lLxTd7WsmGwrmW3YXb5+gFllZ7UZRomv4slEP98iTdNpYlVu0vfjmcntxIyzkAh0
nbYp5ae19EDrOxugfULqgiFXT3qrVRdNcFbDcWKfDgYB1AHNYPZO6/JWVEWdrEY1smxRZDuIgaFL
3KO1HWbcdnahUl2sAZkkyZg9hLWV/P7gJkiHbQG7kEWeu/okK77WkuwYeKlmOJBKPN91Iso+EMja
HooxFme+lVOtBHiUFLu53CL3XB76L6viSPMl1ZQq9snvqL8K3ua2Uvthmw4AxxJTqH665PN1Jl7n
mTiNHRbMyMPPaO6lNrc2Wt1j90Nnu0EwmT/EqAr2Sj1ck1FzYVEBAeIa1s+t4hCxrKnBbdiOikt2
TfT1/VnqxMdBRRK7PD5/ipLOanwpuYolOiOZb456eZumUv1ohMk5ut9b3vFCs+D8xERooRVYb6hx
l45ONyqxv4SjPNvImR/lhLC6RAICu1U5TQlojtKjRer9poj6xyY0M7robKXAWCZ+HQdaf2aCPjEI
KeIxq3DAowq+3tjEszGRCkzAeJpO8XccOcFlQIj4MbLzj+8/5BNbKOYVpkq2UAtNcTXc1c7qSTnF
suDktXnkHJUc2InIgLgVwnirrrsURhvv2ILo+/evfGLNWzKrKEtQaULXY73+TLsGBq6xhKjTAY5+
tIbRbIZJ6wO8FFWDtX9ozzzUU7dKoZ3KFneAcGB1q204m9U8kOuedLDYpxjHM7JU3Q2JvNkmcWXf
iR4sp6oHxd2/uNWFGcGeGHbEuhyRtA4JPAUPWUeVgs1xGh4be3qe5HHc2bljHd6/3Kmvh+IH/XME
34iX1jc6IfjSYwLec/y5n8YljVsZFVJX8Uv/eP9Sp14iW3xYMayBNA6Wn/LLXFPm6LFzsi9BHOfm
gcRv5SVv0+y2V+g9a2bqPL9/vbdzAtvSBVlDvZ3pzVp9NFE9Y4AEwO2bEVF0JbLta8Ck+u86AJBH
/XqV1YzNyRg/X4qeolZT5bHPcyqEcCpux0GON+/f0NsHyMTDZpulCY0UpcHXD1CR6qkJ0znHhxda
D6YqP0tzYe6d3DIu0rz/i5j03+7ETnRiF6HDQvFiwLPRXF1PHwylSuQg9+0kTLcFZ2Tq2KqJo4ht
rddmjcCZlYobkoM5Po4B9j+rTqL6t8ciPwN7C/AtqqqAVl7fdgnLt5WtktumLvNNlKOx78dkmW71
8oMxNh2kBEfCq8Xh7cyh8e3osH5G0i19I2B562Wlz3U6QTaXlukpEgEXKbvZDh2vjvXgnLRyeZqv
K1jLtZY0dBCraFlWw6PRyxptRpX7fLPat6kCKxSB//PrEgc3W+7wMqmrdAvlRvfkooE06eTlmXn2
1JBBjbactxbDyXqbSkJ2a5PMhi4cYAKCScr2Y4D8/f3v+OSHhXibbSNzHD3N9REGNTkaQ9SSUdWA
XQrM3k0B7tHTn/8vd+exZLeSZdl/6XGiDMohBj0BrgzBoIigmsBIPtIBOLRwiK+vBVZbNeNGNK9l
DTvNcpTvJW5AuB8/Z++1beJJ5/CwLHaxZySwHIM0QU2R2MnPv/+Ilys8ewUFDwIRDhl4LJ6/VcBG
0qAO7HKnax1GzsR5rkJqc/ZBJcSJOy9nvoxlZy6YfP9+5dc+YyC6W7gjZxzrpd5GrH7SsGIMKliw
4C2/CmgYOCAJDo1X3572f7/ets5dvlj4wzblHyUCw/Lnf2lerIErTa5n+us/k7W6EB3AwtzNKbbC
sWICO6ZDeiXT45WTOyMTRD5b55Eh0WUlW8sxbIsB8F/oMo3qE4oxtdlV3VKo+3G01HH1Cnn089IG
QogGve2KmqSIZP7n3/7z6bFtprDNB/cC7ltlsJftBLuOAfcff2vVv1lSx9sNCFx3BDETdObl/yeg
9P+9dm6vz8VNt1BukKAMUpckz4ubblRB4+kQfwJ9aXSdVWhAvXVXW35o/YQuBYnQtdmJMSbIzsdZ
0ngbTxBTxRDBJwPFUJoa+o+CS/TVJKcuavrJvqYve/VHIjGBT0Whw7N6/magKjNJb0UuvYoOrpjy
1xsQUwndjCG5svm/0qCn2Q3pmAqaNiRT0+fXEo3shYu9e1co3L0g2sZjNgnvO4CK7t6f1XL2244d
WmQaA3izHtRS2oesHdpPDMiyfePTk8Ue0xztaimghhZ5XMkxP7RuHl5Z9l9boLZRGK8u5BrBpvv8
xy5qKOkWYlYs/RQN+7CWX/T262YryU5BMk9sPkF5Fk1Q7OrQVofOc695v15Zi7czGbMaenkUaBc3
zBoSAsAAT2GnzqZIwveJaIxcWfARNb18UTfvE/OIzfTniIt3gPDtfkQ3H8aODbblXv5O2SyGxPiZ
58b6fXUb/01ftvozerAnI9uAQb5hAg/iqO7k4CXsfv5AkwjKELNclG+2Z4DwkNmQvUcZtwxxmwYY
8XLORe7eADn23mxGo0cdSv7F3hqTgHcv7EsZxPO4UnK3fLBjxPfjdftuyny1Q7/Y+LsktYuZpWOD
NulBmxOUkxxXvbd6A3CVZb7NEtV9S9XYdlGDvhrBgdJvulEuKzHeG5+KqT3+9KwwvPnouwwg99PE
ps4Q1wDGkIlpWqN67NQPm/0pIQFRWmgunbCs8aYtU56dirkxzN3or0itNGJM2ew9YtP8714m++C7
tJYBzsyQaBR6+4LG6wNcM5m8s5XoRBFNZGwYH5KMqegpWDLbPC2WhXeATibXgDni5YSmqKVu+8hM
k9kyIkGvlQwP2zVMpyO+tOzzz0YToESNbD9pq4+zQK37seYgyprq+336TS61WUR5mco3yzT42WfD
0lj/o3n0mvZkEBLoHgc3S6HzSN9VJY76wZrOSRCSphCnZSY/1g6dcI4CJWCeLZ3hMxGgbX2GjRyh
veiMyBzbYo3z0qrv20FJ52As9QiDJnRlsePjBKmjFjLuT7mpnfQOJYpRnUBamfW7YgCFsrNDlQno
OQIYD0a7ZECpSQpNlIx+92v2QulGE2wvKzaNsjJvjSlbf/j0PL84mk5sjGJlBWFs9tWjsCb00AC7
8g8AO5Z8L52RVMcUSsoSu6Ou2/tgZUZ10yzDAAjM1hBAXEGTbwHZMkUzvZ40yhuj++hYRevC53Ko
Kt3UbZ8yzIAfx7LonJg3tXywetNITkxwjPu8SgDszGMHb84GVVbvlFHoU9gvHd4MJlXv2350WlIr
JLU5ACXzNsAyWiMQrUwPKIiJWZhjS4v+OxdT5JccUY5OJpf26C6txsaaw1mIMtiW6B0taxgiZ0mF
3rNuQJJYu8n1YqdGyvkAnmTW911n8Xk2s3cMDW7nMNpf3TW3P4z83g4FObi/0O4XcUwTmlynvjVI
oyWJxv41ZFh6Kwdt88Go0hYDTdmqlGyfMXtQy6rTt2u50AvLVm/6WRCsKiNvJHwAs+Q62Tdk/IBv
qOYpGw9uZvl1HPZVBkBJW8172Ddmu6sqxRSvcTPXPy6z14YnUQq/IZrDAdMMis89DCVciwP31xyO
Nv4/lIND3qVxk/dwdqfeggXeGMXIgL6rpuyW40B3SNAarrtgQthIx7NO1bloxvYnknj5uDqDofeo
1abm3DgwkHc5k+NfRlaQ+psZy3Rb+6MbxjAMfXITrJU2BvR/BVEhyIPDaqmMqKeZKJ5C8WiMzhID
ecWUhKx+pQXUwkossEdun33Spl++DaBcPIKbBhqUKpm0j8ZiVN+HquwkXDTw4hHZDA2iERyADg+2
rm8L2VrWwR/o7xwn1F7rx8XypwE+kZ3a0eTWGcyUXLh7kh8XsjJKN+yB5q/DDwndfo6asVKfLFNv
kJLENoooRZrbgiCybBUv3RxkByPRjYhM6ly5V6EJmqET9fhZlAucjlYri7dVNgeUA7k8iHY2SXbv
hP9YBX1KZrVNYDPdNTJYSYTlioFoVngP3uoopE6Ne2d15fLLBmdkHZCQhF3UYvX50ZfCTs+GzNVP
OxMu8cZa6+9e6zfzKS/ICYnyQnNYLLF/fMsgwARxakx9CULDtEnsWlXS7oo0T8zIFlWSHntibr52
TARkVGdlAPDNLevvvk/yW2emNTAbbea3iRyCFEGS2/3AqKpJLpmIOoSSUtXV2WG3el+pRhVRUMwz
ESqhqn/p0Qy+uKMIzkAURvYSjjwgiQ2XhlPT901w7BazHID7VfN3jygaUr9qw36y+tl7I9MuWx7W
oa2G09DY+EfIOF7HnWMO5j+qL60S9Ekvb0qzx5mwkpxZxHPqzNaevUAnqB+94NayM684mOYMZp9j
U9/vHIaidYSmzv7ZrJb/iWCX8Y2/esRcVUGlnwZWCe5g6JW3qCYzVEKjbbzLQXvBxl1U9hDUGqKZ
2ZjBh6WXLiuXRErNMsRvMYTWfEqV6B50r5vvQWa5v5amVbeYnalW6XPWgOLK0f1Vjo7z6HQZf5cM
3N44ZARnvV/B9vix7VRQlfpurbLj2no84rWVjrHntw4seHJc3+KW7X7A2U8E9BYVNCeyp70TMdRh
GVc4kZbIYDY57YvJhgzRQrr4Err1MO5yKUBtu1WYLicm4ja26EJVN5UwszSWRuW7p1T4dRlLkcLq
EY0zZvtCs9WehLHY1lmTYMXDd/WQ7HyInqSVuckxnBZSwbrJeFs1VnMmKW5+mvxqvst89irWNB2m
e4RHQX+vqVHf1bNLGKKxlFl+SIKkdPdMrtDNAE5c7h1c6Q6u/Akc79Rz2Ismw6/U12wd/OQ4g/0D
jaNo27wPfJv60E3y8DY1DG+KVOLlD4KR0E+zh9jDv575t2YayK8uVPY18tGHemcT6Cm8OShQ5d71
ivUHJKOyvLUyypVztXbZumOyTC7csuYdnp9SSSBRbrfziU33925ebiLgqaa2tiv52BJK/3UwJ9PH
IsB6O2UWES59yyuPZYCPpMpleBqkpdE0F8H4ZsHCHc91xqfvFivswMab5rtQy9HY+Y0piVmzy9G+
q0dO0+96VbrzzrZmJYjtXtgxm37UdzahxP/YweDWX/x0tr5lKpycT33TNmQerX3R3Jtlm1T7YHXT
N0Hup8WRX0z+3cK0J4wHv54fwrFa2yObHPOXcGRlBerGO0uV6efhrkxr+w3rduoeCDObmOerMey+
GGtepMeCu2TdFWWLX0B5MsvPQqT1w5QO+ptvKvkPHeXm/dB1LoPNNe8/Y2KS5PT1+QxFpBXWu8oU
2Q5YAaCjog1cEv+q6afQqML32l7kiWIYXA/0n3TPQbOWO79COXJwnLl5cr0mo0I0UPDDcwwDktPd
FB9Dryf1NIa9OTwUnPtvfd7ZJeJGpGTeaM5gbIm+eRrDEK4Vzf2YOplIKJhA80drKhod58sUPlUB
bKbIm/z2q9Q49XHr462DTJaTaxAqvB8MW5T8VlcdeSEUQhjMGNFAQGPzmz/Uucd3nuUJtaTBegvn
NU/0Z1Ho8a20Clx5uWtP/wirmx4ZPgVtVIJsPCB67b/mXdaXO6K6mWRWvfoWdINxmyungl1YhvZM
/DS6v13XjlMbm0DMvhEDkNY7C0jjZ2Lp6m/AHHpYS2ObAJDK/fcl7tLk1laTfWvay+ycJTra6lCR
1F7eMJYZydFj3L0r89yu40avU3JrITyFI1z2bHmc2sI+6mxvdPbuWIsvwdSH6cni+2K/Vn75MQ1M
ImBkko7FwVu6Wh/C1qx+6aaDnVsnnAjZTm0ohzbBn+6pQ5NS7lLQqHmMZkvacZ7TLN9bPblekdc7
+OV77TIuU+Hg2LukKup3Jcg0aJ9WHujdOhOfeA/fnx3KHdS7rgQuBlFzJlgR3QKdh8FWyWERXUCh
gTrxwEgRiUFoFQuiy07GoWjEirKBEHvivsBAxtZiG2fOKd60nwbbKiITFbHaOUudLsAbJoTsiJPh
bQ46b53IttkeESbiMkR7novzAl3uYRWiqSMnn/FCZRo83R54TzGyFwMzpIBfKRcK5pDg3Obu6zT1
xWMCCKa8geW4PPQqGd9MysLxxBR/gSnVuy2zH091UWEkvR9N6A0fbEg49n70hOa3bP9Y5yyFeyPM
Zn3T1TPQO0UtarL2BFS5JuN+3kKcP0eNEtU+CD6m97NfQpS0wELfzrTLnFvuW0DyW+/jwWHs0xxJ
FBP1UVA7TgdjzArqh7QiotPPhvKB2allg0otXapQz+UAgqcNYyK79eeuQOS/WuxVkbRU+bF18vJe
Gx49G1kkxItb8wbuZfE9T7UqiF+o6yKIt6HtQbjKpPRHU0Xqa9V18HJHjb3Ulsb4uV01DmmYbXiZ
O2nAY2z6cHw32K35fcYewc7qTMZHgjtnmrjoP1WcemnTvmHkaBklCMB+/ig0KC5YrJPxqYAw8aNE
rNBxe6zZRrRpFQ80LMWMg8CBVU25SlEHZSJ/X5s+n57ttQsw6EVyjtbCkntwhKSTWl7TP/jaYk4a
JAYYUpEHBZn0sxMYUW7arrPLBtpaESK/RbCLrGqMKguHU0TrWY4HO5zUiY1V9+iu0+KJHtf6ISzK
Eq09N22O3KR0ntaQw/+drwqdMqBrivDct/PET5ksxIPDmjlg9GxttKCMMGuAyG/Z5tAs6E8McWd4
iVr5ep9KpSQEYYpJNjGVvJmzllQ9K1kh6E3T3C4ROs/1Iw1F0qMMFoSabA6VaXpnC0tmOOOqINNv
Je638Dc9JzGqgBt3oy1HovHqeaC3UpnzwehCShNfuuOT7OvUe6jaNK/YV8atsOpz+IGttVgObEoj
w3+FJYlkGTexjp6k+I00qkr+Jus32tj9jTnWv5HH/2KrA/Ahm2xHuot8N5TNDyZuIQHGPDh1+Jc/
z7gw2C924EEKMKzrFJxlUoX/A1sdrw+Ngi0pfRM3XMyp6KyXRqJQoNCmWMz7NhXTvUtjRkQ1sHSi
X4kUpPhktNndGV6WfkyKvJuODbKW9MpAZxvYXPRGfyvhwJLYtnAvxZ1zbiwJ4ahqR++puRknO6As
LKebqsauaTiJc1MPuohBLoxPsyOXa63pl5MWlDgg0YgM5zhCAsnz7t5Qd9bsI8SNwWiStTq6aErc
vrp3QmvalVlNW3j17A8E1J2WKahvrbkvr3UYX7ReeRiAOLkBzB+YL1+03bDlUYOjvNjRM2uBDNu1
JmfXgZZ2Cu2UxkjY9Mmdt3ImZxFxuo8WJyneaVGJEZQMVvCmGLSMW3uwftALUj8tDANXVBUvJgf8
SKJDsfMxkEaTctGCTPuwaAun63Y9R9K7EqxNpAcxHEoJVy3revSTIbigK6/HS3cN7c5NygHDDdE4
jcnnz4dUzjDxFMuDbnrvU+KM5U01il8pwOC7gfisaK04uhduCcecZedNmYdWRAhm9QaYgXlyiDKI
VDrWV+7Gy5EGvwsvBidxKhdmkRfz0C7otAvCpN2xVTd3hi9JHy1o8CiW97u5hhQhlNc8kNgo9iEB
V3u5qHU3qVKe/z7SeKlD2X4JU3sc7wi9HOeiP+2YmZV6yQrapxLhJ9FujMxlCHZKNsFNMDC/d5Tn
3Clnadh1M/JOq9bY+M5DNR4wKXY7E1Dytef2yuuCrn1jeMA73Kb8z5+bWVmdCmwDOpIiOOB+ZEE7
zmI032onLL4vojbe4zvmUFSQcHQaF7eCBKNUW+wS6F/23iMx/WYNktzf0YppK8S5PdRQNRCoGcGt
kD//fhtfrEPbXUTcQZQCawnS3Oe/1xIqnZpwanYTt3I+DyJJvLduEWbL281EaMUdGheP/7UK24io
uF7RohwhIvz9Z7zowPMzNtk5M1+LF/9yKSiLsGmRuTbM5xoqTauZituuaLKbtW/yY772yXLliq88
KD7njbiyefAxWj//w8cZgkTahA2nx1x86jvvCbh1eR9kOBPnVjeMXWRz/Lf/SqZgZHqivmYH2uJQ
/lR/LMQ8uarxMcaRQ93S+6Ei3ZpRnD+8dvrELmhfueJrXwnKD5u5n/CYO11iZch+c9eBWniX9Eua
3pQSGdvB8Xr6W04xb8TicbFuAbabQRRSn39KHU5lwvCa9xaE1OSWIIt1vK862/7295vxyuoPqRD1
NHmwYkNwPr8ZGVpbhK1tu7MYSLxbfGyAhvRZTlMijg5/v9YrrxcoKlCgDlaKl4PYkFaYwQIByS3v
9HuOdcsTxhfmN2UQHKu1Sa+Mt38Ppp5t72g1GJnhX2fHgFu6vX1/6HzcVKTBHG7LgMxMgOw1Dklq
MazzbtXlXTTNwSj2rP9wZxmKtLHPAYhYEVEYX8y0NB8chg/llUHXbxjWi1+1sTvQrbGpXdY/Zs+5
u6IJwbmUdu/elg2Y2syRq7EPOVMxd1g5IURV340EAlDu/gQAhLl6kHWegbszvT7uvDbtOBn5aPg5
OcOBW2coP4dMGVCosz7P31atWWRR53jLl7mQookGezbUnhorfDR70FnRvDTrbQGdhHXQ8oYzPqAw
Iw1EWHpPnkhzZdd68arxNHCM8zBAOoGhvaj7lqIlUmKB2FUyY46X2gbhUA7ghdepv6LrePGmcSmE
VkgRNz8HIpbnD77tzCIn2Lve2UE3fkmRVsftwjLqFYRfRyaL/JV17OWOvF2Rj1ugXWO/sS8Wlc4O
ZEnnjysO+bRn0K1ityAOIKgxFZaApHZGG5hRikiSg0QznqolSeLUJz/k90f2/zWZeLt3LMh/rCYv
cuPe1/LbFof1J4v4v/+1/+IP+/+BvmP7ojb3DsPqTUjzX/xh9z82mRqqK59aCVfeBv77vwH0AVoA
hPebI4d1ia25r8ch/d//SwT/gRCBnQmlgQcr+d+Iv3rpe6LCZ3DOJo9Knf9s38YfKxFWmWH115BI
tUwkt4ZqPDCbVrOX61DAuMnFnnDnfJcM3c8kr9W+x6MZY3TqD6rAgjm6dn67DI7cC7yaV97dFx8L
6hBUkNSCeG3xcVwUH5ohW4Fih4wYgAekLqXr3hmdp56z/Q1JOPLKoefl5WyUc5upAgPLBjF6fivq
ebHswWOArCnQsDlpL2bMjr7VSs1DCTP88Md78va/FtY/obzb/9+z5ZbMNayH2GkDJMn89/n1+pKA
PTP1ung0q/kgQKtFpk5Gsm6qa/rA1/40Hi/V0/awuaHPL7W0vnJpu/bxaq2szq5Oz8T6qoNdh1/t
QLRXiu+Xmnn+NEzLPjsJx0iWnufXS+lC1u4IWWtcqt6JKx2I+qCNzhWRbtrkYWmW1mR/cAl8aMTg
3qbkkj0Q8VMnER/MlpAGgcxEc4aoI0r8qlT7pvRI8ygT/U8eIHtJkmxALT7P1h33DztAQ2jMW4UX
W0V9ujJBNZdrDuWXZA/+LhBQ6DzpNKJ73u7zH19LUhuLZyqjAzSlhn3nm0OsyrW+GbOlPNd+r85d
M/1shnw+UbGaN81ke/SCNze8MQx7NRvhscVmdw6DxPxko9x5gw+23yHdzg5M4er931+x1577Jo6h
hhW8YpeuxixkutemRMplhmfvqZ+Mg9mP4ki2DA2jpCyuPPhXlhNWKm4SWjIGNtCJnt+gsEsdh/4g
CfGjKY9jpett5K02uD4dZkTUS9yQVRcU+SH13OlOtZ4Xu27y6DYa6xRvPzo0huIZYb9/vxUvCnrO
6JvRl8BB3EzupdrMXXAyjUNFfIN0J4pIfzzORap3U9dv3NMhOyk3v2rO277hi2+cxVXg/eEcxapy
cT8aioC56EUXh10AeMhQ/8jANA40X9ITlT5pbv5IP7ODAxPh2w/PAvLDw9//8pdSLf50Knwo9sAo
feFvh7w/3trJN6s62fTIbWFo2pTmEjNM7PZZi5QlI3UZ+fdk7vpUH+3RMnb5ai1XDhqvrHV0x9ix
YLDiFriUkg7anZupsbp4SQkiXty1JLu8+BWsVXqtin31UjDhtnBgF232xTfajr1akznsYmWb+lhA
Dd5VqTDOiUcGXNAvBKbZc34wSXl5LIbcZ2jpOV+rUGe7LoAZYWzx7XIpyjjPjPxxKjMLeuxA8k6o
xRF8SrurK6fbIwabjaic4Pd1BHQdarEWOw6v4sqL+/KMtnWXTFoZCPV5kMFFLw4tEq4iIohgGGpj
XzUOniJXuQi/fHVY+RpPqNeCt+nc1Yce0V2c1kt50AGCncrN9FsvL8UV38BrHxM4CLzgYMiQrl68
UW3imS05hKgsaJfsy9SFpzsE/sMQKpg5RjLB08IY9ff3+JXFjFrovy96CWsWbb2Wnpn2sRiVF2d1
3u5Cg4QSFw/WA1AK50o9sNXiz79dlgvKjxAnD66P34e4Pz4b05zySSr921y5nEVArmEL13s7qKzR
6DOhyhmJHhH2XXMOv7iy5yGIpfsq+GZQjV1UBopZTqkHj/xKmYJA6rvhEGS1G9Wpte7D1WKemwVu
pLqy+Pj3e/zi42GrCBy+HrZt8P2XbQ+ELUSS+OkYy9wf75nsqLOq1bJvs6G/8l6/eIdwSOGcwajB
jo5B8qJGGFOc7cjsea0ZqcfjRiXrTFHtkbd+W9dBn9J5uNpTfrEec1H03RheGPCgsL04fyXU2qPj
kmsXrMxJ2sEOf/QZRyJ/Galo7UGeckck71NG4lHfUvd1Rt5cea9euccMiNCRcrKg3rwUm5cMDL1e
GBRjPUhqWZfzDtxcBp5sbq5U0Nt3+OwV3v5c+sN8Ngh1CYB/vvIPrhZ5FiDzLMcWZGXtrQfkLjk6
CDW/XTM0WHNeWA+OKpkGeuZyZS1+9fIU70i82QVfeNIMK514GPUQL+yy9yg1VHMGhDaSh2ZLme7R
GoTVvjLV5MfmUmRHXETVNaXyi2VjuwdsvjxzMPjwr57fg8WAGevC7YpZs5KjRUTVoe8H4B5lSfxV
4xdX3uvflcTlTfc5aW/DCwDRl7i9bG6EYdh1T5EIV50tLmqhDuy1SSIjBF9JUGJZkxmEuB/R2KqP
tUk+RqmAkDg64YglCci1wpIKidAxZxi7s5jLlEK5sffLIvx75KxrnEwETP3963/ZLOBe+ZDB+DLw
ncDoen6vWFOZrht86rLr6PeUgQnwwfVGxi+dbNZPGRy98iBX3T2KoFp/hWO42LE3q6HeL1aTXKUS
v/a9ssnQKQtpSvGxPP9BRpKqaU7sPvblVJ7WtC5Q3icLuioNFLmejTfeVMwntCsr6sfO+tFyGL3y
QF9bqALOhFsXhfPw5SzM3zLxmkwOsT8ThokWGf1v6Pdnp3bdUz2A+hzDRP/8+6N4bZH486IXbRtp
jYs/tlxUuGV3K22jPYAbVxQhpGn9/VK/t5PLFxbXC5nam+vwBaOs9lVgVAM3eaqC6dDWQX7jLPhx
a5m3n6C5zpzw7fKwcOY79EVXv2Op+K7ZQm4MUjvfSduBUdsyTp5BjpE5twx3Rehk74FflDf07vOH
uvPmw99/9avvKs15esTUk5v37PmrwbMPMuWUQzwMgzzoRm54/7q42RxykLqx3+K993dBRRCjrkPr
nFacsIc29fd//yWvPSrc/QwnNvM9pfvzHyKAN3dM7AcElEZ2mhIVEpC5qP1Aa/v8P7gUeR5bP49V
1b94KxDNgY4Llj5uG2M4rH5VnNPFhFVrTeLK2v0b6HP5VkD8Ak1IS4Tu6MWn56EqyQcZcGCaxoxM
orDZZ1MS3qQiKfZzprxoTV2co+OAkhBfzJGXoYj13AbIi8v6bLSuPvsD3rCVkLsdICM/wgORXzlZ
vPJ1ctykUsNMAb3dvDhhYW9gbuLNQ4w/bN5DGSRJ20WHp/sku5WTv4Wqz9WVl48jNA/14u7wulNA
cNClDL5c5BvAfZNp0lFJ19YwdiwcrXxrG1UyxeBVkncu+kMk7tUUwnuojZZpNerOW50xoib+tZYE
wRQJcoxaqJ6w26xtKDR9MWEyGns/jaENEAWxhjh046xbnMdA9cN4IkYpfJda2rkJIIDcTcE8tuSi
2u2trnkTY7kg6jkMhlwLqPSKSMDMausPhmzS6tgKYkh3AlHtycob5xuoXGdA4GNSDIh+zt7AvERv
akqihdASG2ByVdqg1x8bRa5uNevPqukQFZoToLa7ruwZmNreaj5NAXOCKJmlIklVZ2lz5L1Kv20J
uTJGY5z/YqqSgnFXWdVEm8ODVGN+6a5Hc070JAYAEsHmcUlYegwOb+Vo3ZhV5b7j/QY/0tmlymIl
ZP9gkZ4ln1riCnTstY6XxMxOp0+49+z7LZP8PNlGoMkWGfNj15bfgYhMZ2DdB4t2frwISAzRaNMD
2BTTn0JzJK6LNgkQYSsN3PF20oH3lBs0EY7rsSrX9avMJA9k0twcVImqElEo0SFEem6Q4c5qXT9a
mUFro8pcmFXt0GFEmvU2TWaLTfClpWQwcouqvU87gCmb1H1cdJroRjOvPk++6CraMaPZRclgiA9Z
EjT/II1tMogWRQ5aWXBgrvtwelBhB/dJOL3F7c7sUR/MoauCyLImyQAh3SKczaBJb2RHUiycaose
VeARS9jKcRp2U1AOmHnYaZeYeGxsHnk7wk50kaJFeUIeopk56HWWMA3eDoWXgmXo2RYijYnsFxUy
Amnh40W0GtBfWVh6IQrIybubJieQkZ2O/o/SH+jaiUmgIS+YzvtRUbeglKvCnKbTOHYZdxC17A2w
yumz1SIojnxzNlXUmL33j9evlGicrTZCZ4KWoXY6/97KekG3xiQtPm+H9GR32dRGHdQ1JA7egEIf
eIt4mtt2n6AGS6Olcge8InNAj7GzUxT6FqHD1YNZNvaPGsF4cw5bDlrR4vbI0I3C+ID6q/q6yMpZ
d2qSwDbTIWlYtRI9vsEfsErSAZayjUM7WTUPcDAzyh42qeOQ+ssbjxfYxRAkrZlyTjTfCimzL4kO
rCdjCsDvY70JHkebXPK47TNR3dlzqp13naMxPExmUH8bpBxYQVA3fqUD4cReiQqBc8o4vlNzOt0m
mQzSQ+Z58JqVCtZ/Srebzsp8RE+vIXDWFhznZvIsMqhqC4GQTspPc5UFnwLyV9AoA515pGXhMnUL
Odsg2lr1t6x0iOFeh55IZwxhKEfnUjziifXnaA6TOtgtgl09wmrQ3+XzsEEZDUs8QVDOvJ3o5rH4
sozioacx+y5AUjtSxHq9e4Z9Iz3Qo+m4xPwSdgA/h+y2cyqnhP5h5/UHMaycn5uG1wmNa6/7g4di
48soG6+ihbM6j97aojptCW/GnzPxxTm1Udsokd0E2kSNptFbp/aGtWf5kS90tLtJ+xwr6x673Gqm
CCfRxGZo1klN545kPFhmYihAUpHX+6lp5hH5LdLvWPs6899gURgIR/BMSsnOn8Z7zzJE+SEo5TA+
EG78hN4gHWRsFp76WqQe3jpznFTxKIfFSnak0SNCLXs/1PtSBFt4iAcLJ8oGcpQPgddYRwmzD4CE
DYv6RMMUNgyGyeUdgGxC2e2hy06NmVoMZfzBIcpYa4KPgxnxYM6q1vBBGM5nq5PeY9IGRgBigFzv
COSHEDvHx36ww36yhlGCgu5uZif/WCLP/z7WncFwldbBU9kvGgdgom4d5Lw/EcVYn9OkgYyNK4+b
lKnmPpTZXQcy+FYVy03LJKpHLz3JXxUHhCVqijoNKKd0U0Q+mdlEavvB/FTqcUbeOeXvR77wr+jt
hQVRcdW36JsHTDcu60s0SNd8KgYyjm/bJkAPZPfFTySgLFPGKst3QSlQlXBS6d5a2ub9m5BIPsrK
8rvTkjk2OjhuIP1Up3vjynVinQm7cj2VmB6qA7rz3I83TeZt2BtBu0cVGy2SuDa07SQg/6tNw2ki
AGOMaViW5l23WtV3x0pzKw5KE9WPTkQzxnnXOj945nkdzy4ihEaZxQ2YH/m+ESZT+jDMty1ae+97
G9wjL4HJx9v2hVOxqgZAISvAgA4OHWcM3mbr2smDNALTirRZTNmBcWuhdzOp4ly3n81PdSeTR2tE
d7Gzs9U9sw9nZSwYqVdXav6XXmM64duZmJb01g2/VNRYphzJ+Go4mgebUtbedGqh0508I5jf4RaU
WGKc6cblkLxfJORey1OEsDW5NCISEKaPKpTBV3T/OTMlt7tfkaB+XRI8ylDK/Sudv1cqbNulYUOo
00YjuMRbTMyPfL5YjvArqowUXSDSPnLlsIuGVxgTL1tv3BfkWSjYKObDSw2EzJdOZ31BdridBEjk
gl8+sv7INMsvnPXNeCAp7pyX1/iTL8rJ/6TuvHbkRto0fUWcpTfAHiXTVpVU8u6EaLW66W3QX/08
Uf80tpLJTUJ9NlADgoCuCjIY5jOvoQFMwY+qG7k3tZpFYB86U5FPVUbiDZ0RghaZXh7Z2vfJzM/V
7AUbb3kTNL8Mh7gwqkhkfsu3LNMgcvUpFn4Ql917JzYTH3Pp+RxORfoUma3r4+yUbVUXZCh+FTMz
nAu+llaUxswuBX5nBSSvW9OCGScc4BzNiD/h8fyl7aro6xQqf0gmUcMxRsSLK4l6CLxEXKrJDg9q
w6YJqq55wMj9t60t5WMhp0fNA9U5b+kRV6M2Howqc487gvg8zp7+0NCZPCTt6H0ZIjfDKTex3iha
/ttilHJklhk4RWlxtRQyUpvCqc2hJokIUoqAkzIBBFHgm6qTu5EmrSwwCSWQ2weAGSnkdZKqqbEE
/o8CmYWBzD4q8JYZkOJiX6XHrN50DLvZso48V8gf0fUkR7KW1d3WCADCCOGznVWECrSGJldmH6fZ
/ft+TnyzYxlJo7bnAmMjJVuqL454d4u0oo5c1FX5EJrO2xzS4BmJRNroKFuUZ+RcuudZuMrn+yPf
lDflyCBqEIxVpbqf3GWvGgSuUxdp0lbCT4bGO7PbypM9ClADgOR29Ww7n40eTmQFsOmIz0368/7w
ay9O/YNWNEaOWA4uzgy3AfEbOgZnhmoNH9F3nz8E6OXDtph2ntsXxy50kCiPpy1R+5XTgzIHcq1s
FmyDlk3eLgN+GqWEA7gFgRnMS+evUhVkA9OU+FXoVr6edN2H+2+7soDRZ0EmhBtTpaklF9yryRZp
kpdVhtRl7xkI9sNbfrYJVY+FUqlANOx+o+p3q9wvez9y6SJiwx5dZvheNkyEOIKsvOzzw6Bljy4B
jJ/bwehTcMBrOJo6CK/B/Eh27ew86HL7plTHJzdC6RS+gwZP1oEV2rdz+KuxO/tiawC1xZyND9R3
5gM0bnGcQwKFUe2yp9J0f6AMZ53TyPnDMfPsYyaM+j/v9VswrDfxn00pyr/b/yt/7M+ympo4jNoX
HNH/+9f/Nht5DlCTo40dIVulwGokuvr//AOOugFufflLtEvg1uqv+A+Iy8VDnkITHRtg0Ognyiv6
HxCX9G5HN4cimUlFSNox/WMij1M8JwQOCeDIJP6AK/EfEJf3X4gtw07mAKTDJ7fvP4/67j+Xplj8
+zWW6LZJDM0ZBTAERuVz0Ci+3h5JSfyYCJU6vdk6T7YB2SmEHwk7Swk1grfGiXdZ5qnQAaKBdD8l
b+soheJNoXwCfT1ikpUoG2jH2xoiT8UdB30PJW9Y2ctbR8FIqwj10bdofPzQM9F3u2HquVbn0n0o
4wChEDFrMhWDrx/uzVhHN0NK4l9G1VCs3VQmYLFmVVGflaxIv1R2bLwbUWbAhY9KTnt8tQL+Z1pf
T+PNrcXz4oxKuwEJS7SnFodMT+G1aPuUSg7kl3eUAOKHDtPDfWcThNwf6haVIceisiqr/Hz95fE9
ZLYeWhkktCif2086tOhPikJLB8RT97MOVVN6piSnWq8oMigOB0VnVxuH3M2hyjOAZ9Kke4bOV2LD
vD5U7VBUfdmao18a8y88AJBfAaEKDTFJou9WkW55WqyMZ5j0IdmddANvEMbhJDAeBmgHvb8gj8CT
9y3yIoLah65h1RZsKQ/e3FRAbFFtJBJBJZIm8+KGrrsqoDpZTj4AuD86bwDHpwHszeo63+t5xsrK
6nmjRn+76LEtkC00sJtSZXgZkCiZIH8wtMGftBgecxpT+XGcuCRJhel0aDXxh2Kn1QEYSv7QzRlY
ajQ59t3sNpQzZHzbjDqxOSIJf6S9cCX2sPNL5Bw2Svw3s8ODkgIAdeQgIhNYnBmDQlShj+Xgz4EV
PqQT5TLHrJNDlCjO+6HLvJ03TcXGoDdL4GVQlh1XOeCcpXGb0EQb9lU1+KZSUgm2ow7GqUnBaMq/
KmHQn+5vs9vmlhwPIpkMsjG20BdLfEzhHaKJNfi5l4XnyupBmmd29WBGxow+TFNeqhnHLcPq5nPr
2cPD0DaVr1IqP42paZ9zg0JlAkX13LVwmErOpR8t8LJP+uhh6myA3FfTacuA6ia2AxUsDXdlbAk/
YxlipUObYjDcDJAgFfdYlJUUiyha32xg2VqUYXzUVix6HsLcmLCbI1COzHZ50QkGmbzop1BoDrwO
npzfZmih1E3dYGSNihUMjC0PwdWXJE2g48jFyj69Pn1yjFVMEQS979iN8haDYRXVkkQDfJ9Ux8Hz
lGOjo1OlIrG0dTHJpX2Visq3ZExL6ppjvbJ4SwSxCsWreEuE0kbaWUiR7pqx1t4UQI1/TkjVnxC7
jHf0/KZnRJtI0ewwfBgMtXjCCdbYgOitzYT83uQIhNNcltczoYuqbWw0EghuLQBHZWwYfzrsiD02
h+HZc0NTlrqbdl+aHuCj+1tk7cCSHFOVaJeE7QboFBb5WIix6Sl+VfkJBFZy0RurOeW2biOZrDa0
X5LiQ11Y4wGx35kGwAu9WAyn0sjr97D8poOXRvUJMnS56+0i/TjiQ7ZxY64cVyCiWJIqe5mO32In
q0pqeM2Y9n7u5PMpMAb7rBdoZbcJxV0P/pKv5HGzsR1WvoxOjk7aTGQFdnGxULBfhVZho50l0oYi
SdB0e3NKjV1twRBEiC/4ZThDeGnnZIuUtDYyyAfqMzIk0W5GzicNXrra+1inFxcU3OADRnoOVCmc
uCGi/hm7ILoQua0dNxaEXG6L3QH7jNIgV6b0T5Bf4lWulU610aLG2AM+EJJ1rldvc1PvexotReGX
fTc8gRTrd5VStQ/1aEPNGtzhBAfQ3t9/lLVv7lK0AIQOfukl6H79JLoeukEp6t4PnIiufjJllwyt
uYOlFuBXm8D0uzEuNqpjK0cg4Dfk/tiJHE9L+B3XBTVRZNxwT4vGY9DrzcNQifAR5/FoY6pXh5Ko
Tp34WNqdX8+0yjwj/sDWa3AZP8VJo75xhyb3Y7cLvt+fyltQPoLIsJUJhMDdkcwsDplWIAIAI7f3
lUTrnjslTUbQz11i+eNAU3UXm4iSQLMwkufJ1Dp7V+Mw/90L+/RDZnrBsEsQW3urDXVKXyUw9GmP
M3b2zlB0xfKLQY2chxbKordXssD85iEOif5bFv6oiX3JAOqxLGDahoq6cX6tRBSgisl+qGYDM1vy
KLRU0CzpvcFHa9B86oxWnITHNS80TzxiDLtlk/MSMiy2h4RgsDLA5Xrogl9/NFubaP/WdPAb7Ivw
9GvqUn0aFL2pDohFZxZaiRktvsYiydnN7ZB+F40y0qafRU4frMjz/H1ST9mwj6C+6X7nBPE7TMJz
b2fpRa778ax4Jq1xU/2YxlpfHEaUuIIzTYlY3c3d3H/Mem3YKs/K8/PmtUghDZJZUrXlroenSLs3
UEaqkWr8DDqhOXbRXHxz9PiTnU3hYUQt5z16PAoiVgRKM5bsAyIiHh02W4xOxSlQbkn3y7lcPhR7
A1V7RFFl3nA91xrpV4OsHeunmoAaed7PVi/1ja2xNgjUPzxguHoppi1ullzMsdaiPea3EQovsFfs
Q1MV6e/fX8iEU5bAeQinsmWKPleVGzN5hNtaP5/5/v0F8i3NfTWcznNeen4aed7G/fWSRi4nEM8D
MOzWi8fSIshPzKn1cnQQEalSxUOv283JjKZpH8xRd/FENQHKQEJlD7IIECKmFodw1KcDihwuPTNA
if79Y+g272WWJTWIqAtEH3H59RdV+1kYSUh65JWpA6a50hEdybRvIrBAHGiR8rUxsHRM6LAdyZC0
Ix8u2HiIm8qtfAaSbirGpAZQea6fIRGDhoCW9TIpLaCZwo7fJ5PeHVC1QVLIdEtpOGalT6qZxm+y
dlA21sLqA5B3QY8i5jKW+h6DEcZa4XFmSVsOnMNM5xFNY6XfYzEgyEu0DC11o8i+mrNq+LlWQ9G+
/x3W1jyLXbL0qZlRpb+egkL1Rmh80eg7RWF/Z/no+k5N7C0l75ULjiQPUyh8qLjAl5Ht7Hk15yCL
nkLDdLTDCj2rsTIeMjA13cZFsDYW/BZqtTC06KYswpaRaEGdunxEhnTM91Y0EqcJTW2ekrQRG/tq
dSzU3V8aN6SYi8u0APyL8aEn7wAlPgEQId3HfuVhgjO5sVhXvhS7hJuDOhosUmMRI3QD6IYK3RUf
1Q7vJCozeEyLptoIel7cSxcHBV1Pl/MPwAp7Q77xq6DPMIvWyKdh8AFHqQIVzVygE1XNT0OlOWjr
oh+107Bnfk4HEEnYb0yPNK8elckysPY2zAS4QRwfrFyPnnvkUM9zOWyRuG5BnyZBqYT7AeSmT2su
PvEUmzW3J/AudapihRK8ov6lG4r5Jh7C6e82CRCR0xJRoTjiIcy7p2edn9RaEfquFmW7peexsgpk
eQHgoTzXkau/nrMIRWbVKQCOUEOzobdNzn4MuvI06E60kSKuDAXkk4uZlJWW7bJ5mgyjniBU0fuF
XtonS7T2ZzD9xj700mxjqJXMw0IDyYSuzPHAGX39VjaiRl3TmT1QhtA8el3+C8Wr4a3i6OOzNafq
2a2zElBiaLy7fyat3Q0WoTCEBdtiTy1D1LhlHgPa+74YPB08HrLlU5mB9Uk89T0q3OoTyHm0Ye2M
ZCCkiqPmxvS7biUUxEjpUGLHTwM49GKJdU4cG4CvKQ3A5/ycJom3UxXDesIHNLncf9+VyJWNzXtS
s2df2/JDvNpyZm3ZldrrHaVPZXg7CdTt0EuL94KVvzck3PD+ePLRF1uc8RxGJEGX5Kbr8VJPF16F
uB63DsDBkPrlTunrz7YWGWf8mMZLgbziRoaz9k1JY/mmRHEoLCwh/LaiNiKLkR+bkITLdyFtRbEz
Jw9dWOTMJJipz79m/Ky9y/tKORtz3h51Ny2rw/23X7lzKXbSvmEfUfReim4A0tcS2GwdqmdsVsPO
tXeKK8TOrlLr0vUiP1AVco454pwPczqJ778/PGVItJEk4Ibg53ryWy3RaPWRfgFs63EtcKZLNofh
LolSZwfUIX4kuwbP59o+uqVb99Xap389+uK6txvLjUMzIpF2J/3SGSNqD0bYv0mcYtpDWiQJxBxr
4+ZaObNk/xSPB+j7oNUXg+qpagnqZr2PHqm5L9G2Oxoj1JeRgtrGMlsdCnGgl0KBxtVwPbuNGYZU
7Xg/CiPTGW2ayM8wy963yWZ55FYnBcgqCu4ETq4J4GAZ05R6WDTtaIIe621xmJsqeQSlSxLkBMah
D4YKgqvZ+lXj2MehMxETbrwIX7dZP+IB+Ks1024vKtpy6gw41w4atHWaInwDljNGBTOzTjIbISWY
7V9snPDs2IMCWNZV9nZWG0e08etdTM6+szsdFZFO3eTJycW4PCloByF+gSOrSRHkejrdcdZtDGaZ
zsGwfS2NxDMKOdRIEWV9n0VKTcFNKy92RTYvwLv7Xg4dc5rM6vdPYzAkHI98W2Z7Gfzgclu00F8B
aMZO7IduJt7kNA6OThPOX+9v0JUlxJ1D/AOhRPIdFqejMVCebXq189OkUT4YBax1WoE5Z2Td/za3
FLYIcBwiYsxtVPgy1/NL46jOC2vq/Not1CMwRm0HfNL51BWJcgSFVYH64iM3YxtvnIIr0SQjE0uS
U0NtXYpM6RONYsMC8Yq0hnJG89v2PSyPN3b+2qnvUpShcAnFkfN/sR/ripxpNtkjSq7nD3aTvnOc
Gj1WN0RPOVSCD0PvJcAecHoPK8QzaX96l3/xPQ1KtrBZKWMujRu9yTAFE8HFo3IQmGhz7xWXJH8c
nGn/L4YiOKPFTbfxhmcpQODUCIWySqHuniORoTY7p7ikwzPY+H4rBzkBsLScI6sCWbCYWFcNswgn
EW6xygkOcU+9rY308AS+o/NbKgi4K5Zb5t9rRx6j2gQrwBvIDRYJ8xzZah4VBl48HTyrOXfSg95i
yNAhoHoINODrbqnp586CYx+bI7BialUYYw7ZgzqU7akqzfpoiBxyuo3rgF1m5b7PwZEDwf8cgIY9
ijGxwAZA5AlEU/3CkC7fB1zm8ESq7OCEXXTIkLdFEBNt+VmpMJG7/w3XJ5Zk3JYJBt3C6y1ZN26Y
hJnGlhRhj1sEWKYuLb0HZBmSj1Xment7tNXz/UFvhRzlQUDqIGNNKbm1DAG1zHCqgkXa4E5xcQ0g
gMY4YmSWzNMbdZ6TU9+Bod7pQRc8wY7o8cy09F0XVwCDzdb6nJQVzAa1LL/df7K16ZCCGRSlDWrQ
y0xrTFrKZRFhm6GM7ikT7vjYhOS7oRl3+1qJDH/GSmFDGG3tcGJ1gUUwqPWR611/g7jVhV7SY/F7
q3TfhApduQ4hmNP9V1s76KUaBUqVnE/Amq9HGU29GoKAI9Csa3HQqqL4s84F+kZ1u5VUywhncY/S
6KLCIktdsNnlo7yK8LuAxYR6WecjVcotj6jxc1W036AMFG91JYTtPpk6SpN89mAosCHGtm6voET+
VKR59P1fvPdL4YtXp4km05FXD1P2Q9Snurx0LMSbMf742Wdm/4kuVvkv+qvcbBZIKSlhwNK+Hgq1
c530AsMatAvas6l4CBwXHSIcXmm/RWi3PmX6QJHPAuHSNyLdzTDF38RNabxvg3LLyG7lg5NekVVS
26ad5S6eZk48HG7mugPGP7U/NEgTu9Fq7ecxH7ewkS9lksUXR0NKQutpD2Blv9jQURJBjTP54pjy
IdULA2NfVdH4OTJnKjiYJiE02kTOvsT36dmB7fU+c4XyHfwBHJc5cI8p0d3FHL3iRBc42+f9pP50
CKCNfeTWYo++qnfpGjP4SHwrnrnLYV7EsFEaJ/ky0GX5F7sF7U8CXukbTDljsYSrDP3vePBaP46o
i2dexLmeBMmT3TdbDvJr3wkQnywWymN4iQ0ZpT+SUsO8gPFDP2qsgp9RV8WPtlM6Gyt05aSRCb4M
USSfdlkBbuIYQxeGoxnGjHnCzg9a0Oqf7u+4teo7EAqg5cRc5L5LHEc9DZmZdQ4OX9C9PpVlnaL3
J6wjupAwM+3Ku2RYAX+vxtZ9a1tKvMuJxSF58hPzKP4H+/n/tdxbm1/ST3Jpl3VB7+p6V5qT1QxT
aSBalc3OmRzlk6Yo0TmOhbZxma5UNqSoHaVEx0IyZBlLm2i11vXASKj7E8vWcDXjEP5SnanjpUs2
VX9u+SzsuBdQMqVBKoNLKP0UmaHu1Ewb/bMA0QRlPGZE9I8IXUE3cwER9g2WEIbZY/jQoG2NkgJO
e1Xd2O8io/xuYiN4TLtAeasQB5yzYkzezDm1+SlT441Lf+0zgAyj1Qb0X2as159B1EPTo/bGohia
+jlDD35f2zFyPXaXbJH75SddHkdwLkxyDbJWAFDXY2EcbFBq4EN0ThdFuzHLE5A9gO+ylOnoei4e
UfaNAdhQC1GiyKz9xhZY22mUW+izMLrDYrh+AtxtMmW2eYJ6qLvHILMUlE669FsNnur9rA4EMwZ+
lyLS670ewSmzY5qnrJP2kKldS/Ici0edZu73+w+2+lxocOqyHmNRyr9+LqTn7JmSFNooYzAdrRaX
CQVO1EZdYm3+6RGA4eL96fYsYg0j7hw7BpPrJ8jASRFndRfgN7CrJhhzLq4KT0GbxU/YJ3T7wOr/
Rc2L+IZGE/gJutVLfV8lHJUgKFESaqF4noqRUyftJ+NgzG17mZ12fmgtoz15iNHS7jeDjZV+qwdH
8sXskr+jxOVo5qLo1WBBkLQmIJZUm+fvY5+5h7Yqo0vZ6x5+eTlqSiNKebum8Eqc00R5lP3KvYPt
xiGYhp9iaucTh1mO897cbSSpt/uQzJD/KN8Ta3IsXq+AwrXLsoiiwS9R+/X5Iuo7YTfPsMrUjWD6
pdJ1vQ3pUrLjSUaJ8YEqXA81KdloJAis+TN36c6chYa9TB399MYoTCT1V3mnxajp7gIW0tFOo+AS
5NEbD4XYfWNXmR/ojvID853imY64/kAmMhwmirwH2dX4Vmm98iQiBVO42cPHSQ3KjXV8mw6wh4G1
Sr0NQDHLPAUUVGGkTtD5VhJgui7wmKIY5LjlDsMYuIOFa+1iMW+Kn8lCyHLiUB+nHYA7LdDhxVkp
NTQcs3FId700r3fl7E7YAAtbfIe/p9lY0oTJCf50/6NGOD3e2X0uul1qcHv+9pXGDEjZXo5uDQza
4knmXFTO6ABFisq+Pgk1698iClN90UFNfKJvp2wcnGurk1PTAyIObBXvwuslMztYNrkxxfohn0Ge
xXW6jxr2AJAse2ObrgzFGxEQgIikO7CEmnWOJ5wm43dnRA6YkWKagKe3vS+8TSXS1aGIbhDSIe+l
w3D9VkrSFnZtUmRTvegtXk2dBjBXKx5tXeog3j/hV4pQfCnOPpBsGpSIZRai906G2DJVizAa6Rkq
U4RBkdbq3+3am780SlYfcxzb/8IVZj6VqRiOqldMX+4/hbxhFytY46ZHmQRnEZr9i60fRV6swlki
Bay14RhE5tvEmAN8qAYn32vTkG7J5t5ebB6sEpk962iqAJ67nmKunNhopW+yA8To7Ryk+ONWnBn3
X2ulFcsw2BggpYZW3Y0sIZJaitWOJFWpyoEQpJXn4OjjoAJcRXV6DiA6v4+DYNrHdqMfnNodnqvQ
+0n8lmycrqsvbIOtoUJMorL8zFSk7EkvqRpYDAquJC7jE1gidQuvvLZ2SWalGjEqUFDDrydW7QwS
JSRC/NZoAKwL8PL5YER+TAH09zc/K5bfhk+ODGtlXeFVqp5WcOwG+pC+gYecT2ynPeR9/6fZFe4W
7GvlhEX1m3CUmhfVveXmV+AXUqKiwm66JByNKcpfZTG7e1xe00s5K/aT2Zofwn7QfiZxPH/1Glvf
2KhrH5AgiW0Cg5MTffG2Iy63radxuUQ42/vw4eajcPtkY05vQzEcdE1Y75KMRSdycaCiaZOXDTrr
vjtFMxfHEFx6jEoPRul2b9oaz1B6DVTD9SxDpNeLN4ZfWz3AqwHW4jFEk2FxDhhVY0RWT+sPB+fk
iOJ9vUcegyY74kWH+3tzdSgIKDDLsKYhBLtePQLHOWQnyh5Br4TqQD0l4IpSlfJHrWzEUKuTSooL
406XR5x8lFcLNWzBINQqANa8dXHZQg3lrM15ejLcsj5OBlrDWWsmRydPkcHL8DT57TdlxZisWoee
PeW86+HzqTULZSaTCcincOSN6oMy4lecD2KrPrxyjuPZAMmf9yQIWEr3D6jAYEFCpVaduShive1j
f6wt/CupWYYQ5s3xcv/lVorDQIOBlmgOcAT59/XbNTk2g6q8l4skxcYuwB4x9kvcxsSpU4ZBO8D6
q/+08alGx8HpECYyhsR5X+eOVmDKFzjPYxqgza60KZbC2CngHHf/EVfoNTwipSGAxUhwkU5dP2Iy
WqFiu5weZMz1UYHRVdO8T0xcBvIG7SOOluov2wKw5BNbI5qRjnU1HqYKIBI63YP9Js11qsz4UOJN
5FWuDoJGaIU/WpFzNMouTQ66I8TF1YAR7FtjTKuNNbSyhGW9CVIxzSrCn0UiqOXBiGVqQtUJEsHe
LpLED9EEOHh1+oxEcn4BL6ud+6nujrLbtLGBVvYqcg9w1x2K7ZDVFqOXjhUhAs8MVFEc7+B/KI9x
qP1UO1vbKK6vjUQqCHqL4BXvgMUpm8B/UmryTJaqW5wwVhZ7MF+Rb83jsHHWrWQLMt9lWumRQ/Rb
nAoGwV2EAAmxa1RPj1UTwnIsGxcnRmTCoDRO9JTrZktOQW72RaRlkM1xP3NnkqksRnWoY0v9Y6o8
YYyIkj5m37EqLDbQUSvLhVGQHCRi5jJZFtGGWNeS3gQdpWkdTptzqz9GIjX+8BK0pJXWjI5O2dr7
2AsxI1WF+eH+jnvpeC/fEhMksJuSfg9/9HrHxT3SWfkADWYKy1rFs4M95ETDWOx6gNLIpxFz7dhC
UeAjtZoEB6fDyfYQRGU74mzqiL8Sc5z+zig4/6gxMj+VnREf+yCILoPp5J9NM1GzPSdhewzTwRRH
Y4h0ZRdnkaByNnAIH+JS2NUR/RAtPs894j87U489Y+9YSnHIUsuofIVcMNg4bG7PQylVQkAriylU
k9TFCk4Ri2tt4i7EWbwvcdWfMEGTTXry5shTvGPq5ik9xAleYQ7iT5OHpj1O3/LYfl+04QUM4/v7
X+O2wCFXG/YNEm4qtRgWMWECnzCmLwzaI5ysR13J/8Rk7ZNItH5fhMhUg+cyzqVjjBe7Lr6GbJWj
02KZmtaI/QqjH/eTLuZT37rW4f6j3dxXL09GGV2DUYaEweLJUJefzYxrCklAz4N14ImjKVoMhYPJ
OfRdKjZuq5vj5WXfgRRiLCziHfk8ryKBnKJeFU3MRFw73qmq++GcBV3ut64+buQea0PBTaWsJlVZ
vRemy6uhSMUTGB50l2C4x/vWws5Zq5AYy9m3u/uzeEus57XAhEh0J6BA7WVNvhqrK3RLxKhxQ8d1
NZrBTf8rMMjZ8raf3sXRWL5NZwoTuDGKfVKCifHcKT3XI/tRLecJuUzH3ngmucOvTgD5SLjJSFgV
WJVlH8+whjJRzYEvO9vRIal1c+dWSX9yxyF8GjWEsfK6QfdyrMKNHbg28ToYmRfFTeZjuQERD0Bl
DMR8Aml212b67DsDNrtB1uTH+xO/tnyhpHuooIMeYZKulxOhipVY3oSuZyjQSfaMaT968bzLLSvb
o7mlb7RqV8ejRm5LbQdIt4vxKNIy6fRhfBWxgUOeQP+oTbPaZ4jSPXEYRht51+p4JKvMJfc/Yfr1
+xFVJeMwx2Ax63T40Ha1t4cbXV5QzCOlbqZiI85Y8S6h1u8A5wLSRaq1nFA8bWr6CzmhVlvF2jHO
nFHxp7ri+lIgGvpG51jPeWLn7t7wnI5LzVPC5xpfePWhzZ3qqxpBVt+1QytN4y3xB84uCE+6Kcp0
UnMml/+D/jEFlPDbqRMLHtMsThZokCTuiziYJHnU3Ij9nhJUHLzRTd4GMek9GXj27f6yuyXDMhY4
MyoJEu9C8+r6u4RDjOYn6rocm/CRA9VM3ibJWH3Lp34+Ol6IhGE3aT91d5ieoigqTwqac6fRHUNf
y5v4sbCc6smLNZOutzv/pYu4P9MKa7aIUbf1F/mghJ4qRSWwcUv9iGCC2pN4TIqKjuw+SRp712q5
faCnHz5gjZHiI15ghDpm5bnmQjokHhA9LKK3yDRrKxm3JJQO8I9yqBZcz1gUGhk01YYTsjO65zFI
2w6nuF6E2Lkn6b6NK2MjvLwJ9Hh1jj5owAblPUB01yPWYVqhBFhDhxel8glGtPY+ioKNOG/trMMy
CeSy1DiigXU9iCbzDSQ5W4QrY4jYse4h+50leyGSLWbz2gy+Gspa5Ove2M/z4KBvN3iT/SDq/GMi
EGSxUoX0aOz188Yal/tleYFw8lC9oystFayuX83t8t7JWxlHuc30NDddeYi0sTvndVWQsdnFEyI2
jV8RgZa70nHzc9qL2UclZgs4t/bm1EIAo5N80SZe7DY18OyAKgYStW49QHRvxY4KDX7XoWUfdLCw
G6fgLQmWpeNAv3tBGGk3gBxIqZY1GlznUT8a0cFqhfFep6KFTVMUNx+VAfMmDOTrMT4EZjuhGmqb
7HkEetvPmtJPzs5+EVbVqWLjwk0nFVxGgML0odB1LPzKrIIOHauZ9i6JBJA8K9PTSzJ0irnrjTz5
NZg6JtI98mT64f5nXVuw1AqBy2roeSCucf1VxYTmeYlNie85s45Mfu8c0RBWT16ipBsbcPWzUcpm
LBQZIYxeD+W4ReUUFm3FYsQcpOlz66cJrNkfwDDsB0PfStHXXk2S5QAtcMwgcHQ9XoRueIypOeNx
7vqF0hl+6wAdwjlqq2mwNhQSCMA4WR23Yggapg0UXmnOO1kQ+xFN6ycpMb4Toog3EvKVfIaBqDxQ
25H45iVKosdHtTenqPM7pA99MILEHKHa73NFqJi4441hThMKoW5YnipzQu9aVeoH4MHokVVIKFJp
zJDDNNIvv72SqEgQImBiYbM95Ry9inkb4aZxWRVURPS82tm11Z5T0Lw7RxvS478YSoJZYUTI/t7i
lHW0qcHGmJAnjsO/+7Y0jnrV9XT4hmRjpJVLAy0DugMUBizW7GKkKgWAn6jyYi+U8pBIjRHTqrYU
juRvWRytoGPpvuAyBox8WfngqvDQa+B9sigoL0ORVx+iuhm+2XWgfgmVPjyagAD2bdsbx7Ict+w+
V1Yvw3MJw7ihIrdsr00Y9YIiIqoEPxv7SoeBaYbfz9uxFNrn+1/upsYDTFOKKtH5AYlMgfJ6kYwz
lLgko5ykeTGix1gJnoy5745pOli+BT6Oav7w20VYOSgVWMIeKjBA568HTdqgmauOQUE5BU8dd8e+
Mwb9OAVQxHuwjRuZ5trnJMd0KC+/5FuLMxU58wnpJm7mzm7rw4Cn4QfUtDFOFSW5PdW8ws/6Jjlq
RoPduzIUv58lELHL0ir3IySaxSTPoyksSpBcV3XjHLJicC9elU7HyIqbHZjo/nD/o66tH9pO9PTI
rimILg72NInDMpatkLKbi0PqdOq5VIY/4SJsdWNum7ME89IbkuSHgo5hLs502aNphYMNkpWBzEd8
Wv+ampmu7kMoy74lGncvrDD65Cp59blwJ2hDrW7+uP++8n0W25XwTpJqmVxOocV6QjgqqBsZSY6N
Me7dBMk5FPrLN2VuzjCiLGOXlFZELyyvN/LNWxUJ+f74TVGQpZ6F8O/1Um6yrvCaDssGu2nLD+hX
R3hBFv2OvOuvwNa6izG7AHXGQkN0mCK+yLn1nETNj0nXlvvBmuYdGuDqTsvQ7MIbQNu3OfZBcZAG
CFuF9r6a1OYw9H1/wXexOgRtYG4sF/mMN9Mn4fIoi8g7TJ4Rry6Kyhjp8JTUAxA3Gg6KVeuX0DCC
XYFO/sUOLXWj/rBWjeG65A8BHCSdpWCd0bgRpXpKH3iNYJ4hlJLgrCmiCQhK2GnZXum7+UM2Cvdr
H6XkJF3ihQ9UuEttPygpfocmYph/925P8HJ/Ka1sHR6Nc4KgUsYoi++p1bEb6iqPFo0dUWxVWLjj
6d8pymylC7dgR5YOhwIdYuwbJGbjetoNyAndNGPrlaXxjCy/WWc4tZel/ZUqWLfDcNM82kQtpyJq
nUsVzCl0MTt8nnNDHAwFxd8Q5jIIhEJHAEtRjxV6KT5Ym+A04Tq/sdLXFgl3OzkU6CdUdRZ7zNFy
q6IMKuCODPWx7zptN6Givs+5Rz+ghToc73+I1fG44mXTjKhiGVVlFM/DyUWe1hlL+0fbjpXfKpl+
wZiAhg5OWhuLcu3DG6SjSIohVHSDLnfbqO6yFs/T3DGDnTkQuxkUxE56q/ybobhUcOeQhxU+q9cf
XpmdLLJqtI4TBBt9HBDjN+Pk/TI9NOl/fxIJ7V2UlUEfoAV1PRIGF9nQaJN0DLajsyWG4slzrW+K
LcK915LH3B9ubQ5BkUg9Ckou6JBdDxeHGIkJciJ/DK1uB0fNwzUnbnf2sFnDXIkD+VQSs0J8Jq0A
r4fqGs+agGxRsXdN4RPsa2eb1O9fLHoJ8UVLAcDcTZcGv4kgCjT6snqhG8+1ouk+4NZh51Slii0A
3h/3J3CtHASqyobjAKdF6jtdv5YXWyLJXHYZlLCC44fKaVy23kFptHg/p0N3nFoIpF2V01sdNBsP
nFycwsYxN55kbftJYiMSmIAC0P64fpDWbWAH6YQQmluAdp+L/A+9cprdSEtwX9eWONx/87XvyU5g
6zHR0uT+eryYpnwbx3zPOgu1Yxo6lt94nv3u/ihrC1QCEE1wrFTbluoYMamP5ra4CDazURyoEv6q
3LD+UIHS2Zi/tZBEdqLxjUHO11rikrn+m8GQvmZ2iwdt7In8ezA05ROFnJy6Wjw/eimaVgQs4cf7
77g6k2x6jk6J0Ft2NrHxc1z00mVtJNe+FmVcgcWB93V/lJWQmjReeteTHqG/I9fPq5gBK2D6GhXF
J1gyyhmcRvw9NorqVLnDeDAGgbYHqnRnNf9vzs5rx25kS9Ov0qjr5hl6A3QdYGj2TiOTcilzQ6ik
FMmgCwZdkE8/H3XODCoNMqcbqIsSUkruTQYj1vrXbxZ6YD1XL1R8Tz7Ig1f5r8s/tHdQRGr47ZFJ
2TrSTzYIDDcYt6gEsehLPP8nn6TPoAq4iR30YYdkETpkWwYrUzHESnurMM+s0TrdQxIliKVzEmec
1GkK95d0Z0++g3xHSnliNx9NJQ1RzTvfH4d2oxBwDjczdUvTS0qKyAPzf8kH5bF5DBXJ78uZh8IK
y/T7D1V4g1Bq4YJ9WzZvorLNz4Nj5q81BIC4qqMhKwzlEhDEDhb32p+vQhmFCaOmOm6W0L8WMw0j
QwTyePrwW+77xun5ZfeYqcJHpGqEw8vw40j1vf8R/WmCaRIW4LmMrbbLdXAWMqPavb4dtd94SbCZ
2ozpnQMsJW2jvFnFXPoc6k2dNQtxxvEwycFPJjGYUdyhpSOBq47GPtZam2s8DoFtZEeY1OdQLKuK
jXxx3Pj5b/HU6sXG+DeflYDFhwop7LCtTtjHksLJ76QbuJexqtrqqtoxjH/hYk+9qX+/2IM7Zmy2
QwwXe17ZlHOG7ZpVxqOX9+/DSXwLx318M017lNijtr7knVu/xC17ahUDZWBBQ3dEzPSDomCF9jiu
lPWJPQ078JjZXpjaMYjG2/oT1mXlC3v8U98Xgh5qMGqD4yy9v0KKvRXtZjAxr0RpXDt47ZqEn26b
iaR6W2Qy4Py5prM1l7ei8cIfenMRlj//gJ/ag6lJDlgexcYjvU5dlSXm0ApIsCnN610q74Pvty+J
yB+HG/Ay0HrC9Yb3dMy1739V3MYLkY8hKjP247OHQq3KqsYWPwu1NmNs8Fo4ce7nH9uurWCN5E2b
ViT43QV5OBDE56vZACEtGD+tWrevjc7Jp9Qa5bLFq+HscxySx/RNzpIMZzKWyEcg+Cv3YuF7uiTq
fjky0iyLeUo12hbODg15TKTTTcN/m2DFMjlsHcDjIF7yre9/1WCQ5GQfmmI9t/7bJcwl0nmzPk2T
+cLJ/cTLSYFwyCSZkTOlfLB+hn0IhloCFtWD58Zy6L0LirU8tgVc+ueXyW/E+0HnfQBCABcg8DSc
D66FQTMlUQhwEeVCdEkg5ZYTF97Ib5WwjXfMskXAhqXCOW47+HdpqzEWYURXuCZFaFvdEIq13CDG
8VnkHum6ceX5VRPvm7Be48OIGTlp53WV4kcK8qxGtb4bN27zSRYuoZbPf58nXr2j7sCB+Bhowm24
/5B22OTbKEDCXXgdp2rzZBYaNn6hdde/boawPG99KeHHVd32ySuwnX3++k+11MCJIJkHrwI6z/Fe
/q0qIQbaH6oSUEA5jfvGGFcvZSBUtrFXFmtskw954W7aemWRRJkgoxwvXFGYhOV2VULeXJ2ENfYW
C9mVsa/CPpvV7KRjN0UJIHv+wtM/Nt4HDx8bBjpNjndSex9SwEIDQIPsRk7bfCA2syanbhmBlukK
JSxbu/3meKD3z9+iJ1Y3FwWlZ8+gSHwoZVcBCVGu2mFJr0OT9vNsX7qzaSYRgorsf3ApGrTfR7UD
nH3/YQx4RNpjqMjwc4leCSUD5KXRdobn80uozVO38nhdD9Y5NssPAaU9DLXXNjSCC0EYwLqiSUZ0
cWc0V81Z4m16HbjlS+XZU7fy9y08buRh43H/++1r6Bf2kfsUzgPpeEJMJ1I7YFFU43Tx37+V3Ea0
x5wo+Mk/2OgbAoE8Xhr8y/HlOxdR55ynSK5pN3cv0S+fQnQZKSNXQh2F/OShkqCqzN4wjSOJqeI1
qFHIJ0y3ygw/UXKCG/xuvbmfMlFJnUYR/ABzrV8Cm56qRAFGoEf+tjJEvHD/3rqBNOWCZ3Syb+04
nMiYND6CZRSfdiWDKSbrmq1Oilw7CbG8+lc4kr6AEY2UEk7X1ISEzAXFdWBp5pk2zEGGOIryXeHu
9+n5Z/OYyukB4R0zTcjrvM0PmcerEXg9HQCptDtOP2ngk3/YeTPDxxl080uEPvyvLWJyRGqLML9g
DGJ+9kdn/GtavMMl1A23gXRBRtihv5h34BrzeNpWgXcepiv9G/JV2cHG3LRmcIDcnGLIIY5ihF2I
O7PGiu0qXCfxsWqLg03j2OqTdAlXTdBGLz+KPRp6ytp8sF/Yv55Y/8hCA/9Q3nMgP2wBe3ODi+SD
mEG6at7KISfm3siLV1Lu5guXempjPySeGAAdhgzEKdxfD9SXS+5ocJHRatoCvzuflsMwZuJVoMyn
vreqm9BV4pu3DN2FH8jm0rKnPq6N0SM2OF/PFonEZ8YDY2wROZsSXoythafDK9/wXupSjnPuwc6O
UPSoWOBCAPE+KFYkuFRQaWAjc9nK1CJ9My3tasu8aFbXfTcUt88vwSefBCzKQy1mHkfK/bsjTXoZ
jeFe4kSzD5+wlAnwzXS1AHW8UB092mkBZyCEU9se/SEgyoNLVcHmM2qBnU0yNsenq4qWzpi2knzb
xqzPitRRPyGoL//y/Jd8jI35MLmoyg7HYSDNhyJsrI4F/tUo4tA5j0scLusvjmz5Ye4749o3jPW8
bdtnT+XWNdxtpUgexcYJqwvjBTezo4q493iPDwJt+5Di04s+JJNuYz1Ju8d1Yix2+207a/sUDV3w
8fnv+wh34Co+IR6cZwAPjxExk6ab9cKQdF3Kd5UEV4FjgyvdEDAygsFKzY5D1djj/fz8lR8zGrg0
ieh0LhzbHv93/yEfxnh9b9AVbCq0vs92X97xCvkED2+jexIjcSaJQNhqxEvpVD/zVu236zQWUVxo
Gb3JhfI2sj1JpY+7MVfvn/94TyzBw+IWcIshMoXeA5QCIpOljQkDHCWmyEkGmVunYF2qtFgQuqpR
elRwRIW/0Ec/cVksYgGCYalyQD7sK4ODERcd9EWf+dznyZnFhW10fWLPdXubW8b6AdNYT71w1cez
MhBYRrkA+JgwHrq3+8/CXBhtskK4LNFgZ9dT5qtmgrHv5Kv2YrNv69QvKFWDde8uRVjAnXeXqI27
kAwWO9qiWGHQefH8I0CS+fgdOJw6fNxxoPQwOrz/scjr1n6XM8IvGyMi4WspViduqyM5XTpuuyXb
Eai+991MtjrFOJKh0EPa1IsQQ1Tl4Jl42ogyts4ooYNPnrf48/XwO8Cd8sfOT3kQNCIOgg7Hpb4b
xasx0IWbDUc2/NbsZYPp3hbkyRbNZM80/m7P3xc7Il++6dfASPwlBy8TeCS9Y8pGt9oE0/bRycM+
f2eGebSnSlnl93WC44i81p4JQN5nlMMEr1fjeAoXWjb8VCGVvyHdGj5ZH64ETnVRK8d0JB4qiI1N
rm5cUTvruAjs3LkYvVJ2FzrsVtnHUdPOVYYVbcAcJHS3W9JZlgu3Gsz5azf0ljr3ge5EFkR7z7yv
kmNA2WJFw1cvDFdBjI7n3K3WOEjCiab6HbbO0RI32qdUX/veRJelNi+MC6Gw8C+KjmwpYruDV0tv
qE8DZf2Hltb9Mxr7uUty15iRVBA+8jEwoehkXRu6uKo0lvF5FMQepJGxEHswoja4BTyvv6/AIyop
plFjLELQ0wcbNlGXjMPIU+aQgO1UeoScAj/kXpBW9Dn9ebF5DS6Jh1uHjKgJu062Co5W6u/sxpnl
NfWejYRrV2cPHhLJNEIAxFlqsPOrvnei286pdvtLodR8XkvhnsxCbhbBLcLFb6NaIdto2yn6rOpk
WKZ6mcTVMHcbXWXvLtka9et6VYZi+DwMFTnMmLCbR4lqfYDFM/a4hREZlmxrNVyvjFjt2Bkb8WEz
vK4ju1V5U5znXheloTaPU65FfZF0ZuiN8Z470DX6yd65lgwO09vAMbHTXvfo2+SuSp/N3su/bOVi
h2k95v5bbxisjoy7iOBsYzMhvWGo8zHsl/GnVdaVuKAHLH/5++DItyqaN5TsUKnyc+9JB5tQMQhx
BmsmzmCa7Op9Uwjj/a46S2dgdvUId3/qS6hk7qjiWdoeH6Yt5zHTSgniXBx3iGJRayObfa8K0hGd
H3THbdZv88bif8vBGkQ8uZhDL8WgPul+36fLqNytPt6wa66SWWI3G6/OGrxZxmpzY0gU81drrYwi
bYpmvNjs2jGuF3PAYVT7BR6A1oYTLwm/Yk6brqymrGhLKERe0VX9GX9aMWeV5CxPW2F7V92wgDPx
Xq5dEpWdlOm6zbhpzg08mngaR2u9bmBEy9OIL/Ab7LNBwLGJzdUH3oyAuCCMwq3YVCCLSUXq1Tst
96XJCPzr/4oYqH2RpNoEV4GTC/MCI5EtOgHPteXJMCOIso6edz/Tnmd/qx0R3La5177m3TJUMjMt
Xkl+s6K/LGVYH5TafRBiHHDbuB2qmWDa9mc0jPA0J08aPKQNzDjd8wITnrnwozvp4xp2ueX9KhL2
5qk7c4oURrI6s9yzHUNG8tHDfobkZWmnSgVh8qw5rHw+78TiYM5hhD227UZple9netAlFkuhYWs5
VeHHlt9OeTyzz2hElmM9prKYyDz2vR2ueNww5BJxkRvBh24VrEm/ULU6EXtPCBibd/5l9rRLecxa
PoXYOLyROfcKYERaVzNzdi/ZJttagcZHDQBGrdKdzYkdVQxauPGuZ6Iqy4DBhxNOpvuqiWyOI9Tf
ekXcZejvSxHlnybtBGUssaaAggOF8C/XIAH22nSG9VTgfWtnW75IK/Gxce6RrHkoDOulZsJazlPY
pNDSaeKQaKG1UvRF+NSvbgfF2Yu6X240DP1V4E39kIi2VE1GGx2opCFpyIgpY3D06GyFVLwwiugn
Ofb1mqnueLA9mOeeloUvaDP9qFKvzMEfdcKeuZOfUe7tjRMBsJ61w4se+3tVeBcSs6c8HnTdJ5ve
3TZx67Dav8h+rN7mVum22TzqUWRhG5CMwGC1gwoVGLs+Tpd2BXEpS5E4S8lvaQlVa4Hx8oJedts8
fdEo0RmXlZdDdChzZ3zD4vCC2GLK0SXzGPkXupgnmZIuaTCAafovpiWrIcXspgyzXYS5C4PEnnPM
PQdOE5hFQ5MQGIq2KoCqVB2jkiZ8E+5rHZwQ7+olVtbif63NPhrORt6RSmVIowqJDsFVJ24NfIFi
BzGUyCq/zq9Mp8Flww8at49zHIUHiDI90z7Yyi0FatXnVz7jPgu94sSX3qbF3M+uX4GjHUOu12rs
hyjBNs8njMCSbTaWef527v36L9mLxj5L9A1mokL+5Zl3ZQPADA13jiMmURvDcIPtvIScWF8WzUb7
7DhVK65oDitI/ZjBkbG4cxJndCG9iiWccC8+QgOMq9KGvFlvIPMX9azFR4f83896JkaFo6Nft7it
C0LDW00lF+bOfOZpLDew3lcO3W2ePunS8m95jSt1MVdGg22NabRjqupIpsY6DHtsUCvfScvf389e
tb1eBL8t3Szlfynr2fuBQmBmwyrUWJ4Fw5IomYa1nLJud/Z3E6D8ew5m87W/2o44DeFAqGPYlO7w
vsNyXJ9K6LQfo7K2hos6cnRw4vLdeTebKkoMpdVrhNuoRukoxmvLksuQbJK2PZvNEhfkslqNIlmi
6Eg+9qhkCW0Rc3e5OqH6auVa9qfdGVRx0WnHy7O2Lv3vPmkcCOJqD5sirK/6t5E3dV+8aq8/h2WF
mWFl5dtHSEyif2Vr0smzWjF2z2a75PDcArIhC70XeTqFm9PH5Y7pDcKWYUlJHrNOYdi7TYx3X2jH
ldMyD5/3PMoPgY68tet6/rAXaw9MGRW1i8NZXxMYaxeUI0aviLLbhHxPu+f+2qrWuArmiv5zX1li
cYeKmE0A/pyZBmDpebYYh6tuETFSoZjIjY9MinkHkWytZrzkZq1ej8Yw3jCbkku2TDQUJy8UpZdZ
i26+1DMyglMwRtN83lRQXulaY6zNiFEPiZb2gIMAU5IqiXZDLNkcDfKVuXqjRKkZeFUyhsHenMdc
22xxHo5VmMUrzMqWuaoHIis1qJb0jGhPpBOF570yKFllsdhF1u5W62Syyw28fIK8rWl8GJPEusfN
KR4sg0iP0R46nYSL9HjnIm9vsnIR863skQ0TZNXvNTzIwKgz31m8G8tvIpdDnbEjPv0kFfrdcIdX
v3d1RH77l31UsZjx2Vkw1OK5qziywKPPa2/Kr1Dv1jXbVcTLHK1tmUxWY/inEtnYGVBlaa5WXelr
IepRn0dn726cou6SDpMLKPGeOSSGPxAAlwvWj2Xv9qWd9yEDSL87dszR8H6JPTcZKRX71GQ1XBDO
rKYdoyttOLzfm1pxusv9YSoyczNZYzpYxo/j6Jq3Rs8UjCpLhyO/qsY/vg225cS+ZIrEwJ8vZAtB
VhyPBc42STh1pkw0pRSRucIi6L5RWCueRhkVa1rAQ/cy2U8yQKOKJdfJkv1yUrxkItkdY/05wQ/8
VfeqJGOyFcZrvzPKjqDjcs9Pw9yXPxdPYPE7bcOURqtGBHCcranmKL0WYz6vMUmVxfuea4dxQzbo
QCFjktOJYbq6I3a5+kvsnVcm+bKtZ212JVUJLl13rjWunGCcmFFam/gxUqa04vPerV0DDNqXQeKI
CLOQCgixjKfSyd/Vg9X/XKfNrGNTW+qzbWxUD7U1MtwivdhvYur0CcKdqvYoDgo4XllYOxSInOv9
LclvsjvzIru3edHPt3u37x8muejvq5vvd4eIll0aEyqZBv0YXTgj4mHGL/v20WSUxr7kbjv2+kY7
vxudUlxUhl/cwGuSJrghHioQqgq6xQYKlDh1xzUThuJREbuk84gYbrrKEzha/Co51eonb65s43LK
F4pLo8+xDcsHRrmhOZnbBVS/znilZbcPsWw2zzq1GDZ992o9zVcd29R5nfp8utZTV//K3Wo0M0ge
7jVE2HCKnWO94WHYrjQabT6jV1xEwXmCZbNgxyqETJewdYYs96qeHtvJydyEpUrK5qKtIW6LtVtT
LURjxR0+/F7SeqqMMmHJ+s3s41H9ptwCTrd+qRXqDKdkpxqaZigBhNWSXxllnfdJGO3EV9l7wMcY
5vFmW6bKzkiX2mjzu4FgYgvfh/kU5GTI0jAa+purounnEPT5q8VXRHDZ69Ru2PsPFlB96OaS1cB8
ZNl8OrE9LK13edO7IIZRI99NTgWkPrJeLsahU2sG6aP7ZpLQWacMFkMUND3aUDY1adUZWZ7+L561
gvThjm15iT1y/SMcTJNuSUKnTCLDlx7JA5bck3zr8z2z+i1KzMJyy/NgbOpnO3o2d2GH8stHQDB3
ahbJvM13+ju2/dw94edjjXiHbznvwdiFn2dk8FlrRMRPFDDKXltdZ9x5Zl7vF3s3V/ZJi3nvaXX7
9h22mPUAndOYvptTVDjI8ab9F3ixfY2md6WU2wLcwoO+Us6pXMzpR0Pqz13kWPpNRS/2zl37qEm6
xpK3dWg5nzgHojfV3E5kIwJCwYiJwgsWivtxslcbbwA3vPUQAq6cNQVuNk24Cwgl9tZd1kVZs3lX
AAsEdG/TmNbIo/FyDIlsjSc5ozbP3dx7i0U68Xyowecf2K2WdtzAb/xeycL8tsxO8LXLR9ePNakD
xCShACJwsPA+NPa8DASxQCQGffHX63ZsfQdohEBe86vG96fFM9orVNr3RbhmbeeaLuY3ovg0QO8d
kgb/yA+Ymu3fbFOBn0IG8L5iAs07BRq6Yl+4G+pmywXHAnk+jH5okou3bnEEGlLLEqKMrU31hqSF
kq1gKvo1YwE0KW2mWNNRkYeJ2I5BcEKIzXqH8rW5GXuRt6miHuhjK3fH+mznTLATL6DVfxWUpvlp
WqjWwCZypnqLNtkHQ41KzQs6I2nW3tNpT/um0nDHISsF8Te/+nvhvOv8pixxyVU74yDwMDBjI58v
RlqnPekGI/zMcCvAw5Hu4cQMY4+yuVk23qnI1eWpW9fuQo6DVok/VkpkzSytIrPQ7Kd2Pv1oNRlL
b+yQJigmh5rpkqicr44kOcrQudwoVQIxX4iGMda629Z0LsfZQXvtj43G3wwCy0HEoafWGFsvV5x6
9tlhwDa8HQPh6/NQTusrDd8zTzGKh5wU0JGmO/F+fDZ3uSok7Qbsk2qM21ZxVHWDRy8gqsiMtXRF
yh3qi7g3ytVJGyjdMu27LXjrNwbxxMofzY+Tbvli26Cmnzich+HlEpLvckW53L8ypQsC10Xm1J4n
vcq7jRSgV4qYuwlYF71M2vW7fu3UaL1O4RYFgI7LqmWqObMPS4Fh5yM4Mmpi/knQZFG+gBoQ0SNf
2d1hZ7q3+DefZDOHn+lk4UmaBDaKWLkuVUu17T5uU0JNW2JMY7We2nCnKcwxpVKx7XVFlXorScap
K+x2igvDyz9t/tb86oLWJAGI1XsukC2bF5Cjc/MEf8OarzFVoFOPStFa6TLkIVxvsfd+1nV8dcbg
mGtRKrvep7WU/XbGMAtGFBTt6LBd8eXPzafRSXSHti1FXkcDJbpp8GAb2f5d27vmtdpG85ddOWUR
WwvNK1tmxek2N2ZHSmO09hUZrFv0wWoJZb1ZjXAur6tR0oQ5IXELtVK+uBz6XnyPlqiOEtWZ7m3L
uA1TXRf7HwIZ9v2vShBqfbmCoJ4I8xq/6ryyeO+RQk+4Mzm0O4IK/Sof2FiZlxnbJ/Z+K/gtO3nV
FAW8Ax+RzJWxhFWXWYXvnv/TknBsLG/EXAjsSMSDp4SZyMpd/zVB+V/3PKzHf/4Xf/7RI8WoyK14
8Md/vpV33YdJ3d1Nr7/L/zr+6f/7q/+8/0f+5b9/c/p9+n7vD1k3VdP2br5T2/u7kRPl9zWLu/74
m/+/P/yPu9+/5eMm7/784/vPtuqgK02q+jH98e8fXf788w906nBaAP6xu0TTcLh5/Q00P67377/8
5nvL7/nfxc879eK/v/s+Tn/+Ef3DwYsQQQB78CHEPQRi693xE/8fhy2VibQSQg0uWwdVsOvVVP75
hxf946DTUTYjQGI4EADBI+j+/aPgH5jUYrcBJ+xwCudH//e+3PxrkPWvh8F9+vef/6Ob25u+6qbx
zz8eMwL4DZjdMu9jfR0DuPtY/2TNVo/L7kGzN8zLZevrZDTbLd3YDs+eaItvgoIsrsEhQQBK46Jr
KZj+dvOe+BCPRqp8Br4OyavEBh5OIvc/g9/anB4FDIiwq2AldA5mLV5lXpL/fgd39yWvikdMpuNy
yIcZ6x8khIckMExX/LWp5hEWs2G/C426+bU1svLjdUUN3jZD8xnjJjsGEmEEYWPk8sLc59G0iakb
i4IBi8e80384YwzJZIJmsY7JpI6WouzzEmqf25z22fUvGWusr0q/n9Ln7/JTV0VOQV8DhQtLngcs
fGdYqtYT6EV01I4XlUNmi2iaOcV+ur6A05hf7oZhv2DRgAKah3dvoMqX5XWyWWOHcctDc1VKxzYc
VAVvzConJxUkxECWIKhYxvPgqxmbc6d/r0qjMkEMS3s/K2ueP2LapaF0hMqYOICDujpZqNg+GLVv
fN82nX+gYcjJiPOYGKabmQ/UIOFA4NZmVciqNssrlhQHlco8y9mTPwfluPLE4GH6QUK61kzOlA9Z
dqnGd5uJWUWC17/7MwT9+7msbgRiNNQ7PIu9BMbgbBZv6MDTmUelxFDWAP/aQtgFhSXdhNP8AEuy
bruQDR4ijQy/2LKR3/2qbEx+Ry++2EihetSB7ujH4DT1e0YqzDGVnVc3bu6w+gUAUZjlivchC7Dk
fh3lti/jwJXRYSRUYrqwGowiYmHu6ueyKL950/iBcUKr1WDLHfkz59ge5Hmqm0r553WGTzg6tdOc
ymgPqwvwl6gFrO6CJTWpWvl6/TY2GRSkbk8DDodbpx8sDXopmu94m1gOnatopszSOe7G3jr34BH4
dLoXXr3NImlGB/mP3O0KiDZC/Hf2jWV8D4wd5Wk3GbhOekXVn+hmrIHYLDG9W3El8OJ5H6cfjsRo
Hf8T4sOyZd2aLS4K3Sy4a/dKxV7QWEvMENQPqQ0jbBwcsYvbqlLd8m4eQe3AdtygAZapDJcMKXcE
FfZb96+JmLAmMTE/e7sVjHxg4bX7BXTh/ZMDqXROcquZ3/divRnd2fMuNmNQPqO6vv9mc5ubpJ46
0cSudM33uKoRwWs6Ch2Ai41YjUG429zmoW04CZv4vqXjMqFjHP1KXqtSABAvlH7gKkx1Pw44wZUp
UwxwoglClExmQxG2y4ZTWjEJv/jgmYN079BM1l+LAm/TS3OFx4srZ4MGKdxCXcQe6TcQtPbZuGC0
1Ml4tYYC4GI3ql/4fB8GtK5bfg+Vb/Rne4iqILPChrHfYvqQqWpXhvar0ICRQGeply+0I6JnzC+X
C+Uae3UyrXIpzzSF1RYb0bZUR+3bTzdQi5Ycf4GamaqoATHOpTX0H9awXiVQLQZ+F2uVYy01A85g
OkW5dL2EeoarpOj14gGC3juIjyO1stqcj04bQKoLGpv5h5xHRjwIJbUFwjFIsCoAC1JFqhbhKEua
/Pad8UJzCseOvCrIYGgAGODLxBlgqMR5J8iqqChR7a9qIq/hIupE9yVaQ8JPt3mEEer5o6HjddH+
G/TZxg/XKmyiBLbCH+B15HqK8X1XfYZd3mreRLkZaDzCcp+RW+uEN25TVoQVMxccst0uq5ksyA2f
q6INwkvKVwbLJFGL90x4zPI0b5Oqs7n1MKvVDaUxTiWM9yp7AJyrI19d+UsV0Up0ZUAHdlD9WPzT
8o2kSefWKrfOTsepbYJkG1ukdaUm3DchmLEM06iosLhw8sN1f5pvKtJXgiG3MXfvDjRz80zHvLQ2
3Ia+CnPW8sKegvqGLm27mkxQBPxRirkHy9D+RQEFaAYTE3YBiL+hSmjcvG4SH9dJD3AoAMHcLVV+
WtagxtlrLhyRGtYU9hTeC9PgxunrL4ax4UZc5OjvIRxb9ZeuHH2d9Yahr/5zAB8CntLHsz5yxswe
4b+7zQwcRuDWD88fbQch4cEZA1sNyghMmsO0/AFhwRAuOjp1aFtAB0lq1CplRCCSwJLklJXD8FNM
oxmjzFpeoNM8YmcFyJQOp/TouC7Ss/uli9ua3qZQzCU+WsgMgnxwqaj6XpmL/VJi0xNVErMcqsgI
4wjosA/YWUZuC1m68GAjzgMCUrY900Hrn/HC+tDn2/bCyf3kN4MKdlSgnOoPvUjrNijZGILjns7d
qa9xUwib3DixWb9k+fPU4zvIUBiLMyIMvYOP8jdmt7C10UwtekRjBxZblFFkbL0VZs/OLZ2bfRYR
aIjjaeMFodsT1S9cI9PDBpXoKUIfHly5Q+zFWc+Vx7ZxltNC1fmlqCd9nrva/zxN0WxdCO2wkWIC
/Dawq0sHWc+v51fvcZH7q5cPwfsJvZSCkP/uf/163fbZbzlBmFFZOIL4+6nqype4v4+XD+0ET9P6
Xe87D40BF6uY98nSnFM4jZ1giRgpyjNKImxmyQbldj//rZ64Hn2Kd+i4UMtgU3P/W8Ht0lu9IH/A
Z/QbLWSm8E5Icc1jcNpPp+cv9phJ9buJoSmysZwkX+j4NH9bQsqUprImB8miN2DfjwYbb5Nui7Xr
DFCSMCU5m3LsKA+QKA1DW6SqiqZsWgonWa11eA27Y/r0wod6fAuOJu1IcaKlxBT1wYMdbOZ0xopk
AnFOT2oyDm/AQAzyS/9b3uZ2ZrfRdomV/XweRrXFfdGS2TFPE/PYrRgYi/o6cWwpz4O3BFAj9/GF
nuDxSw4R3GdNHL2k4z30420CAVaJBx3aCPGTg2B8beZenpa6dt89fzMeL3KuRLgKSBTcMjbq+w9o
HhrXqL0GpZjuEI0Af50rwoNeWHRPXMXGw4C+jmr3sVXzAF2tRQp1OIBHCg7aLq4M21EvXOWJu3Yk
9RA8znUQ+DzY9HvpWZNr6CXB3YkSunSWS98SX5x138/P37Unr4QqCp8Xtn37oQXlYtoVo7CVETxY
Xlx7RXCF47gRoxprLp+/1GOfXJpi1PZguTSmZMg4D55QGS5QVjBq3zyQVVPO0bVdFlYm59k71Tty
T2QkIVM9SXngEbl5AiwO4lnrJmk3CBlRUNEcqXK8GFdSl5//eE/dCdAZC4I4pkn4+N7/dEVABavb
aU1KaXaQOdw961e7uq5N/ZJlypOXYn+C4A1Tli3l/qWoZJcZNHZNWobZ2UzSTyzbWdyM+Aa/8P49
5j1z07ExQ5FhQ3d9ZGEY5uNUWBuUmsHZnQ9tA32tqJ2DfnUQ6piGppg83GijbM6M9CJ0efQ2adt3
/QtH4VNvDsRtJMeYReHA9eD+GnvNcyzwzNattV97VsORt0YvhQU9dWthnhyeAzixICC4f2vXLeoZ
jzYr1p1z+XPdneUbU2Sk3Uwi/gcvKcUE7yjKApdz6P6lLBv6G+KKNXEDjS+a0Q7wS/8Pd+exJDe2
XdFf0QcILQD3wk2BNJVZxTIsR3KCoIX3Hl+muX5MC9V6T0wTlUGFBgoNujvivSCBBC6uOWfvtVXD
DQR19D8fm6zgy2TAdMA5//BSet3YwI4FQRF+M21nYsTcEBcbza7x2/tXOveWIA68LSpot4/DFMxW
ZM6c1gyXuux2+FJIorepnr9/lXNviZ9B5RGQCduio7dUCh9zQIxApbJT/SpDy+BGtVFdzW3x54xU
2EQo4ZfUDdgNfAeHz07Jipg2XkgbAKruujRSyv92E9z4RhveD3Q+P2voP19NpDSempBT3CD28CaB
wO0Pf/RyI0vyB5w7EsCOledz6zSN2Skc9Vlrt+qsTVfV0I2Ux0pt/ceXItybBhyBOJgdrOUt/7ZZ
MeokzMg7wjAtELJUupmw65vQTEfDJTH3sqwe7C05lfx+qaPH29UAOntEk1Q8Wsl5of2UA1raplmi
/0zSGG05QuQ/DrFcLrq4wgV+lYU1cPj7tIgTl96kyF2mqt+XokAPRtQsauPpUgrPSS337VIg/jmj
LNjQo22Fnfs6UdsoANuW6CZOfzENHgPJhjbH5b4ekCUWdFNWRFoPN0krLzGwT44uy/XBSQmNOWaB
Xh3+VH8cRETgxezZZjpeT0mHokFkxh1qZ2Vb9rr5hT1w8jhazYWZ4OyLXawKnF3wIx1TDGtLQ6lt
OZPndEn/0sVW9VVPon7baIG1qlRr3iYEV10YuKdENH4uZn8ddwDemJO4k6FUSALzi8lDBcOPjk01
/jnbqEgq2hvEA+LGW/d6zVCmbLRD1RQCpxNmdNWqzbNlFfYmslnEZD92IKyr7E6g8Fx3mpNs5j5X
7tOQwOoMYZNnpvW46sYsvrHVov7+/gd4Gvq6/A6ssouLS1APP/os1BCgR+1ok0dj1FgjiXxuJrN4
blLZruZqNK5nhV66G4RpfuOjw41dZ9GWU1ogKSeP0O+/f0NnhhGleQYQZxfs4seOCxYQvbJrBGKm
6SNXMruW2KEpkw1lzaSm6BerlTcrVrunDNn9D+Yjmk2s/YCq1WUKPBzEhM70Cqpv1Ysbtd1aJpyA
IkRElmrWpXrJyQJGPPHvlzr6XqIWCEbqo10qg0HzsEYgU6G2e2EBO32cOAk5ztDkWaAnx4zNUgnM
sZ/8wdMBcK06Sdy9KwJXdzZppjYruMDDus0a5cLncfrjuCwbOU4gIIj4QA6fI8oODlkdBUPIUnJt
TbH/IUkIC35/rCxv43BKxx5HrwxcAv5MeTzlEQ0zT8M0jMjKfWMnRDC4xmiGm7GsXt+u9P+6k+uw
gX1bBv7tH13Rk+7th//49/rnvxTBv3wssubH1/T3Ru4///h/N295lyodYRWWMjD3fzRvjb/g3OOV
5Jy0cEdpXf6zeWuKv94oehaCuL9jKf7ZvDW1vxydc+lS6aELt6wX/7jN+7/f8XvN25PxhmbPVjES
0tKDJm0fjbfW7qhPTTElYoDOXkAfdx+XfXEBcHqy0nCVpcZJKhGtaD6rw1E9Booua/jOXo6g83ts
RV+wh6W3beQoH1LDyD0ZIjN5f4yfTtBvF6WoA7KIA/abRe23LdJgyz5sewifQYckeq0EvfhcADZZ
jaRIP1GbjtZpWaoCDeQUPVL9td3ZmfJbSYN9W0d9deGjO9lnLPdDn57PjveNG/fwIciRwFeDmEgP
/rqPSQEdIXladfwrsCHddH79E3lcceVnvdjidoourA9v1tuDj54zIjVfy8Igx4A0j7eM4FGK3G9n
T4lAIPkcA7YK2vSnXBbBj7jqxnVc2gWdKHXcRuaUP01tFexSfRxc08inW1FlNDz8INlJK8+uNJ8A
0RxZzqcxyPG3EaFx6Q0ug+/ojuFQoJoDasBzO95P16oetGisZw/UTOzZzYQ4nmPAlaDDGqGKstmU
FYm147fo22zE78gJdELPSVf04f3RtCwqx7fC8wPiytYFMuPR2RbHZMZjAlCUpcgWcZbOqyCW+R4p
I44IcHGr96/3dmg5uSDqewKd8RDzvg5Hi6Lbps/12JXGfrWz277XtzALUlgltETKVWwn/iKH9gck
sQoJcW6XdzHubib+r50RKvR4a2lHtGQj+wrrUq15k69M3/pYIRw9hyqM50TMynbklSrbrpb1Fw2/
4kOQjlmzmcGv7CZ8GfbaLFXlQqXION0GEsZmgu1ckGkLxfpoNGZpMGKSSTX6fT2yeESjOJb92Sic
Vf5ms6uEXuQrqx3jx/7NiFfNdXUt3ux5dRG2hYdJRXscwypT3cnv8PIRTvcalOY47OvC79dTJLH9
DYsDEOMYZkDa3Vbt5uwWXg1Gbr2eiLqIQeI4c74aMhl+wTSOvlUvY/ulGgIdqaswMYvkrdTqTVBr
frBHDN/pGyuBTuEOUq2HfWxbAREKuextMrn8BPFc2mtGvR4Tq4yuR9LQoQoMIpuIvUSV6m9QlOEn
scNhpPciNd/c5mpXx3vIANpnGSnRB1q5QtwVGC/Zc3SYUryiohpN3l8RwjfK6+45aBy7vArtRhs3
Y0ZI4krv2+651m0YS2CnZqj5WT4nqJ/jsUGjqk406AJywHok/z390U6AJva6oZhfRjK8JxcgqAX7
TIRIKYeo929x99i6FwUo9tbZhExtndf6QADCLPvXuLHn0rULsHhYsSYfakIJvNkFUlyOHjUvlGVx
aMbOLjfULnSFhqjqRkam/twGqT+6xtCnAa33eH7E8pI+J7QdQdc6Q3LVB4HSbpQxaCvPoMcyuwXZ
A78qknBTr+W8tGzFDHltd5NQvdzpSJIo2Tt9K9tSCE8jZi/yhD3OtwkYpPg+Ry7zOVAYBnvk/MMM
8stGSogove7X82gq0boy4nmvRX6lPrRWod2NpsNlS9HGVwmLw4OumKNPvq+FvrPFz+iVCGQT2vqV
5EcUfvMBFNeMNiay+1uJWJY8kSqb0g1n9RwfOtKYik6QLK6tbpAfe2qor0GFrXJFVGj9o5yQHLqd
5tcPSVaKV4WXwVohmrDZGEorfA8Pm4bxdArltIKOXidXhg3vfuV3TkTP2NfLj9pU9hhK0bjaqKUt
57scOjvZWUXY/8jGKfzQ2b2pekbJ+VIRqGK/ktmIS6Qh0xf7bEV7ddXGdUgHPUxiC7H6ZA5IFIAB
rSUd74dI0xt9zwBRq52ulBj39K5pHjLc3JTkndxhnjbHqFnbUSU/+j3KDxdWA0JU3GkywrA5wQdL
s7BQH7Kq7VSvV4Pi1tGrZse0M2YekCqEF1kd+nBFMZo0Ky01ksHFu1CMboPu8BN79unRxP2Sf5kC
h3pjjiBrm2XsA9ypkGG+M7QxV/cFFDexGdjk2thVeadXRZjGzZVvDtYHH2tw6NJE0NIPPva2Z2dk
Y+COWL+NRZ5fPVB/Q7ejiXySXo2Nf9qaoAtea4ucTldMxvQkx14+1F09fovmOPhsTYb1laXBllci
wZixSe06/YVBOc8QqlrpLw1jKkgWDHxuO3fNIyREslon3/G0NuDQnYQT7W4cZOonR2l7081Ejfsi
NfvZ3MgcP9SmLyvMoqHT8ZHnmImi0Y15YP16tMuMT90u8NL6mRL66zSaxv6znwTECMZ5Oey6yk/j
RcuJRS4VDtF/MuUptbE2Y0b3w+p7LjstvKepB3AaZIGVbI1x6Lc4kUblKlM6vLXhbI2ktsxlS3dV
FfM34eT9vBqQmszU/QtKQUmiDrMH+2O8rjJ2XOsS3YT+VGr5/AvxhkZVUC/EY1zIJufOcB4i2/O7
r9h8Wvg8WuS8IC3VcB8F0XiLpl/qrhXhh97UYTaiQGgULCClWQiLbzelX28PKMDuQqXE1Nipce3s
4mYgL2jqqpGo2mQIXJKe+lsFAjGAkGFWEB0bTZ+4TVV3vZcTdYLBH27ocmTF04ATtch/omgBR5Y5
idGuRa4rrFYR6xZh2APneQBFwU3b5+pniyMaplTkODWhaZaigD3AWt1QdfESZWgqXNbxeA+nQLyO
o4MfWVqK+SyTxJYbptt6+XZMrBeZTpvgudIn+SwRYecPlhlVuWeEc/tMfa9/TezOxtRYhcU9yza/
s+bB3eRmgCnSgXZYuk7eGo+wOeGuDFE8M31WhVWRbCpH23Ni1b5bANfJTms7ILpEgJjF1Tj1Xe/O
YacpjHRt1Kl4Czu7nbWgvRc+yKKNhtj71dIG8yvvRxhXeHpU/CdNnykbtU6QhDhWGe81gMiFJxpj
cYgHMflCJAMzxvt2bG9UMzD3I0kA42Ioyr7kpBejdE9HK0TvNKmhqzaFFaFSNif7uiqm4aYIgqrZ
ow+yZlDD/iw9ybbP9zpjxETSUolMNhH6YgxByJE2uur7z4MaEJMJxi7yNIXjjYvRaR4Iz2KxMal/
c/VJZ9oASuFLjPhYfL2uDmwbW4/AuJvWWBRLoCXNJiyCXsP9rWpbOq6VuVawsOkr/LexugpTST1n
ziVmH0FT4qFqfAUHdCWKdcokqnhdl4K6iJp51ldGbMf11TCYzJmRn4fDNRIima8zO+9bF0OJbri4
uMrP4YSVDHaIj4dDZQv+xLIbPPdzkiYeW5XWWAdRXn8thcHTtcOk+dykqkq4UkcJj309RmU6qOmE
NHTyhauLMbS3VVBX3xMOezW+PXvCFR7BoEAhFYoJ4VU/PBAxGvmuunjjXBJhksdutFDRYh0pQs+x
ETDgKKnTayXnS2QuaJCQ5QlIyH3t5026M7oqGtxexVyG/Auwmlc6irG3Fcsq96goc8xsrSyarY+p
5XECf9CxGbEagApm3Idrq+Yz3aS5xjDAMt0j1Qsd/5EzIqgC/J1ztdWKzNwJ0CrYKAM92ABGSdIr
NIhtdG3hmmBV72pUkAkuKL5yzHVANljAfyJQC9srdnLTrxyDVgbZyTHxY/UF05xhEgOsZYmmeXbd
F08Nco4njdBnucHI6ZSbBXaz7fBRB1u+giBhyVNqFq6uTDZln8HILEfdem2QDaowFJRmL3rJLOF0
utwOVRcxpChr2luSazuTmdLRN4OZ9pxrorAGE9LISFzpDniyzdgO9kelxrrpRuT2pisnrbrPoPIm
3Sv0IEvZzC3UBxxZUln5eOJh8L6RIaokN8o7fwFG4OeFHaHOfvMjKwFK5A2UBK9YMBMOJiXkE0VJ
avQbh0Jta/9T8zedYgFVBJhYGNRDizgvf2NZMIjgWmRvjIv3Dzknhypq+xyJwebAcaMVddRfi2K0
ZQo1E2+eACzyGRCZg9dzNQIO2LOfCS4cqs5djyMwhWf2Vkss2uGZyirZu6i9ZS/G7Apvde9sEc6b
H1Q7rzxGb3fhxK8vh5iDQxw/kOgnh3Yo4mUMkYcXBB1D73bUuaCuOFTb0tD6Ps/lSM6HoSjwHIo+
2kYIbYiBm8vmijcMkTWUCW9b07vCWTucv9dxodeCEnNSUdOWKeLDqAvzjYUH+xemzwJz7BDQmxSp
RZ85KpObIYrK/i392XEVGt/5heroaXGFX0Ypa4FTQhklrvHwl4kgaFgzM9uTRGmxsRjqTaabYEj9
qriz40w84czsv4oEI2JbtgaHulLfati/NsIYjO37A+mkvsTdEFKk25zPYVIdV59T0Zm20vW2p02i
oRVs0mWHEBghFJwLFrMKHJCqD86FU+yp9mu5LlMzpQkL08ExojObQE/ExnLd4kk60ChcpfRVrKyM
r03D3OgCI41e0MfgLIzy/FMnLtzCuRFGchFFHbJisT0cvYdS4TBfKdkS/UutWrbm8LHAwPzy/vM9
FXYgicJ3AhYfdZ1Ja/PwdVsq4ps5ZCBXrI03onCmtW6007jm/GzdJsoUrAJRCLo5pvltlrNKGKWw
d7VTt7exU6nfIrRNN2NATonjXFAZnlJyuTmOKiQLLv1f5I2HN4dyP8IlSJhEZmrhS9en1S4r7OIL
1ddr0y+yfTU43UoLc3PHRjlbj04BIoYY+h0dPrxxBHRhqM8+dqFtbnSzjfapXlwToYBwr6XdH0My
3MyhKJ+SsrpQVzpVndFCoqJEqxOdpI045fDmtc6eYpAgOoGti8+0ncPruSJMJsS0ArQFj9Zq8qdf
sd/iy44L1Pip0rWYPevXwmqK267EDnFB93DuddOBYNqx0IouYpnDm6rAEHGMiOHWjLSPAOCgovYr
bTukU7yNbKN86IiWuQ6lwwFZacoP2pTVu7hEvEo2Ykrmmhbpqzmc69hlbbt4f2dGPa123p9F53vp
3B7eX9IOKT7Dask/1Aj2gMflqoE25O7CeF8hPTDRiDXmTZWVzk5QX/1UZ73iSXOUFMsy834YWv+X
cIr4UnNqufLhjE+lHyAfgiuKztSADu8M/2RNRGQJdjQu5ptBViCXwoZl3OjmC5/+8lcdX4rKIBdZ
FBYnfE091DsjDzlhpPFgks2UTxuri7+xzYzW5A5fapOf+2UILHA8sWSzfh4tnqYyqCLiH+xMqljb
I1r/EpH8y4Rj+9L4W8bX8U9bFk6+C6h2znG1daL/GxSlqaNZK/JHNKfFaiyi7ptV50GBNbfMv0VB
pK2Sqgl/pnpq3Jh50F+QM52GBC8UZEJHaMDQukFkcfguJ2uKNAAWwrONxL7uwc98Mzt8/m5N6BSL
TIIHu5L1jdZLY1VUYL8QV1vfEr3/1pSK9mpTJuZ/GosHtZPqxuGrcieQaU/vT86nHwPyajYX7DIo
k7ONOrxN+skWvO9BgBmpgclDdXpkxHUXlthzo41jA90Ujn6LTv7wKgNRdEGZInWN4fl0rsmucJUI
VVnndjY/46y+2K84N+Cwe1H9R4zpoC49vKJaV3mfRxn9mTjvXuEllHsRyfYXx9Nu3XaNvTfCxr+P
jNr4XOZ6S2001HepmWBjz/rq1YfPiQAt9z+Dndfv33/oZ28OCjLaFGYidkCHN9eAH6rGISWh1Axt
BNBZeBUhDN4Cwr0Uh3bmUhqCSpR1UDd5BUcf3jgJoVidKT0/hqMrY/tRRxlx0wTjhYF0ZtpnM0dq
uGCLrNJ0OR5JUo97IqalZ43gc7JRKZ+IkytKLwbXFrmwnvV7WlhyWidV0IwgCWuQLEGDqs0NccnA
CbEIow66CrmOYaJJ9zQs1M2F6eHcA0H3RC8RqZxuvu26f2vs4ZpSGwBXAjGQUZHdRwMLpEOQcfo0
wee8/6LPLNDLANTAJAh6iUyAh2+a0BPMJg2pfIHUEpg2ajg9+lDUlOui1LrZjWxtDj/aySQnL4EB
8hnbTlu5tloOPyEo1l9myd/gqYAigkstveXaR/PkIk5cOKf8lzd2eG8cf2sVg77qZWGYrnuOMFez
L8FPBXq2wbCUgM/LIAcUDr2c2szubJlJbEngh10Nts1mmqFM/PkDQwPMEkG3FyGcOFoCw3x2ZkcN
uCkVpnQW1Cr+/rJ5oVYa7/wh1D+QmAMGfcrpfzp+Q5KdIbaWMvj7NOjTz9TgsgtE3tPeJzIy9oew
SAkfEPzn8EFFPrklPrZ//CDpsBdjmdBGI1czjdX62QAjtm9mLJ+6GlKApsTopdWQ0Nsw1HSTKoH+
ZalrXKUj6qicxPBHcDLJxrBG9SPMo3RP1TP++f5jXCaQo1erM6EjH8bOsTzGwzu25ZCGWYHKxSzn
ei3SfALPgt30wub53CIHENoxF5cB8NrjITTZflFNQYmaBhEhZrvBBPUisuhLncl8Ba+32jqjCK60
uiflnUL5FZqu7keNrZ+2SE48TWyzKFAI5CgoAzxewlhR0r+UHXFm/dElAicWoAXhf5wdMZiyJ6OV
sgttrfAJnVr1KvWIsxUzxDXUrO7Ct7WMiOPnv6QLIuE2pEBqfPj8tUkh/8LuNGiHhX0HnSpYd0Oa
7XVnKHetgOE+mn12YUt3pmCAy4VjHIJjnDagfQ+vOvBroKNLYIestl8xyYp9yab7qaRSvtXhQW6M
MPa/2tZgr0lEC5+cstBcFSfsPquNaG32aXpfa4MKIapTN30k2uvaxPjnzmJQb2UwQmluA5V0C1Ki
KJ6PzcYJEG5TktTtC+WPM8fj5dfQuqd3T46Jukzkv03UwELTxcyhUQNXqdCi3F6J0g/3hDThEp6i
6goLu75pZ3VetdSdSWTq5Mf3v6NTeTyfPqMbzZiB9oE6zOFNEEvVDUme8SLTjo4K1lPNYxMVrgsJ
QxVgsq+TMIqdNmkKwHF2yM6hD+et3vcw5N+/meVax4MKoQ3nKvYzIJuP7iXJQ7scEYIu4GxobUBK
TRcOH0KKgALGzu9N8zmP0MmoACNf+nCcLtzAuVnltxs4NvArjQW1pYKXq05yflTa8EXIZPj8P/iV
NqNXEHugMYUdPnF/rtnJ5D2DWBqdXBQT1lqFDli5ytTbO0k5Zs+XN3lyqAp4L2G2fv8GlqLH8WO2
JGJEpNFLOvfRCkSIuUanN+K9Unbdld2UgONrjE1XldpOlPmPqPVLIF9aemHEn9mZcDlGGvBxcg+O
dXVOG8+J1dia59SmuhdI8FxIZP0tKSfNhTd5dqpgnmBjsmzHYbsePmVoNUJBkqx7liy6n6wj5qqX
AZXwkKV07+NoYCOW9a3X5vDsmHLCBfpZr5VWotI0I+OWhol2YyrtGMEKTZqNpjbDDUJ7c0VwwuLi
JSlw3ym9sxudPHz2Y1wCRmQMrurT3PTef2dnHx2yKAohS1bV8aOLiygdwDIToFlBmgymcVrVKnDA
StXqC8Pj7JrH0k3emElLDP3b4aMrcXMWtOZ1sK7mOF73hqSzkzOSZ/p2pIjQ/Rp4dZUv29QdDLXt
Ma4LfV5x8i2++eaIdKxuiNXN0klX7qlwKN98OUFwstqwewlVQg4u7KrOLX8UrDGIMJkZFIoOb9mH
LjsEha95epC2m1KL0pWYw+YmstMfaHLnCxumc6sfpxsUTxw92FkefcJt5xcJXlmNxK4OOlkmXnqy
v678jrwcMOfWCvjwpRCbMzVlDvzU8lAKorKiKnb4G3OUSqLXmJxQIJbdnt0Oj9hORmaL2qmoNYoU
9BRSfLGa+hlKEz0sReyHJqHyo4S2pCuv6mFxabicGZoUAvD3spBQlXiTMv22jBn8XwWDUvVCZaQT
pAZ49za5TWUCCU7ePaAitJxNXVlgMFCfzMM2DCIggRySYp4UaSyfYi3TaTjqiBKBK+bgr/xBCy4N
7DOzOx7kxU3ABISB9egBAhtFo6ORTNzISltJlvRNmtrT5o+/VP52QKjIUEmmPg4bMmy/67Hw6yCc
TX0HEtx4ybruQY0rZfunV2ISZzDYCBcJzzx20YE4qesWQRdYkyHbRoEN1Acv5te46vPH9y91OuC5
FH0M3uVyxWOgT5hDq20EXiigy8HGjojLZkSBN1MGGtlI2zejMY0XnuTZiwpsDXSIoBcdp9ZUs7Qm
KyGShSWwhQZmKuGaIou9cZImuYEZOO6onesXVo7TqYQtF4UilPos0Ch/Dz+zlMqZ0Ct0XkbkkMDa
LqedUTW2URVlW7gNxYWZ/cx3jaAAdgQrB1p6Hu/hBYN8HrqEc6JXT9P8rMDe/6Bmg7ruwrZ1B7x8
j301N+ugKf0PWqsG67jWBfoca3pqiunSGn2qPKRujEt1ccQutdpjmlCInWOwaAagJW30yIXDIcov
Q6QDEgnisadzhHu1cjW9FXsa1OMXGPr6XTrX7NsMP6pbov7M6pdamPYXJZRhhUm46nvXyIbqVaPU
l2xCY5wIVeqV8UcFp9nZOIDN91DjarEXbao8vz94z+xx+UnUwnnGi7T4OP0Q7IdsBTBfaBXVoG5N
JBq0oqQOSs4Ju7xcT8o4bgwjNUKXyRWf+Cy66i61yuS1oCIkd+/f0OlERHGG0i2FpEXzflwdq3XY
gb4IDE8nWfROMeLooelg7bx/lTPni6XK8KbW19kEHZuoZ3MCg4XayoNOohUfAYH691NEDpkXcRDY
tCxXO9nFwFD6KUbshztmHbOoX/i1bz/ncL/5VhCnPLeYRaBAHA7wMqi6JIAMwamtR+pZ++ChVzFt
tOumUpBjEbE6Pjlq6T/YPjdn4NW5tfr0NW9x7NEAjzZBNY1bPZqn1/cf0enShcN86SqBMSf28FhB
Pavs3NQJ5s3cRvYX045zdIJh9KnQMVy9f6kz75xuPq5vG+0Ek/VRmbI1p04lSp6IkrIOv2tjqb2U
QXRhX3Lm93ARHjJuXApyx/sSkEizBDAH3cbE9pNIwAxZTytMc4LgwuLzNg8evdWDay338tuy7+jo
E+weJqMT4IpY4MprYZKkwOl6XkukjpQ5iCJA+OrvoewMgMTnn0QP5Q8lmZ3XKgE823gk37UkCOA5
KZQL7/bc8D+4waOJfJihU6oJT3xW4TFuuhotVDbnxRr+VQXXc6rKuxkpWbkp8phCZULA5qzk84X5
/dw7wY6C6YsGPAf9o9GvgnTOqBuT86xHte713NdemSvmSWWcL5Vlzv5oTnV4ZthdcI4+OkKTg6BC
DC25Wj0TQii7QY1psqTiXpKWJ7YOpNpk5US6UXpmm8zDlY7aExuXr/rZpQ7RMqaPhwjFf4Y8v5J+
5PFP9wM0jrUF+C00UOypydeFrOUldGzvgPoEd6Q8sFFvCAsAOJfizi3CFSnzl9glZ5Z0PnCcQgjp
jSV2/XCo9piMcgwBfHupjLY9uR632sDGPYT86en21F1IeTv7FhbrGMwZDvH48A8vKIMoinvCZ5Et
ZsZzL/VwbaMffS01FGLZ6HR3E4bs3DOn6ode9Bpgvb74+v6Ec6aoi9qDzjllS476tjz6QDMEnLXa
Mf4puPDvMTHVm1apjauOs/EWJrWDFtmKf8mRc4QPDPwqLeYOtlcQ3gUtpwhOIfk9VpJ829dCrpCO
QTuLCY3qBivbKP5wCaBz7lMhhI9dM7F/8qQgNhsGOIHZsNh6yO6Z0jj8fPaFuygytAvT17npGJ0G
74evZMFyHr4hwOB6lFIMp3s21F9iWjJ7WOfg+i68BHH6CdA0EtRkOVAvAIPD6/jWNKMEErY3oNC9
H500+qCTScbDNDOXjFwgvHpSrYIKtLXPoPzQaj7RjFWmXddKpn6JM1IW3r+nZfAdfZWCBY8aArIc
WB/Hg7MQU8bmh1tiIs43c8MWjd5gJjc5Skx4ZZOZzWtdLYOntkY+DD67tbQLN3Fum8kchUQcZ9/i
1Fse3G/LRzXDu1fh6Hmlz5DaT/hjyRSzjJY2cTcrH0Mlw/eiMWnfI8INb9Kk5N5Iz0aqakRt9ISG
ev45pWnxudEUHnBnkuXChGdZgZtAe0MorjYGqmViLnZKFQ7hmk1g/De+ct6QsGh9f//Bnhm+Bpt4
cjaZfAlQP9rIK1EkGqqVtjeOwlmVzoCsOlXnHwRRaZf6EqdTGtlx5JjRAmEDQyvp8PFFuj/AV418
L5Ys8Nf0wNoX3zCVR4GM/Nfs0/p32dnI20iNLA5rIjcelUkD7Ie7Y/zeRZbtr/QStTaUOscg0ssU
yV0HAvPHnz4U9rjcJg5OWpHc6uGNYjLSqrLXHESMGZNtBnEQvDKUFUSiq/cvdWbafdtPA2m2bMHc
dfSx0dUvx0hVYT6bgJ/Tuoq3QmMs92UyrfxqzHaWDnkisVt1rSHgJoEq7JILdyGWX3T4fS3Wfeoz
C6qEn3y000PJquccaB2PlnyvfdIjRY85Gdlj7bZiUF6cRnKa5RSlfqsaArcUaUwAsCl9h1499wzl
jHH0Se+Wp+boC6+RtQQVY0ncy51dztBV2sj3b2VXchDT58IIV+AO22ciJXBV4E5yDIhcmeq8qEPV
v0ztSCuvo0MGEr8gFZBRTJLYRN5b48Oeo7zZok18exl/5Gz+EH2vi6b41R4Cqd/8uP9Nq/4/SrL+
XnQ5EvCPP4Gn5r8bmKlF/DYuT7zPt0U9fJ1O/sDfbmeh/aWhhqekgSISA/1S/P8bVS3/MhGM6uwT
dbglKIkYVv+Fqrb4Q2zmUQHDomBbv/yh/xVUNb/jYOQCEkGjsJhJHTppiJgOv1Xf1EhnawsKuWOi
fjcVrbw3CdCqXUVHlOu2WZvdVKMzXFgkuf2jy5qLvplWLi5kByDU4WUBkE6qTjjcSqZK/lwamrkN
9bzZ/fYW7v/+AH/ncL+tKL9/l6z1C4abQyjkHayqR+sepUilysPAoK+Uda9aI5VHY1LqO0rrQEaX
QIEn0Q5W4FXq4j2m5iQf07ZsKrevmgxMbqi20TarIE+zZzXR9mnESDbrutOD7+rbEzLrFJ9hOo7t
0lyp0wSHYYTPMFcz7UNE7ma7IpKrmNdZU6jjxiKa9impCWJyJd3KElFzrwXIr5NihjhAqcSz2DGk
bi8Czach0XQ/VNitxEcORdewDhba1zic4yenC3Xp4YdMguuhyYfHsA77BccUqS+tHaHjRySWF64F
h9zBNjUkuhubBuIHHxfTI6lkg0Z+xEAZoGXeAHY+keGynTHQWVf0i1STdMFE29eNRZQUp3FquVmf
CFwnURrsOEpFxRp7bH2L1jVswF4bBS61oA2k9695WsKMo5m3UtNK3ucJFkfYz0NxncwjyU9xG/Kk
IjUmgwwRXTRemJGP10pePCVS2k2MbxVP7fH2H32q0CLgxjhPBAd8RcOxTYe6kjmWEdbHCyPtrTB5
NNL4gKgy47Hkcz3+jkJCUhMKl/oqncu8XeXoUq0bq0YTuDbYgtw1gQ7ttp2l8tHpW6VySTKIwi1t
BTPEdSpBFFYRca2rPJniT+gJwm9iDrDiqmY3DFcwIbVfyWS30UapFgOlYpe9q5a9/rFvABTzqgIL
80nTCEIGh3oX9BnZP4Pm4/BR/Jg+bpMqlN18cKc7AN6O5pKvNaYuwJgl01ErlJembzCOaZgGu1VV
tfU+yaoYq5U1dUSfpUH0haM0YYLvf6RnXpXDeVGj/0uBHmnh4VTgoJa0M8PSVtnQz7TwZQDDcFQw
LmXtVVQ62gXywls1/vhV0VGBa8tWFMTD0aSgJVZnpIhjV4EvrG9ZocSr0BCFh0VnuCVyhQwNYkOT
td1FwRMt8YDFOAV0ZkdO+RKIBAt2YtTPs1EPI4l+Zg1UW1WHdJtqafVJYBjGHUT6xGaw+VOONC7x
7U4anZytEezQLTco+qC4O3pkQW4B9idcdZXlhU2IX9BE11me4oTvRgIw3Kad/Ps0ynpzDXt1JiOH
TYJNwF/Gdwr/hog9UrQyLPMEEhr4cNtwdInnDqQbsL/w3RwMEh3Ssu+uzUDayMhKn2KlI2rSu2El
kI9lNwTbTjGhfuv3x8PxlpofRwlzKWZhkbc4Fh6OB7ORuSZrRMslP/0D+pp8nRhdfjUnBEO+f6mT
3SNSRVrTErkPB1B0iMsy9duJJOE26m6clRUCOqVbhck4+y4N64LdW9NUfJnKOPwwELp/QcwaXdum
pHiZCBrlFxbE03WYDTNrMF4ClsQT5FXRA3yqBYxezKAVhX+sb3OlLHOmjaOuTyDJtmV6qcX8tgAe
fgs4sGGmoJijGEq35/ABoFZKqowW7ZoaIh7jNpMI++O2LG8Fea6kKMNPh1Cf2Rh2rATdYk8mIJva
xCC7tKo5fXVYv0gwtZtZwy6ZWpNbOwVc1YSApTsB8d12MbDRiOz+k7jz6m1bCdf1LyLAXm5JSrId
lzhxEic3RJrZ65Ackr9+P/RVRAkS1sHZ5wQLKxcBNBxyylfeolR5dL8mUl2AnTH94BJNxm8jPvAU
olU9+2CkcWH4bpRDooGoPD5B1B7bfSG4tdAvMNJvGFQVhLQ1/Pido84YgOlOiix67CkKDj5kTl/R
hazqW1NRkAspFkdNn7N5SG+0MjKnnSzi5jaOtTT2yywrn8rG6q2AE3U50LfEMxM08wRyk3S0ubKs
T4452sYmcQwfGKyWZm4CrT7B1NHrwCTq5ej9Tfs2u2kXDS2ELIn2am5e69GeH49SnAsFhq7+mrL8
s7QnrgUqAmWxwygn3jvYgy4oznvwTi0065K5+M8CdaQQK5UM9ABiQavQ5/GI86THthbXxc4wp5Lt
mmiHWSTzBwU8zcuVjbstM76PZVNjAVtL0W0bP5ZagasacchOw5Iax6fUOAxmRocpp6nyrfFGdQhT
xZrusypqPoMSw92wpx6g+Ok46G9XnmY9Jo520drz5fQgWgfGRNX3eOZ9AlFZ77D+YK9q/S1GfPOj
bAoSMjx475tYqSE/5MufyUXNH3S2+KJDLNotvZ2GxqzF93WXtocqwnn2ypOtcc72yYAv82x0Uznp
NoepomF70uZWvsPtNcoPIq+1Zxd1IyQ+5t7K/CifcedrqatUgcT9G3VBrSh/LEoH81VpvMXGhC4C
b6JbipMFNPXSj2qSNu6NYyGs7LcFIuMfitlRuivVupNrALw1ii4mYEUYFuRPx+80mvDCMmSKWaMy
2zeNg/s4e1j9BI/sKqB5/a3NW6JHBVFqhZcSLm7Gsnth6yqSTCEWbeKLonbVTWbG5c8ZRsWjS+r+
I7EX+xYi+rIfhe7+SqvavFJAPrNf1/yQRcTnIobc7B4U3KYxRqiOLllspvtJNesXBMyzA2YLHloP
sbskVyKvk3Ixu4hJ64TIHBOQJTZnRIZQR640ZRQWadJYh16UmIgWqtkimOGm5ZfKKPunOFr9bApL
gT8smral6sZXQ8C+nHRfeiMoqxXeboSgMtfGr84t1Rip8yVbBsjpbaNmX8aqxI78ytpeo5zNV6O9
yK2NBw7Iui1OF2uAeT1xnLDuI6RT0qUuy8COukH6EgL1ECxd40if+8UcQ5PySe2rKnAaErTS/i3M
GCc1R5UGHpWe1Mcrj+esL2/zeARnHE/8KJyxLT3EbOI57ZrRCbkf6f/IrpuVMMcv/ElSyMMIidX4
0QJVtvqJSOUDsiQIubQLCPYDCOJM9xOppBnkdE/cT9mIPbk1tmUXWsLFCl7REhCaad81j7g6pxjm
oVvyV5mQzYCAZtRTCFXZKgPAx9oI2FAUhS+wbx++GHE3oQKJrfaLrSYYvnKli/G7RFkieUjx9d5H
qZXlj5FdyJdB9Ppvs3SLN69RE9VHbwWWet/oKJcMTWmAp1FXURjoPQhQFbHlPs2at3yO9HH6Wxk8
2IMVJ+Q1o6P0rJcxU7l7YWgC8+wMOm8sle6jmffR9yVzxk8CGyDkdxdrvBGZTfqKN3z5PW0U+09u
TOKvZlWRulPVRDirP3jxE2JPAx5FVFxtTmxQS8Y4pWAx47uKk5GSIRnqRMn0Gqe5+ck2h+EahPXM
zrW590CKryWeE7n3GO1jk2qJEnKMiYc0MpTAUirbzxNR3SIWo//nqJXcG0lxumyobXIybsL/vhmz
KqWgH46R1X3uJPqvcPH7fTJDo186cySMnx1jTwoqflu9M+yxl7kmOr2eR5vlTdn7XXWaiRPV8O//
xBdEM2am2J0SUkYw9wXiED4OQtatPmEthmXKn2lOk0+awHsWSlpy5R2chMu8gvWiBXPF5Wa883b+
Gd2tFiRIdOrZnaRlgBdwHUaVtvzurfqAG818ayipvHJCszPOzBlxQBveC/qmJ+el1SmKx6mhhEns
9QjVm6ODOMZQtckUdktBykRqNWA6KAs0h7WspOFTqmb3MmZl6eD9iW7IYa5U5UOOTza+lqtQVFja
Lmrr6pKaLwq1aRj/y6T+qhESVgFbzULcWMtqfIzLLWcAPsAqReMyx14RDQf7hpcLrjdCR+9TjjNp
AsLEw+azLV38bb1CXaGu5YJ+S6vn6Pi0iSZeNIuCk49AiPskY0V8qVvX/IuFavncY+H+UeRpBEXF
zTzd77OpQOoD+bDnoh6bBFrKsvyxOD1xHLVkTklaSX4NhTGjowMy0QgHmJaDj/oNMCpEYXRUMoal
eAAkwL3mQtnHrgDwrh6aWNhSmvaWxbsbZSJ/0AtSFN9ANOJHJF30RFI97ynaJLX8pbbRgMIdMPFP
81xNgz+JbFmtQZvh0yI0hAAmXLY+1Xnae77eivRHY5sA22kFgYUckMt9cCbpqr4NcLX1kSFDT1gM
bRbYqrp08DqAO/qyqAaKZbgnOb6O6U4atL0N6B16makENmak93hpdkOQW47ymkZp8qe1UB0A2K3a
j/lcNa/WKCVS5Wrd/1XHaSUX2RgHdZFqvWngDarAM83y45z09heMT72PnTm0n4XiyK+zZ+Bqa/YR
eNssyZEQ5OY3XV/qCgJHZaPE32ZNzys/GxUPR0GrV9Zu0wyMfEzr7luCJ7TYpz0NwKBHCEmgplG5
L1llo9SKcrPyAPq8Rb9pIerCirPGxa3E8/rOtmdVvcnqMnvKHQt4H4JR2i0eTDWewPlaq4xpbA0/
L1/gp+cmfCjbIQJZc3BjGzW7KZUtzascoKtZsuNmtP15qOdHKzEpbdFKu5KBne5eDTsAhOTJwygK
bllYCGzhWa2UXMjlCqDUjOWjxXX7LDQ0iv7r1NQ16QIIAPbdoyx4fDiWY5FbdZpzPOWd+xVEcv7o
IroV0N5uD9TnvCuR3OnUaC9QfqSLTz+BQP94PG00Bqe2cDavGw9HobKr7qo4Loh0MJi4PLXTmsl7
K4OYUadtQcdrEzTqaazge595UJ869Bbh9lkP1QRXQ2aztnPS3vyymDGuxBVeVR+IasUznrOgby4/
x5kbwH03wgGkCohyqwZp1Ka1mNmI+ps+zd6NgOJDBztXBEWbpB+jndYPOIGVULmuyeufGxr2AEwe
FpFxArhBwUwrDa/D0WXOyztZ2sNeUPu7nQDh3i3l3N4Ai86v5ENnMjlwEtQPqI/RU93mQ0onpFVP
BUtq0g3w1PQQuPiWDG12r7VWr92ms5/KcUA5zevTK3ff6V7FjmudKw/AQ2zlavXaXtvytRLGjmP+
BvEpSRTx9cSmDTW8oRHN98ufl/zj9LKlMwVBidxrbe1u1rSuzmWaL20U1rG9GlV2i/ozzgch/aFb
uvlm9OYJtVOriKvQm9xI22sJbIFngCsoAHpmTeEufwfGIRvzcyHlEgGW8YoHDmA9wCu8MbFgnRdk
wQqpG2kQYwf50Ym67Fc1QHXCDaxsHgo4EEoIeD1+TYn265004w4omZycbl9jJvQKz2qZ8FeYuOmA
Xgm4fwTJDyVROiKwSw2gFPOKVZod4ZQA2aVs9sFhWCjw4QT7YXSoyOwAkVFm9dKov9Nag76tGOKC
k1lmKkaKGjp/Symp06WUe35jZh/hh5jq8oesbJf+WYQEq2T6QOznhPsOClr903FGyGy2PmglHt+F
Re/bGLjeJsQrsXFvXFGHNr7mX5Zkbp8qCLPrE7hRFpjGkkNjVnTlpfDyJvaTasraAHnCiEbCkCg/
uUH6GpTZXGL3OS1oXHZzvkDuV3FLpImR9H9rOVqfOjwv3ghk09qXbRzHn1MMObNQJlHz5s6ImGF2
SZ86LGpDfkZoJFd209TMbSCFZrZ+meTYb5Z9ksBqRrYSY2khu/i+kSpqiZHXrE6rg7iR1AgpVVAq
JB1EXbI4LKMj/no4PKe+Wk/qt4qWCeVLcwZhXRNd4PMMVsVHzgbm64iDFD271mjabxNE19+cPBn+
Jnkh8K5NpgaOFDELidXc0QMk0uh8farNP5w66IXm2D/Kg1rXZfFkzCjkQXoQdhxGfcOvlFg5mvf0
fxbtVoszEPV9FENEKPV6kb7p1Xm7U/uYaivtRxdbTT1lzlbcjj8k3jXVQYAjwhdyGpzXKcUd3i9S
xePOJwRHjcw0UEBB68J8Ho1umW5sqSC+GHfRFOJNOf1Wk8n6HXvsJh+BLO+N4Mxy7lzUAWuESwYn
vSlm1WrvUso8im8jE/NmLMskKETgE4BqajKCz10jfYT1xgKxWHP+Pupi+tBYapU+JGDnh6BOzOxb
71bmb22JGg//b4QFcX+daPN5bd0NN5iZWlgYuNDsQgflPqgpjbXEO5T2FJRG8bEMzahTmZeQMZZj
NFqXoLU1xQqsOJIi7IpktEIvr6oXnqSoQx0f2AJBu2UybjW1N9MPXUblfN9QsfnvCYemg+DAEIN+
PV4Cm9NozrwO4ggMRXxSKY+0PfouQUOfNYZhM2e3Ak24Q16La9ftuVMQig4JFsQj50TJJy4ca3Ln
tTRFBEW3LkGU1EFL7VD3NZ09i2aBg6HZs1qOINnNmkL95YP4TGiBVLjmvZc4iTA2tTGnV7NeETl7
OrWqO2ustYcY0UE/9ZIfl0c6vVZJ6hBR5E4lnUS86TiIQRNLxLgK4cpZJmviMVbtToPj9Uexlu5g
NZaxH+fYuhJHnM6PKFRDsYoGkLYiJ49HrVuBAz0IslCipXjL1TBTOkCgZHFRsr08wdMrnKGoBVnI
MjkqZc3joebJKNR2pGClIxT5kNvxFOoV1Z6+B4fllLxRAm97eBVZceU2PTNJcPguwkXQ2h2Itscj
ZyiVaFmn8mptqT2qtSAfSEz368ILvZKZn0D/aTmQHCM5Bp8GAbttG8CqxlgdzN4LlR7xgu/NnKrh
MCIoQI+66P86XQYgN60cewk68uSQsCKSO567TwLUkxV0ZNCxxWp2teW8RSi4u5J3nHkZqze85dJA
hcW2BWs5NTIHoBOjUOaZfNC1fLmpCqUPTUROr3zxM0saNSJE2EDZEC9ul3SSWX02LmYUOh1KkHiN
5WFeYxjbtlJ5REtw3PEPvXFlSZ+eGUh+UUqGIkYKQk/9+GvPhl0sK1k/NOh3xYcVnHaT4amtkU8r
JorbrlLf0u7VOGX1Xn12OjW9Jk5w7iWvlH0Yk0SNJwEjzYISwoMahZDgyreKYsp3dcYR2i9pFD5f
3ldn3jKNcFTDLIzQWdyb+XaU/UzMrd0wAeCPQunkIdydcFhne82cCmadqF+tPmqvBMVnxqW8zFmF
RS1nx9ZOoYlhyU4z7n2dl9U7tG6yN1TA44oqUMw3jiVujH26/Pdkj3tIJYdd2+Mg0zaVt8mOFBsi
7irPDcPl4MwsW2ItWA4AFPsraIkzZxYzXGlqfEQQ9ZvBKtVBzIyNAkuoG3ZupSLto4DF3I3xXPyZ
5968Rb3QMX3b61AMv/xhzyyiVcgL/iF5x1pBOV7ITj4mGgAMKICzG3+uRjHcUt1XH5RCeFeGOvMt
SdNXOwoTZwFOyuOhctfNwT+B1tGWGQ44tvbKLipc8siSQjKatGru7MxMRFdOiNMprvRK2MvUc2kU
bAUhWqsqXMugTasJw3lz1Lb+prpudouXhHVz+W2edimPh9pM0ZBtn2HuSEc4JrcPijJTKO8Avrqy
LdbfOa4MQ4+Ds8z7pCp+woalTDnoajbnOxy5sVp3XfFU0fG6h2cDuA2Q2f7yvE7I6xZ8PGSxIEnj
JQOyfHO7DWRamd7lxc4Dig2QJSu9FN0WLppm5yxm8whFUX5uvcSb9m499M85VcNvNNe6Q0TjByN4
RVNwoKJmlAAYyyD6lzKqYT0WGbrpEe3by0+sn662lUhOZ8gxLYCJW6sHUp6MZB9uazJ2aQW8NC6+
JLJJ+ic8FgaasxCK0RJHv6ffQXJP3gYHhSJcNUoU+kevqPJDrCfOqwqAB+n9OpOUfRG1/tEVDf0O
IxfR57E0kh+qLtrnCawQEm1IfqAmXJTjlxKGoBPi3+GmPkKSpU790Jt1v9F7CgmX53pmgVPExtKC
xYfU0Oro82+fQHNKg1wIeQBzglqaA5V+nNz8ZxSZ+svlkc5EHgB5VvKNt5rKwIc6HirDM710FHwZ
DArGe1kKbY8Jl/uxdzMDzU19+Virrfw0kDI9mjUwltxKI0F+18yBk2vVDjuJEsxr5NDMufxsZz44
rAcomYSYQAS3xJylGQuvSXFyTbSuOqDZvuy9ZkG3fcyWJ60n8kyRKb6yzE74emwMeC4rROKd1bxF
SbgpJM8JzelQQ+vcohmQ6w+pWixt2FRyUv280lozQO9EM/ZFPuvOi4WK7R8dbVPvAZdIPGg7T8It
jGaJ7j9wNucVbxpI0eVgx97h8js6DVtIrjg61iKmCmBFP/58QLTieKipcQiH6obZz0g7dy3+qaE6
RinadkY2+lo1GGJn4qrwSG7o/b38CGeOSB6BuiJYbP57X2H/tJW44l3UoGMwm0tS7rtKGf/CsV2+
XR7lzAEJLxlUqrfmk7h+Hk+0nQWYgiVCbydeihaujabslnzGmMYZeoXAgWz/8oinW2OFuCH3QCkN
bA5aZMdDlkgN122XWjt1mOuYzLkpXnAbbh9ASEd7pU60jwnooIM1N92tR8Gt890YqS/kgp3us0xi
eGRLmh9SjT7W5Wc7+exwJihnApGkmYlO6GbXttmgjm1nWzt3EZSOBmL/1wXR0HinCgOF1XpqXfyg
ezN+mxRTQmEpbfArlx/iZH/yEECFV84W25Nk9/j9zHEP96ge3V09VRIYXLncAqcGrNMj4VeOyOXE
EDp3lwc1zkwdPjiXFzAGyqpbdE6vx1JBvSPaDcKE8iFMJN33xK3V4uvGmNc7r7IzY48zjPFJz6Pk
L2hL8dtOSvlLiqih2ma47ds8LVCXAQ96EdJ7LgWvZS6in3qtomGmtIvd+lNfyDdHApHnvEfMfx9n
0fgsR7N7JohNgYpns0zCqgTZHNic0Qc3nbLSLyZj+mXZWa3uVkvlj8WoQh1fVBkvt2jXOQhJx7Pl
azl2WIHBcyYfiZRH6w7ZbcO+Er+c+UaeAUkNrs8qf3GS1mD/0DZG1+1SB3uBCn3dp9424j2yiB/I
35I9GbV3bWGcnAicoNSeVw47eS23y2ZhCEQu2roRuxbR2puaqrH0m8kBV3J5LZy2VdaIaeWK42BL
cP++Vv45egZpN02jIWyX4oL4MNB3CZTJig9m1pm7Fjn2MPPEfOMlHYQCa8BRN5m0r5cf4twbJgCm
vs8O4BDcTBaImNG6jtntOk1NKfik847zQAbTLIxdbpvtDZDipLwy9ZMUg50HHx/8K+8XsYbNqBo4
IUCbk9hhWmPcVgtklFJV0lsbVtMugb5wmDvxEyqqevdfp7viygBs0IVELHh7PSZKq1cY4Ykd8G/v
u043KciHuTX82cvKJYwEJK5OyxTzyr18cv4z4XVBcSDzx9tWBbolKx0raoFia13+OCGbfBiNXL0d
eyigssyGX5fneSKGQUwM+JTOjW2g3kcEcryIO1OJ+nLBgijF9wMVqaxEErrERW0FTbhvTgwLw866
0gl6zWhFUDj9/NjKie58qkMovvLBT2k56/OgQEdhE+ECa6tsVStOMnGniJ0yz3WVhl3UGXjktOUQ
h0amYJCETjYImh4WibeTSbbisavSxPABbmwbYHklPqhdPRZ3bmsYOdJTjpC+w+2ATPhoFwqeL3BD
D10h6WbrypL8XQrwRHeAvbMnSaT4QzGB+hNi6wq1p6JT/S6mmhu2k0o4nNepudyLYcm+KwNIDF+m
zjiGGMuLL7kuZ8fPTJWHKobUfkqGInph2RivBqbFPR5ebfJVVfIJGq1YEH3LTQ159SnGIErUQAwP
yGMkrzAurMdFlvMcarSvbrxFNXIguuA1d1AyjCi02qKe/kQdNcKdBMp70OlNVKkPbpiuX5bjBfXS
eSI9OEXaagEOuglmiakxt7dEx/FeS3GPwh2kzr5UUqP+DwloMW5gFQAOGo2+1Q/5ODg3NHRVFwRJ
Ob/NXte1O0QkgM9dXoTrGjvKCvnmKKU5HODUBsHsHK/BBvcyXaZNveuQvLsBtOQEqpktNxbV+iv3
KrWB08Go8FGoJ/2kIbZV3kCaChMCFF93OTlj/zoqZvW9cCtNo7mwYuUUqTi/SFExshumdPpOdGTo
nyuh4CRBaKT+ziwxjeAdCzSu6mXs3tC+iZTQVZVl/jBEcf8lp6DqIOcPNvGuUNRJv5dVVQIm77Km
hgXkjC9e39Va2KHJYoaZuqCbr/V59TkrVCMJmhaEkj9NpKXhCCLviydsyMMrAt/92DVA3jHZsY0y
jAD8dGGrotLnDw7snXEQzRCMKgQsTNaSQmCXUgCAMuVgWfdWl3TtDQmv9zRVefunSKsFeybMulS/
AO74rKEX4WCiosdxIHsT+KHlDcrnmpNA3TlxUt/T50QekxxAtHdOu5R9YBSUl4KJdYdNgFXWP3K8
uEC29DZam26ZINhkYeNz49UiHvf5RCeaM8eKCWsTDS8pUIYYhtFvleFcAAoJ7ZK8cB8NJZfbsrQO
xeFKVjdpaSPfB/FH+5M66NG9mvGIeOrUq5SFKSert/Zoo0A6T1bW+EAVAcPkSqL8IZxp9B32QfHD
WPTuN4mUr8tvaqn5iEMGPgwmKJwBBSBrjp7nuMVwSuIsjHoc/kHfwd+bIz0cI/0r4Oa7n6c86qdD
MmcCIz+srXq/wA4SbhV9MOuuMSQGZUXME+G/JWDvDzEC/C8sbZE/dWjdPBexoxW7OYLeEPaZt9Ak
nBpzL1AMHMNZE4p88LQ4/4qQbGoegCo0Fnbq9hw6sqvMgBhQyECNTJwT9ZzqnK8VmMUdPEtBt2RW
Z5EdBL6oSRA1c0ToyB/r0Hm0og5eky9w67QSnnOZmt0bPcfM3UPDbLsAuwTrZ5pP3kTlW6PFGSXG
8hhjJvVJtKr62gHiQENkjDN8InUvfbWUOotDaxLiJdcmyEVaPvBQIqLXFMB5mx+Bt8S/bNgTse8N
UUkBRozxn9gZId7zv0b6NVQqD39Bra+fRVx0xbMx2AsOL9kIlrrvciPMCjm/DulgvVw+ds6cBCvB
BXoLsBhibP342DFaHPhsXQw7Kozyk/Si5HaOqj8uhLtnagjXMEZnYpm1lLc2CWn1cNkeDxdbbTVj
IDXsqkjPY58uB7ncpLQ59Yd82AGqaffwPYvbCsTaFYGA7djQhJkj5x79Brzk30nq/0SQhjbG1UDH
eO+Vav2xwto0HIxZ9TWzXD21BIZSAn1Xr+7cKwfu9mx3KEKTNhEgUy0CY7U52xOlqtwZ9PhebfL8
KxY/MrDQH0bEw22vXCMnsQw1bHREyQPW1g0NrU20aPXQOjFscmApOd6NRc3n0ZyjBclJodwUowWc
O6sHdy8zo9/VFrbCHqqmX4tKFV/+29Jan2R952tWTavL2aTxVIwcTCNHZx+rWXJT69OLm43p8yxi
KE+laV0pq558Xm+1sWcpvztco+9yvLSKrDJkbNgTtMKp/UT19X4eNfM1l3l5QyAbfUT0tPs1OLpy
81/nCQJylexAz4G+2FbLi5cNtSZb1H071NYHkdUVDiZd/+TkMV6ZaID+9+E0UgFMlFxK31sxuhSE
AAbzjbbvaTz4NRcV/mi4Jw0SN2McxpTfl8c7ybxWyg53Dsq8IOjAN61HyD/7Jl31wGxl0fYqGrUf
TU9mT0Nsp4c68XD9nFGO8iPPjm/NLC9fZ+wWA6GaNHguP8YJLXV9DGQILXINqjRwl48fI24Uq4TK
q+4F9NTqiwA0ZD+qTaa9tvPYcIBJK5Eh1pC9CXancveQeebmXgXzjuRWYSxfdYdNv2sjQ1uQk1Gl
hcRP2mIhOJNO+6Jq7T7AigVBd+A3sJNwDiE6noYMuODlyZyuVZvCFhVuXiplz22LlbIB3pdCavt6
sOc5mGfH+TIPsnnKFTu6MRQ8N1NqsWFhT9e0t9b9/2+cCRidQIW7BB7lat++OYH/l+zbNx/r/419
++aYle7/sn37tlywvup/7ds3J5J5zr49gdA7+/93bds3L9/6/2/bvn6ZzaKktMMO51jmet4SzLJa
TAAD1SnozN65R7UXr1UaOpTXlVgLoJDjPlEUnkokn8h9Z+Z2iAKAs3P0THmh5w3Tqs+UK5v0pG/G
90MIi4IA2BB0qrbXtqbUJQRgfQqsvpc/9EKMwPbn0fsql9pFVjhSMG9cNC0OE2VYYuRzdRBiZaMO
t5NqKBbOwmsLcVEV9UmhJ/W1sVPj44To3ehXVlpd03Tbhhnr87K1wcDRRVktcI5PyBF0Z9WP+RxU
Tio+AhJL7wYA9SGEtPhKRHNyKbyPZfKtKJij4bgll8nChr9ctDOaIEv/oitO9aIoRfwQF+Pwq41V
0zcmyHmt3qRIiTq4ww/YRFw+Rdf5bFcNzE1KY+8hxlba0Y5Fgx0ngI3aWP4oWoqyVYecRtBlWfLd
qnL12qTXiGUz4DsgBi4dd5Blb4LlTtXxj3EzXDiXAddqMSfIsrnqjdEiCcdF4YK3rXPnNjJK/VBO
3Mf5NM0tZehIPv/nua+lcXIzBJUAoK2l838u5dGjO1nH7bJq5ffMuF/CODOrO1UVM33QxbgSdbx3
l7Zzx6GMUEADcIwuxPGACnXniPGWoKcudquDL50eAVyjf4eMIDh3bEXB8BaKmFp/qIbMDmLVMH8O
FqwL34QIQ4XUyDpy00iZf40ZLoR+NST0ox1jUQ4T3sRYpna436CZYj7HBd7e+yVu+lvL7i35H2M2
lu8qQsLipXSNyM7m9cWzQOCrnuZgSirFF9LOH2fXEeCTdS1Y8si8okJ65irA/NJGmW+98E/0XtsB
9gagtjlonfzn4El1DxEaY762LenXFBwSRXvN7e3kOKCPSji6aigRfVNeOv5i7RJ3BcVZLFkGEzOy
pUTHw81jihD6NfL+yfTWoVyQBfA5qF5tZXXbeEHCU3EZShfKPVBvCYKtmnfcdjZ1+dreLbXor7zT
s/MjmVobdivdbf33f7ZAhN4Idkb4dppG2v50sT4JRaeCqFjRcZd320nQxPzordD8MmAW8hmPh+oy
lv9EQTV08L5+zYAmBDaOEO2VGPekDclWpszAQqG9qq+N3uNxGsgg4C3GOiyjaLmzRDX7k8eLDfMl
jV6MKK8CEufmBz4y41OizfGtAaMuQDiRlDrqHes3FrXmHtst+8obODlr0e2hWEj3YdWtI4M/frJO
b6WOwn8douDlfSbpm3Yx5Dt/7maq8xTHrgilnvm4yMWjj2eBTTNYw8fjUXat7bSeYeXVjkMRSUvC
GdpGEON0/X8wNRbt+/TYottTHePjeYF7V4VIuGDrnPWtL2KUp/paFIdmxuD88mI6NzXycyAH2BNx
/GxOUmRl88KaHO5laLufkxKiY+U07YfBca9Rb7cNVNYTZoh8MDRwkLbcIn9cHUKHuSx1CLKL/rkE
awhQbTJ+rT5B9wLg/iOFz1HZtyhu79S8769cG9tEZ30ApsmRt+KjYWwff8a6R1IyqlDSsZ12emgw
NX6qurK9WXnej8s8pXeSTkDie+VU7i+/5tPwbR0bk1cSLY/ttK01kcvWUP2iimnjx72D2pyNBxc2
SheUI9YUrUrudUclAodzhL5V5xCZpUSZI6Pa+ZYvVbt3NICaDy2mRF/aGYSlLxYl+RHTpaP1PVbe
lVvpzDF69MSbiklcVkrckduH8BDEZ/xuxluZVNneKUwRYprofh7Nsr3yns4NimUmG20FIFGTO/5E
yN1OGbkwtjpelL7NXUe5VsuLL24p5NOU9sM+HmWxu/JxzpyoGMjoCBm9S8C6m/NkmMsFt8CyDhMY
88n31KOHH6iij7IPVkUbOYwyWKZh043mbZGI/IdY0EHdwTKdpo8SiCW9yL6F9mlgBB777thmny8/
4rmly/sg1CH7Z5duPkZdZNNiJ6u+ryydPWTPaefSVLjVRG+9jcOkP6qtWe7dBvPayyOvb/wo1GLh
uoDpaPxBIOfDHH8RLUtxOJiLBjKZ0dPyUrGA50NYX11kXZEPaH9eHu/MTFfNHb4/YoMrwON4vBbu
V5F4nBIix34P8E0G5bSOAhjb6q6ckj+1amSvNPCugUrPTBRFY/D2lCEsFK02J6FnV2lmUYzF8g9a
pmb25e1Q5EOoK4p5iMEmX7lfzyw6SPEoTgAlBUu6dWgDhttGdRTzYgn49P3g4oZ7C4jQuHJ5vWc/
my+I4AbBF6UdOBPbIkuTY3nionWKsTCdD3ReM/swDpG4l52Q+2yalEOrNMgbJxp6TbIa+gcbbcOE
klOJ4VhHXU1qenYlZziz0/HlWVNE/mJJb75zNnt0YQaccU3sQB8HHRdoBbzFTdVF4pNnSeO+y+ov
l9fWuVdONIBAJywSosPNLpJLXugV8HlkEEQVFnFhPzhK0l5J1U8W0koigAXJ73OgkAEfr+CsMbHd
pbsdDHGWPWpamDm+kiUq8M1RG64cDGcGQzWdOI0ePZ94SxZB47+WWDC4fNYqDaoRuh6Wp244TYN6
N0T6NcbIufE4gVaEKDBeULzHk3MaXejq6KD5hbZPQIDnHQDA2w8qoJcAA8/hyi10RoeacMEF44L4
G5ibrSroQoPC0SfUsLmuvSlQisT5vSzIne4E+gOoV8gOUXpraQD86HFu+IkJOBKlTuj6O+rR0y6r
9c7YKWgZrPryNI2tdEiqPUIAyRu2CAj36jJGi9MAB+U3aZPfyzRtxgOEerQ4ldhpqv3ldXiy9iEq
kgi5LEUK59iAH79EA9xmVTUIp7mWoiJNQUdRBku7VLsK7N9BoxO6NyxpHS4PexLrMSzBDxUKWk4c
kJsTrqCP5yoD+tca6ttd0E42LLi+MhbiaOndXh7sZK+tg8HUou2Nfjsa+8dzLGcVzJnFYOZKdrtx
MwfYs6im+BoY69xAIKBRIISFBjF48zIbheS9VUovGKtIBmZvy091bZVfL0/n3LpH6G/VE+Ec5TUe
T0fataEW8wxfW3f6T5pcNfaGog6WJlVv+xZR6MvjnflWkIKg5AAo4qza5stdMoxSDGUUlFVOvXGo
RH3fg5bR/Fqvu1+XBzuzHjk/eHfva9Lb4ubkrI9pBrMLFWxNPGjG/IbdJpq3TT7celVR3hcs2Ssb
+8wLXcFzUMnhWpHIbc7iOXcckhsLbSp31B/RmUWDZ5m4BCB3/1pGfbiy596bx0fXIP1OTHZAmtPu
8BBDOP6Ck4VAfU3RN1hqJT3ICP2piMgiaIeSAC8HNRkXgPz7DnTk1DlIiBKLHGzZjTeT613D0Z2d
PsHc+jgc3OpmPWUk7PWgJ1HgIBdzKHFnB+JAYbeEKEAsn16Z/fpz28mvMRyFJpIPCk3Hk3cAiRdL
wimqVJGl3xFnO4+5J8f7DGGMX4u5qDetMFyA7dpgXBn73OpCgwdcOxcVRafNlzYHG/0dB630DGVf
XLua4h7xugIAayc+D2VGpz+VCDleXtPvLbjtlFec8BrPAcDcyoUKfZKQ6YooqLrYmj8ADs6H78Bp
wGQNtTKJOsgsYwaH4nr/w9l57ThudO36iggwh1NSoVsdJnVPOiEmuZhzKl79/7D3wR5Rgoj5DmwY
GNslFourVnhD9sFtXTSCxkHrfilzi1gD6tMOSvhJXORH11nou/oUuh/DUB+bIKb6KY5xxHjb9zrR
1QG4fS/fsbcRdONwivSfc65GL8nQFbTXext8kjnYIDRMtEb2lV0CHgF/4RUPqTI1mZ/MhZocOt1t
4w+FYwx32KiWo9+0ef5qhxaAMWm4YbbBF7v6TZBik1UuHUhuo/NjIdUwbssEoxGYtLax4PDa/+yw
zE/1iKxwq8/598kDDid6r7rX5qSF1++NnzIFCDH6YbLawpdf+SyY1EOvIr2g7FhbNGi9K5O+nfQg
Dov+y1yPGFsiejg8INFsLagcITbS44uuBN0tlZDAjUgqijXl+RbURVWXo4dxZze1ZtDP9oRFM0h2
mVct9Halo8ucVHWR+SQhDf292NiiGl95aEoOsmCyc9RC1to6KWikZhA1fpzsyl1lCMmSLVJte1BM
/XOfy3SrKLi8XhbvOAIhXXQ8Ky9AnUD2GS5XBlKX5fw4mnXuA5nOdp7Vb3V+L58O5CitZhahkrwA
0OqR3lPZqEaAhjl1lVrIg9MnPxHNi/c66lO729/9tSdbUIsoRHJxMh44f5+2MiJRzl+BxNNv76Lp
fazcrPyMcrX85zuaso3clPNKzwI66/lSctAbjMJtpORTB6zVVMb9z74vbOfAmMrMNrK3y4PKapiW
MADkumCYu1rNkTF1RWSQNKZ00Msk+4kALqjfNMEuYo7RBdx1qYLciZZW5U89G5WtS+sy1YLzCANu
GVjAGF/XT15jOshOj0YwVY36MGez8YlD02886LUDs/BHMS7nm7TWYnWjBQG+ygTKLBOaX74t0c5O
DVXZF3SdXmePoHv7yFzAlLiEVTiJmrHMKSElL7/or+a92tTFUMS5gf6l55YHbdL7fde3sJjAC74H
vqAqQWanOTptA/baDDooO4rwm8hq/f3t33Lt+EIy1MG3EBPQ1j7/Ka3shnoaMyPo7Aj2bplHdzFk
5eOC0t3Y5ytLIXO8NARw/mPDVxn6JA1DcXrbDMJEy96ZifuJSjx8bMX0cvuZ3iDr51cxdc7S+6Ru
RP9PX8VYYAnwcaBGBM7UFB9ptVUvIflPRUYgY3iGSAu9j2DGyX1ai3byp7hxULRpoRn7kd3C6omc
oscPui5t37IlAE2tDlGIuf07r23I0hxA84E5JlfC+d676Iq32aAYAYNViAVJYZaHKRE5iuq2vqlj
u9yt603hzDHFoBvO/btaLbHqtO/a3ghyQOyG5ZeV1uNy52pz9NFNpSmDNBHNNyS7mAG4ajX+yV0G
krPJfxeo5liKrc9geeHrX8RBQGwBgjwto9UvYn7VqHmTqJAskb7um9H43YPLPsCmUX51KaYSvmsu
GnmgIWLg0YV6kHPXbgTwy3QRatkSuknXgTys1auiYvZmTxVAucdBDv5EGXk/F1XyJhyO8wI6Fdk3
prL5xgTv2ildMiFQeyh+GITY89cfh2aqhE6uBmGRjSfV7JIHVB2bVws5jBNdUOhXOSqJUT2TAmZY
l38fVLW8y6Z4OBZNm30SfVp+H0s1O1lorv25fTivxF5oyJxO2h2UhWsAo2uOWZSXqRrYFbwjIyuQ
nUK+KdrApV5iKXD9YkYB4YMOGVT+1SGQbliiwgYZrap1G2I2VKeg6aRb+GKq6iOqR9NLReWmkyt4
6rtktpLDnERiIzW9cgkwkII45i08Py6C85cx2sh1OnGjkozl0YuexvUXU4/jz/ji2A8TeNWNw3/t
1HHfAALm2uGaXd2u2iLBUbmg1a2mdN8VriP2/ZjlJ90bq/vOwI1kYs55f/udXj1yFnX3Ir6B1ds6
DRt5mmqmYgpsrrwfyxzsVKHM/FKZbXEs3DmLYT+E4X9oPjZfc+YCuPzZC96f+lx9NsVkS78Tag5K
wO0+jDmuEBtf47X3YNF3oxeBxjGd+fP3UM6Mm7g74MUoGEv3svLetySoGbKpXf3BMedm45xfW5DD
x+QL7Txi46okiVOvRxw514JBLwUSBLWMP6DfCep8yu24DvRhQOLz9nu49m2BQKQGWBRJACydP6TS
Ompl1ji3q+hdfYKd+Bma9fjt9iJXbhdS4P+/yCq8pEWEgxhzrwBVVKSpNGah2t7zRJH7Di7W/8s2
ApCFHciklW7j+SOFc8OtX8BnGu3IyPcUgf245/zLwBzRZB/aKN/ffr7l969uD/o4qCRY5D8kh8vz
/5VEKbgQKUWFum0b6/l91UPDndLWOvTQN+7hw/ym5VGdMOPYcsS+trEod+rgIRhYQtU7X9jrEkxA
WlcLQASrJ9DoFpYXzfDsNm27cVCuPiPfwVIsEpes1UFJAEkoNpE/aD0xNd+0HEsm5L7RIGGwXBgo
erZSHIQBhynQtUn8qwAJiSr5gkOs4IMEZbI6QwlWWGOE2nigw5o6CDnBD8Qy5n2tovp/+3Vewj9Y
C/1KWH+LCyfKzefbWjErK2H16MFs29P0YA/JOL1Dww29W9MZ2WRkbQAzF2raKE/pZPbqfdPiVJpn
UldA+BvKz9CUWnfEsaT/HKkNJiK3f+K1UIFRM6Qt5ulU7qtQAYgJwbEyhBYksu5Q4TCxM+aofYTj
8huDhXkjQbh2RZCZA3QjbSY/Wn1SuD+VqTUtwrAZ3rQyNz4PEP/ucOnOju5YO7vQjLq72494rTSh
R8jYgxdBnemtnrFwrNgYNEJTMTd98cVFtPlkNl497QGmVuA+E9zO5DArvd/HhWKcxjZFUlKJgCki
dqdHW1Yl184FhSggSyp6qt83v6O/vnOAB1rJ6VMDdFNL5agKCz9gRQx1+jWrKsc7NLWD+1hXGTPK
pwIxTp+sPmF7hsz8mmi5PlCbg4/21akQM7B3TWwd3isBnTjALYKECWx9e7Vrna7kVMutShuv1mjZ
IOCIIKA83H45VwIP/3dUzZF2RxBoLYbAWLUfUP6B+00xcT+Vs/U57/sPiGgpx39dicC60COZ/puk
Vatb2MOcrenEIoSsjvkxFm7tdzTKfySI2H66vdTlKWcpZlK8xmXF9V0YAWAwWuzzgtzhwndjBXNS
Qg7i5tAPEDcdD5Dsp42dvLooyMBlzgeAbs2nr2fTkRiy2QHXEpYImk0jnh6Ae/DSNn2Mc3O692pV
34jml/GDxGVRviOcL5ory6/66yRnsUANs3agQ8aefscdXAbZpFrHuEY0xcGOL7i9tVdya5NWmPEG
EEShcm3+jQ3Y2Kf0d4JGyvk1yiuG7IC9sk9DPbf4SFXhk9apYp80uvEUTo58aUu5dV1ecFcW7CD9
cDh2TOUWRMn5Y0fQjUcnKmwyrEpzUujSOiZoIpmGAhUlC8tS+LPGSfTO9L0rI/1dNiMMy2wIHpGv
J3b9n1ra7nerSKruycrH+ouGhmB6iKwJT592UKbfde1iX+dlpnuKTasxTlBMlNfbu7ncP+f5Bo9B
x5TtBDR7MYnWImniF4zejaPVo3q0cy12oYzqJT35CIomSO9pOvSEsHSf9kaMrQ89CnMjhb+MNLQL
aP/R2lAZs79l+H+doUa3WzU0hIWQf5O+A7gWf2j7vts4qZeRZqmHHayaAM/Rnlj+/K9VZljJlYIO
VKBOo1Z+rIcqU3bmovdRoearblw6V1ejC0bVBeP/woAawnufCtszAw96e3NicjQmT7Ou0QBz7HZy
Nj6La8vRhNJQnkKDzFoH61mdFlIXnhdzF7vfbTcp8ICM4q+ljlLK7TNz5W3p9DVot6CtSRxdtbw6
W/aqJjFbt6sm+oXmofa5EvFGnnAlrLAIO2dyMJizr8IK4GMXVCWLzCreLoceLe4DTb3I9eepwZko
dyft++3nuhZZztZcfdNINifCHQon8IRrn0A1RHvDzqdDZ+jiI51N8WmWmptAUh6nYzJF6gOCUeOX
27/iyos8+xGrjNEKm9kc3kS87X7epwgToMZTNV80D2HLf18KDV3mp8AZqExXS4EdbHN6im4Af6XR
g4FNPylzTYBSpnmrN3Al0oB/Bn5HxrPUiKvNrRgaVl5WgZtQhsw4VlFmvDetdjaOnpbX6c6LdasK
7C6dxzvdHiHUAqsN841B1bXdpSHM0eXpmBatjpUaCrNhLs3ZTVv7N0TP/AdF+zT4iaGPWxXxtTPM
B0L5DWaXvshqsYGxPWaAKYtlENmH2SieEc9W9lGqYhLuyn6DL3vt4RZeMkCHRRNuPQ43RRwnmGg7
QFMcRdsZyojAuob3awgEcCh/3D49b02s1d3Be+TyQPIWjux6L3NhAc7v+UQp1/m7OY54vdVdjGmJ
nmX6p3iOJepLNuHch01THNGpp/VSAMDMuiH6oIQIA9z+Tdd2AK0k8sjFKZQOyCrEW5YiotlyIPGY
/WsumiGoGKZDy7a0jY/nWhREXoat5jSjObcqZFxvRliSHmgQJ2PzPaGrfqqKudhStFvOyGqTafsv
41WqSChrqzMUOnIG5gQyJrIW1cLF3/G3qNOUdqJiGH6j5Or3BImYjRh/5WsFgAdsgRJt6amtcn+z
NHBbAngYjJXpFoe5jepDRF5pHop2noUvpY3lvK5W4qVrpgzdl7FztI0fcS3JIlzgWbtwsRci9vnr
rOep7NEPwBQ+TJzwhGy6Nu8aB9iwj1+l8jFCwiwOJtsRKH2ATBE+EhzziGV0F7+oWPz9kVlWfgNj
ywb2yOPEgdk7jvARcTDawFVbCGYOfjn3So1V4p5UCAWHpAHi+e+fJtZzNj4shD/0EPXzJ1Hi2GiH
GiDXNBnejvE/wieZOv+2k1rbaD5ffgPWcv+DzF8QMeRT50u1ozGVQ9hFOyYD3aMT6+OuZfLOVYIT
z+3P7TLAsZRLZIMs70BQXB1OrXPSSooG5ODQ18fUnqSPzmBxTHFW/QBSYwsEc/nN0UVdkm26pcBC
1wAchZrKA3mrBIVnK3QQMIdy+2QL5HS5gZibMcRcPCTphS1G9H/nidjeFlnbQRJRDL2gVZxy49Oi
ejaqzvvnY8FSdAHg4S8l1Bqg5k2DW+vexGC0BNHSVH0PiCXMgtY1ysPtd3X1qZaF2D6wGmt4fjgY
aM54EppTaIeHLC9rtMeFuterZitBXMcsvlVUMUCgAPNjxL7mjkm9m1TkXPL9XBQR+rPRTN2TdXdF
rdP36Sb9a5YY80awWJ/Fhe4AsoMqggofbOYqv7Bq5AFJEMu94ubYYZWVtU8BIh5cc9I/R/UmDvTK
Q7Ie8nhQp5hdr5FwfW9OfSFQdyrovxwr20CKkMx4byRtd++Eg43mbr5liXPRyVqeEvoPMGUme8sR
PT+biqY2qtEh3Kp0SueQnlrjf9Ks8Y520lFJca0q0pOsIAj5qjF0cD4oUus77Jjsr21qjs3/sOsA
yl00DhdiwzrlaNXcLqQdN3tH8aLPFOCIj2DKt+vidt435bQlbrM+xTz/wmiBkUYBxyle1R5pOxRK
4pg9x7ZMPtY1PiV44niPGOHEx9sfzFv0+vvqZa1FAmSpqOhQUcad73VcRc5o9Mm4VyvVuMMsJLuv
+Hd3IZnHfrDybp/VsXLoukRDJlzQN820+hOqRABoE2YtflnY8lDb+mj4tePCmJINgjE6hOONtOei
cll+KpBEurhLZxsV2POf2r/18Hpz2Edtm33G3lq8wzpbvphVPIObH8X4rS4jdR8phvXJw5vgLu3D
bmvD1knD8ivYpzd3QmYX68MQLorqENWHPdK5aXoERSzyl1wYqtxnWK+1uzqV9adIa2G/gJXV1L1W
pflrb8zaFzFUurGrsYN7HvFR/JUACT7NiTk6fq1laMYi3DF8AVgcfjJDbX65/a6vfMy0H5nMURoQ
hdfzspImFqi9Gfkcb3Ieegzm9t0QDw9qRQskwWrzNM/p1qxnfZuxXVRD5DYgeKm+1tulCFzL3A6N
ecdN2p1uFc3nshLGphLuGpHwtg7DbphAdOguwP/YmSQ2YRPHpbI3JFwVt/jWtLp4dtvRxP7Okc1d
XlfdIYvMujosunmPoRYW/8MeAwxZEO08M9XX+Rn1cpQnLRdZl9rDccQcVe2hmaNmR28qeSSr/K0h
qPWPCQq4J1ITQJBv6Ezadedr4p3CbDBjzbhIsvusj+TPeA5JBhFhjPZZFG5BAq8E6Dd1iYX7BAID
C7HzFZPMtvtcnRGvmeKMrrmszWMUzWW/Y0uj9xp87dCfUx3nrLKzYoRqzUh7rhGA/g60Vvtz+1xf
CQzM4ulEcyMCuacQPf85iHvmIWI6494VUfRDCkKEMXb5HaUhvkltr++KQh2eklRdPO+9GE9hU3y7
/SMu0vjlLYDuW4pEGv3emmvteUPTSsUa971mtNq+mvHdDPS88B6kZ6eQNhqFH+K2ba34jtk0H+pZ
ytwvpWt+cISlS1/vxBCC1Giab6E91dk+0SplYpitNd+kEorIt4e0uU/jPhvvhiaNUyQoI729v/0k
l/LixFg48XQOFr1u8t7z7RzQB40Z0ox7fIBzzDfm9i530cyH7muwd1KbCLFNcp8iJrwHIa8ZWIph
keljY4wEsRpnftXF5b3TVvkpjtRqrw5GtdF5vAzDsDBRCiPZI6wgJ3H+I6tuyroo76c94iEtyutZ
5HdFieMUbnYfMfCc3g8Fc8YcW7K9PiTNxnd+dXkURJa+MvindemIfG0yAfWWezsauskfEqOZfOn0
TviYO6XiBm2jzRLrucwa/cKcMGnDFS5Utsqg5ds+v76hKZMt8KYgP9EYPd+G2XKzpV067LmFKvep
LQDYPMZa32vvMImjUyoQrX8P/RTHHiWKlGdLH+Hpd3HunbyiK9I7hv4GCgvl2Es/Nd1h3mfazKSw
lvUU+4OG2KTvKYXXBNMyH7k3QmvEVQk1vPreVGLlR2FAUWC4W5ORToWZ44IXlgBVtFFJ7uo8ZXyX
DRFvYeoHDeK9FT2IMesRGYkb7MUTUYs7fXba8FCM0u0CxxPJfZMVCZrJkRp6fplGc3saOrv94XZT
9bkJB/OjsKM0fR1BYt1TXDDlsiVpMSh+szpK6FSPzmAXoNXRQNvooF5mZzDSsQmm7IRLB8n/fMsH
2SEsO5h86LaMHwuTxk9Wthxyvdxif110nwgqZMLgB4Cb0CRYc+7HBd820IkF/aHXjICWlnSyq3BS
6v0wMfUGqQojyp81RdToYjJuzvAin2bnl9Y2tXpf2H0bvXAUN/vjl5UIHHWmYaA3FkXpNQcW17C+
blu92/dzrHyzIvjqmIXWP8eh/QIseUs97kqe6gA2MyntVGY4F1i/oQ7VvisW6VdhKDWugyLmwIaj
6iS7EpxfD9tcLY1T2HVVvvO4D5rdkJeZdpjGdsj3HmyKAQL9gEFdCdJF8avZaF4IqO3wfgin8P2A
EeO/QswXHwCNLixf5oL/XmNrHC8ebWzUU9S/Q2Tck64f6PKP40PVRqG9ux24Lw8m6SgCkQRvclQS
kPOD2XK3CKnP5V7TaudED6HZu05ePggILRtLXblyueRIgpcAuOBLVoWo11C5WQ7dsdKKhkfEpKov
CgSbg5nZovI7lr0bSTMPXJoCI/o4eqWH7G7UZZcJLYPRRUFlIQstWKLzB3ZCT8ewwpv3Ftn1L7xd
nBc4KIruN1Hl7BVM8wY8Ga3S2bh7LghDyzQUQU6NYvxNT2l1Q0YlopxhnVD8TRg+n3qhqs9NO6cp
Q85JrQ5R01bJMUIl9VsSDcY3MOPJi6UxoT6q2ej+wXchel+lpHIHK8WvgTsemzQ/6at68rMmBss+
OFLiIhkSyBUDZXwfCywRAleSXeXLObcgDZcmppF22Fu/TKVzv5aNFEgPoO8yn+JcnT42U4w2mWv3
FehMftkfu2kdcLLh0A8+msEivW9bJ3q9fQwvzwZHHkjAUi/jfXoBVWxoUOBb7Zr7IaJobYSnI1ur
Vo2GyGQUh3sjl8Wd6uLOrI1mdUriXo0eTHxyvt7+IRfHg7fEC6KJBl/HgUF7fjwwRotMXcTzflHr
TX1sPKv7pmu1cp9CJ3f8blSALQyKrW58HcvhP7uUl2E5tIeFWbI0iVbnUhYWYjfYD+4nfYyK0xTq
DdcahrZ4bfZW+lpFdiICzOq0EefHSW4890UcYHkYURimwZoH7LT8+V8j4FQokxalLYVnlnHhutaE
V3iiHWYXgdrbW3zlSWmALfhrulIgU1fpB3bx+BUVzbwXLsLAyJFgUeELexr3UTPaj9KkKpEe5rJe
FG4N9t54wattBoDiIcaxVLW0+86fM45VCjpRaXuLntgi6T+WaGZ7Wf0I0quA2I6rQ7FT3NC6y+Ih
VxjeFGgqFw46a3dcNBb6zjl6YPdDKHC0VuUsd+hu68k+msxw8O0mMz8p/Hx3J6M56Xa6k4SH3NFK
ddeppS73bjnqFcPosno369L6HheRCUlBq8V/VTikXlCzL9iyNPmWSO0FHpgQhODS0vxe9v+C42ON
WmX0oQUu1O3H6qQqmvZ7Mpyoee4jQd/dy8tSHELLmX9CEp31p07AEw8Yck3Vvqmlc8zbxhSL0/N8
h+RbEwYNHeHiX0M0PxPEKEw1iiMXANT5O+qruAilsWh4txEDDSNuZozKWtednph52ONRDD3+mK4+
h1uYv8vkibWRLAOnS/7EnGx1OEe0iojSnb6HgaPMqJXG7uswdPK/XuuJi2mMNLVroqldM+d/ppnb
VoE12Ok3E3NixBPxqrj9tVyJjFjMMi5zwBUAyVyz+V1DlImrcmINNP4/lsUg72duCn3nFIl3R+FY
njoyhh0khvSDN8z6bm7J8jbeyQUuj7MDcnkB4C5NRuZt5y9FSxuXzZDqPsV7TzlVqopCFUi+odqB
oAl/VY6gPW9aOGgORWOld1GHTIav4gdeMnyKuveEtNbxjTo31aDBtmGLknuRXSJVCMILUTY8Rxeo
/fkv1Hs7dvPSQdYKIPtziVMu4pCJ9rFH+eA1y6rs5+03c2U9ExkhMhqyNBLMpdz7O2RizIbZ2gAL
sDbDIhBmGz4kipJ+c8QQSd8p6G5tvIXL0ImbHg2r5T0wfVyHzrG04khMqblvei0M2taLU1/N06bx
DYmHapJIPAKScD6gPg2x9J+fl6J5ge+9zbXWcwR4QZXlxpa5r3rUDzuzC3+01NAZmUWGzMQU67Ox
cfgvbyUN0M7CpmeaDl5odSsNszcaZi2s/YQW/Qm0aF/syqxRHho7BhL2z89HixPowwJrZ1Syfp+l
jl/GlLOY29OXbkvFHzJkPmWc/8anpfpHCgqsDG56EABoW+tQ55d3/dfx8RwxaX1ciwM8ceWjN2qM
cRVTtnD/QusUYTa1dXrWuc3big7kUEpurnhntWJRCqKnBdORkG0/Oq7dHeKuLj+oQ6KCLddLpmv9
lpMbnXYe5O8rd1kWTuki6oIKMxis8wcd0CN34Lm5+zpGSIos1qsO2VRPX7Uebyq/8jrjt6mGSgI/
sqQ5k+ItcfJwZ+jQDg4RZRHU1e+RAED7arBbQ8VrokzvCz2JPrT8B5TxhQFCRgKO/1hHRvHJxrYj
8VU17X+jclGMh7AUi7N7EbU/uljtv+RTN8Fvsmbb8YmdvQiE0qoZzmIxPq0lXcjn2S3rP3OeOTCT
kN89jFi/qKc2mfqTXtSOSl8tjr5HEPjh1rnVIH21LZ0q8ORIj75UGlIHtxXMYZVqHvBpsRyTf26H
HwKfzWbxsRDDbsk2+F/hRvmHU9KjxzGTXAdxiSOGLPGCDiKzK/+kUYOZTEIUrf0mlFOyT6OEB28a
JTR32Acp7z38GKJ9KJ3kUVoDwOcR0d17T+Vd7xF58/LAVozkFwUC/JaCgxb6k2c3ryFZX7kPEa/F
UM+SWu87I1qa/tgb6ZOixjiulsYY9TslA0Hux22OyVerNUL3Zau08/McClRie8idVAmmgQKqoFX5
2PBnH8IcRIbv6YMigqkolmwvjxHSpdwwPoBW7ezDUFbDH7t1ScamxGy/ltgk/OmGkuqFotfFZqoT
5Vc9b2ThG6OsHzA7R90BC5nR9e1Ei/6jqNCKXTLZlR70/eRJnB5hb/oyN+dqV1Mz90GCv8cXB3Se
uEuQQrgLdWcsAqlhLuWTZVQYuzUq9T1RReIvVJZdEXDLL2P7MItOTEaEwWqMDP089RTrs8SoAg+W
gdmMn8UT/H1PICvmJ3rfoVTZazZaV57SOKgeDGAaKyuXv2c1hD89ylmYuALE2VOPg+JLD5ztvyQM
rd8u3i1ZgLMpLTc7jaeFAzdEj3Rx0++JlfLlavkIx6anOLZ9Pa/sX6W0YnWPworzWJde8pON82pM
TGPi8u3weNHiXfBTWEgzSYZBzCW0ahX0ywAjGb38gPYRcr+atFuYYtFAtRKD9fXoQock8bReq//U
SUwRV5HMfwHuEM7ObMf8PchngbZlVbp3VbU4xkWuO9u+HApd2fi1l7EORBC18FJMUe+vh9BW2uax
EVbVgQGgFpQ11nkxTm0/+iz+MkTmVx5Sfbm9QW9my+eBjjCuL+W9Q8+JAuc80JWuQmypmuqg2qjQ
+kYZlndTWqsociQtRTrKnnYR6JR6+d5UENPiPeVwbAq9a62glXqNOKNwshcEmwp9ocDZ4Tu7Hmzk
ZCbCo8tkF5suJ3NfY6z78p09aXVFnWEzQXRxiHofY9zYPRnSm5ljTGWza2E2zR/7MjLid3pkSIx3
TQCEUxTjfJsrUw+KNEw/x64p/oheWF8sHHNiXLK9SZ5SPat+zIyj+l2EwDaAILejsasOEfMbNxHF
c6xM3c98HoRyoLFAo19NtO4Ff0YzOxZs8Uc7W/oVHtje9j5sCwewpjUOJwvM4xj0jF+/9eNAB81J
xvjJMzEb43PMi/9QhUPQbED2BTU1gTQqQJ2SviEGvHBECwjzyjhHdPGcrAdWXy/Kc3zFw9dq0qZx
Fxlp39xrjd1H2FRCd6fV6WWv3QxY9jji7QTBQQvzrRr+8tAhNkeezNyfvjoX6PkBsGBVFyOT2mVS
qB5mLWeU1TIStzodWJoK1DGbzOYfcySuV7ZhmZUu42WgBueLmq3WgsZx44NqlNXRbZksuFKReHSq
07fbJ3w5wOcHHKgmHVz0XMhcYBueL9UIkWYiUnFXrBuFgY1pDY9KZdcbCOfLbURFCBg1TA3QP3y8
58u4DItmO+vEwQDFoO0VkYbvFtzOIrAGdmaQdfyu0ewtCMmVPMWlKIadzJsj11yVnbCjFWY3cXTo
MM/Zq2LW7pDlNJ5pxLTPehiBiLu9nRfed7w6F+PXBZRGn9dc+9c4Ri0LYRohrnO60/7s56n7Rvet
avZerCTeg1uL6C43ClX40IbLr90QtiT8WgNfoqvDMPvstDY+YznDm+e08PTuziq9ug6GEM20nS5a
pQraTtNeNS/Xu6BlnvgrBnBRHopqSukJAkFwYWhUluGHsULDSxaIwSh8GoMPn0S+oz1sNr4X6kZx
cKWlPkZpNbjMpTITMDQWysquVvPiQO4/J36eh0OJtRjGUly/KsrMRpIZr72iUzFHWdd/seH5h35Z
K46yY5ZYMTBUh65jDChSfZ9NwqyDRFbVp95Ch+GIFKg3H2IvQt9Jk5X2E0ZGE/lTtnBKEpk4OH+F
RtzuVLPWRgqgAq1hNBXEQ5PaGtSwNrILHy3e4jnUxDTsEORDi7ws8jnZM/oY5ZEL0/vdeExG/Nli
ChLMwkt/STUrnrLKUzcVBy9P96LTy7wfk1fq1fVH5NTWFGrqkB5mI9KtgIiRvMAxUwJgw0O1z6xM
D5o+JKJGpXbfzr0SeH2K9lxWulZCg2lUZzYw7v6AfpVHR1bjV9C98X3exfKTEZrOg+c2SBvYahnv
Jjm7vtcgd1IIUQSNbU7PmbAKucubEBPdcgsj+IYIOQ8S3ILMFCDHMfJixHj+9Tb5bLjd4CUHI9Gj
aJcK3aDCUM3WD+0aT7Nhqh1/zofsjnhp6L422dZriTNdcUTCeUIlBS/O7x1S/9XjYDR6/jwtVwKo
LdJ8KrKhtJ6wak9RGFRzch1DSiwx9DTH0Zz3NZBOq2FRvvMG0T15USrHnVsZiQzyyXExEhaK86dr
MuV9DqH3NzSGasu+5zKQQBc2yZGY4jBbWfeQJtzWncKU6cGayuIkkZ3zE0EHuUCO4EhfT2zcAJdh
mfUQK1nYNLgWrKEMKBY3w1DV6UFHWUN7ykmH2ycvy+bj7Xi1rsZJAAmLtKhZjA7QWjvX0sQ4F5zB
w5Bo3lPiNOUhU5v2nWx0ufvnpZhOI0APxoV27VpLEsc52nPWlB1aGKJHC8msvdna7nv6MFvWJxct
YR4LuPrSyKHnz0B8dd0gYopXvBvHBwi2ffWAnFp0Ekz/vedxmJi72MRUCosOG0w36W2quAwxc7iS
lsQ2fbaTO487MHsOE2CjO9XqjPdemvVE4R4o3I6T0kSnrqsbd9coGt5R9oCosu4hxe1qfTjt6OP0
n2vLXPzm85nJjmQg3QUqLIJXWbaGjfcyjc/HsLVjZ+PsXJ5Vmw/nbSgLWpMB4PnXWislNnhVlx8U
VZkKmC5e730KHUV5ULKGClxxh9HaeLlvFf95iFjAIrqGszASHMyqzxeN80xT23EsDomSep6PyLR+
bJPWesh7BYo9tP67PMZarBR2/8dUBLZRjRs3gWcU1p2XaZmPYkP51BSz3vt0Xyn2vDzDsFBT+8LX
UZC4u30cL2O2jQnZ4pmLhgHz61VMiwwztufBzQ68O+c4dobpk4XuqtpiJOw0+UPnRP/qcEOVZcHV
AGUJDpq9Wq0ZVm6ak+I2h1E6AJGz1LJecfwCEVYxCrv9fEvidv5C8DnHCxjGk0vQ1lcvxMTK2xrK
tjwgfevtySj3XpkdcjexyLZy77kUKnpBoaF+u73uRURhDsyTIcRjoY5F5/38IEA7rNNqGutDI91X
+gsJXX0zNQ9yMOqPt5e6OOgsxbR3EWKnu0ecPF9KgRWXMOOqDnMk0z9G3ppHmkn5T2b/dGccMW/w
qS769sC6UBlhzgS5i5HmuldrEpKRiCirQydLsJ1h3i5Q5AlKYFuPx9zS8DmNoo4/58I4MXIsDjl2
hhtq0dd+BkxEVGf+n4zcGnSUZ0PVO3nUHKIkVn4l2sK0QCBkDxN3GumRjeaDiXUTomvSxTtOBQ6F
Gk+18clf7v5C8EC3A74Oyc8aHiYZ9qizNfcHNdPkU994iALDR71HEnxU+RUKqL/b7/viSHOcKQo8
HcwxgWYtaKTBec7DOG4PaK/Od5lOYxMP2+SYi2l+svBg2BV9MQeM6LJ/pC7A94BI9wb1oQcA+vj8
pA29YTb/x9l57cZtRGH4iQiwl1uSW7SSbMt2XHJDuLL3zqfPN7rycoklHARBAhjJ7AynnPKXpera
Y2z2qYJxtdpfSoPkmgAo2aMj3dxMYjBdZW+DVBVl3evBOLPSXC9me7RbTfsGvEA5ty0q87UOu8WB
UvYwDfMefe/22DIoQE4diRK0Cdb43GaA9hnriGLYFHB8nKKiA9J26jmr0m7nfdoaSpAi6ZVQXgSn
ez2/Il0I5lWnPWpyZLp9P3xT4374rLdW+O7+htnYomxNiLsIJhG8vWI1/6jHa3WT5dWoEkRGknWZ
x6l7SXr5e5RESEwgH7BngHO7QcEmiUeQG1dDpnd1IRn9JGGt3gFtkMbshxWkkRDrtU3XNmj9uuqU
aw0cmybzpdmwP/ztZDWQFga6JhxI/hIh5R+TjZLW6UAcEqIqmX2KOPaftHLKLxI3xTucyv/HcJx6
qEOOAH7d6K7qIB0HBTvapV30Z31p8fqp6V0ZoZV+HYd6T6Dj9lRQDuAzvoroCFrI9fRERDdElcn0
Wng2Zm9OF7noA7/u+8pVYL09FpO2B6USH+zqERX61nBshPg/KL91KJUTfUzADnk3+9k8IuaWu/OI
in3a1JVHNc4gjxMMJr3Mnsxq2LOpuz0pQl4boT8EfIQXrthvf3zSCg6TXeltBjpIRSqggoAZsMF8
hybKzm2+tbyOUA0ndBYprPjzP4YKG0sdqdtlx3FShqciJf8Kstx8zqPc/l5k9giQcnR2LvSb1jwA
PsAAhF/0W+mHr5FbgHCsRVqM7GiGY/kSJoU5nTBWodq9WOqDsWiT32FmSgNDn7LnOEt6t8od47uN
e5+32In87e/OEGwbClRCxAQLK87yapMlPR55SZRKnqpmhO6JY8yHWApm5Kett7ms/74/3E39/XU8
S9SKKKGTG62uepmKDWESmu1LCuzT7Wpotm4XQPygWUkmTDNJ7oTGY4SXI05kjdO7XWfIX20qzsAo
LG3uXKdtjBpAbdKPb9CHG9UTARewG3cpa7AtOz9ZtNz/PBLiJ2MGQA2e9BSC1qqkFqAK0HcarbAp
KM0PZjNNH9Iynty6B/nMTxv80LHKs5loF5Wqz3MYU5m9/xvWp/L1J1DQ40a3oLCs5cGj2Rh1pIIo
r4wmCPhS2I1EtXpMmrxE06hSHyw4tAfqiclT1uKMdX/4G8zN6/i26Jxw1dP8XJ0VK8LMHk1/uoGp
LfS8sVryEvpvP1VNordMcbp18zApv0az0ryP9CU+csKHnzQvGyxLtP5kUPw6ltkwBIfEAbF7/weu
z/Lr70M5mVAVEZAbWcpXfaVEtiSvqh37oKdBCiRYiUAhRf0J5+DZV9q82Rl0/faJQVH51XlsyblJ
8q8vkCwGaNzS1vKRzDA+B1VZQjZuBl+trM6fZXN56ON49hJpiHbi4fUt+TqycBtCLhp47bpWUuPs
2Fh1Rl1KUQrXSlTLd/LAvmhGsaeEszGUUBkVHDmB+VxHoFKkxsWss7I4VkK8t8YUhMZUjpM/lk2+
t882jhqDQbcH4QV4xlntM6hgMX/DAA5Va7a/xlXZ+WhO9r7cz3JyyNQs/I0FuhMcR51HkKDNcNxo
Kvbehq1Zi4wHaxpmD9D3+tM6ypICocQ0ELxrHHqOMtFSDqLAemxtIz/d37xbg1HJBg4DaBrJldVg
ZWspQd/noe9kvQVmWAaQ4w4QOZBWp4K+J2G7NZy4yjjLwmxgDWAeSlWuywbrndoZ0TWWsvJLLuOv
INGd//z3MxMcFagGLCTE5OtlbJquDx1UjD1JR4Ak0638nLQxvf6J9tL/GAotR/GoCruIVb4StGPF
U6oFXjglDj3tRQu9NhnyX1Ji7hGgt1aQoBNSLP71LKL48z8iBxxKuxz2SeDpOiA+v8AdtDlRvwV/
ndt5N+yciq3heDFB8oHSUtkn18OlWs0HG6XAU0FoPkfmmHplRnMVmQMt3FnGrfcZdDefiiIRRd/1
SxOrOKz3bRx4iY4szSPvYfcpMEzpg1Ypxe8lSOvWRYhIf4PuiIXsGcUskKKKXXnpuEw/ehozATdg
ONEpJpgAjWJq6dueDvvP+x9885cSQHBKkenjr9WxAbc5R9hJi2OTV5jSZjbGmlJQdYektvT34OZ7
xQ2XqHpb1XI0+zPp3kHqlcGNg7Z/Y8Sk0DHsMm5o8NEHQObL2UKTZk8dduPtFjoqQuYCqX1kFK4/
X9hq+GnMBsz80JIOrZNaT8TejtvIo3ag0KP7JC0QyeqhNdysHfckRtYpIY8FuRGgfQ48K7UuwYVx
Pjp6QrO5aPP+2PTScK5bnsVgmt7gASSd73+XzeGE27JJrYYZr67wxpgR4XK4OuFCXVQjKzzYh4RI
bTaelOnvHZ7F7MRANCAp+60f4XyR1XaUgTgnXRcfG8SQDhjYRA8QfVWv1tKqAONh9B+XIas+h5ZT
PETtYD40w2LtVEzEMVyFiZTkqD6idQZI7MYko1WHnkK35GmDulwEsYZSmN7uLO/GbgIzyb1N6MxB
XRvOEvtIThiokd+Dzz6nSxS+k8CzkPPmlZfTbTx2/Gh37hblSEP1bxEpbCbyfSIe8Vahd7razIUm
9bY2o6AMslk55nQZ4a4ptls0ke4btSGT+Ed7nJuNCxAjLsB+4m5n4NWgnTIJi3Z0SGolsA5I/ac+
QFjrEIz7999GBAL6luQMwXlOy1r3p+ESdziJka8szRJ7CPman/R6nC6NLkcH1UmnJ32KF5d6KFjz
McWjpgvjPfPejRlDGKcZhtUJjidrNa24depSnczQj5dROXUlASUqONn3nkBt78YXYepq3+rCIpm6
JvUiqm/X91MM1sxCnjWiBJaVDxWioB8bU+pORZxm5yFv6y9Z2jniYS3gQOLG+KA3FbY/mRF862v8
LacO76CdhGfjFoHaKkRrxU8C0Hr9oxp4DLqWoIYrOfFvrUUqWAsj+2DmQ3IqnXbaCeW31ps6IHBk
igFY/IhT98eLvtQ6cvaVSqd5KtDxHMFccT/XOBpF6Fz+j7lReaTHCRwdztpqMASyWrpUPYOVrUzm
OjlPTpbYD2WBWaLXaN2edspW+obUDZRNA8FC7qZVHAYgX8oN7Jn9UYuU09Bp1snCohCpi+AEmuIt
hgamQC9lD1CWDLeCUfC2bQbFb+OhviSa1h2GsAoO9ah/vf9abC08eQxAMwQqCUlXj3gCQ2K2Uy32
S7m0j8lifm5qFT2zPgh3PrGY43qbUxglWgNSh6LLKltDIkpeLINLBLmTt2bU5d87GDwUFMruySkU
88WwsG51LCl799dTpMYktDNEqAgJ4npvBZKpB0FQhL5UKPVhmhZagm2Mhao2/I9IEVkO+LIobRIv
rjMJNKSdvqvq0C+HYjkZsEAfzQgXqrQt9pxgN1476oNoINDzgue1lmKbA9p+uZiVHSrBsxaF2nNZ
LtHfp0Y0BmhacgkKNvBqe4A6j7LamEO/iIcQlE3TO/UhGeG5trG8J/m2cedwLPn8rCDF83Xoi57O
rI4xkQsyZMaTkw+8aHMBFTyukTjwA0nvdnb/1ojEDIKJQiuZOtz11kiLKVcLjWt+rsvgZFVL7YO4
+R2ZWviICPSeh8/WcCR9WCSLDwYt6Xq4JpSXobaM0G/rWvK7WtEP3EOdGy2R/U/a2nsSOxuHG5IF
aAZq5bAC9VVOtuDMHrSlHvrmSJSbBlRgzBlqLBim/5HUUiyGXSETCJKyr1ayqAFLD7rAH9XV4sdB
2XhWHhsvAY+T/9fnmT3yypnhysKf8XoVraXDP6vQMr/X1MUNg146yyGN5giM0N/XeSgvMZiAqwBX
XA1Vx7FjFYue+fNYt281NTcvMEvHp2SRxp1HaeNbwc4ySWrxduFtWt1SeY1ajRnFqa9GFSawaRdV
nl43Re2mwzDtLKH43au7WNjnCB4OZjKEkddLqA29vVioHPqpIdefkCiuH9tw16xa/F9uRgFUSlUb
bZwbUzVw2r1QPk39Fre+05zY9OVrCxLEYoP8xSLUtdAH8NJ0yj9EjfW3SExCZfRQeOEJKLhM1gDQ
ms9ZOcmY+rMZjScsCF76IM4/1v3UPZRTEuzslVsLa7pvVNURJCD7ohm2euAmhOUyTakTP80bgguz
C3Rqw2Yw+lPg5M8d9cSz1BXWodfj+i1gveJDC4HoKSx0PfbKvNa+6Qa0j/unZeNTU80DQAZTlYLe
+vVTCtVptLxM/CUeZATmJbyConTPl2jjcRfdcXGrwbW80UQJZoKoHmwEn3pGwQMfFvC9KkkJzJwl
NU/TaJmP5khEY09WvVcI3jg71NG4DEiNqAavQwvsfWb0btPMz7I5+VVYUvgUjrV5ie1ip6C2NU/w
H2DyKCRARVpdc2pvDQUfGjndojEv5CXpA7GAfKBmrx1GGoNPgdElJ4IA/Xz/O268Hby/9G0EyBcu
pFiDPyJkxDTkykiYI430+HdnGO1hnLUBMhPSfOceBYmdC2lrqlScKe8wA7Dh4s//GLCLFrNeRuwq
0l4ejoh4Dm6bxHidIXhzTJPafgmGpXJVPSxf/sdUwUfRAEVvECTR9cgkOzG26iyyjoqZm5bz+E9r
z//O8jSd7MLZA69t7R7KBkh6kluTT64nOsMz15MJr9fBKL5MjRF6lJvB4EWd+vvvZyZogYQaIsKx
V+9JVTSzUyxy5qtjYWIYVijfii7L3w0KcpiamTn/3h/v9vBTZaM8AwCMgj4P2PVKQnlu2iGV4HjE
S+oB4SnftMOi7yDtbxfwepRVmAFkNi3KDGvZRs2Uf4aioLamFFB1R1oG9yd0ewq4Ygh3RY8ceP+6
EqFIzdxG2SI8ACLrg6nK/0pLaZ4dLEges2LY4yvfvmAMJ5AVZG/wCNalQ300lDqVw8K3RUe+JElt
3VQ1qzfytDTYeEOQco1R5G4TvBeeM4SFdo7h5owdagO04xE7eEVm/XEMqwBskYy7uw+/y0bGrtCr
j8bU9pdAc6RTht24tJOobX1O4YAsei/oq6yj1KHQ6bPYjCjTTTukVaycFjtyaEDpe76220OhW8bN
zSd95UL9MblWrxrqO3Xh4yTe0WemX/Gssoa9mwWGs6NYtXUYABuJZAbgHonT9WEAitzZoTMW/qjj
Xkg/qHDhl8V7YYB4Aq6jHgsUsIjjuL1o261OQ9o4MkbsbeHHdatTmzIHNzMHk/Y0pPpEm5zjPKvZ
oVK7+WRHAd3+QA1+3T8mt3c3rwB9PAAkFCqJfq6nKltpZJe2mvtDOTgQHsmkCnR9H2C/Jl6gT/MD
m3725TkfdoqwW9tV6AARXJF0ANe7HhmC6mIFFXdBl9rzGyOZf2eGOuQobiWmB8JiPNyfqXgL1quN
qS0dJ4GDAv93PV6SYTgRyownW8vPUVn0HlnQsXiaos7y+oIeZR910Q7pemt5haDwK6oWDbbVoCVO
03XWxYXv6HSF2oBwCn9b3LNzI33ueyU9pbETf1KkPvz7+q8FxtUAZg6FSpRjr+dbxOjbqQFUNqnq
I0+TivbNHAFC6mZUYbPCKD3TTOadNPlGddERjzGddrohbCnqodejSoVdmYNjlD7F2SlFHlrKdC/O
TO1froiwO4QASIoHCYZw5zZWAGYJ6k8DCWaYtO9VO6p7StViG60+O3AQEJnCbhLw2XoZCAL7RFZK
fzEaxa1Ta7nYDg1B+EnBzpu9OXkHXhXhvZARWPtxGFXYGnqblD4iv6NfJTmUpwiicuUSyfKgGvHw
VI7R8hlhHKIwEsbhZTbC/lTribNzN98AcfkSorfDy4f6DOL4q4nPiB5TRssTP7ei1Au6Jf8K8K18
MylBfLZhzhJ12/mDgZ20XyJ/dISrs2cRtHGRigwHoWCKXCJuut4NShdoiyTxG0ALjG6YDdC+2vJ8
/2BvzRSgFgO9kkUApV2Pwm2ZS0FKmh8S/MnPdWSMz7o9OxDlm5R1Jk6OStcgEG2eJDOOPgVZ0oyn
itpBtPMGb4QBtJpRGxULj7HNatGnRJphpIWpvyhtdelH1T6ncKgvRYnet6QF2qXsBmRLNEwRJown
d66b282OzLwQXDBtQgDKOdcrMcc6BN0B7toy5xhbgD32Jk2K3KGXGv/+qt9ep68OQXReUHODv7gK
vfHJrlDuknnsTTSERlOpPg1VOiMOMOUPUpcZn/XJROLg/qgb35p6DnbGaMOQsvOv1zPsykaZLJou
XqF06rnFqMlPcRd9xolr9CFxcLUtpvoBiPp5Hu3yUZnafOc33HxjFtYUbTVeTsAga9yllKHs3Gmw
/2YlBlaWxij8Y+5aZphfDZLlKvZivI/KOe4o1DdTcaD8uqdpdbP6/Aba1LQuSUNIaFcfepQERhBs
D36yRnhBb608WXqNKFQiWS9jnzmuM++yNm5e7NdB6cvqQOUpmazSn1ZpEX+tKkS1pbLCuDrqz0GF
Ang755+lMBhOO99aTOLq6hbjwSQATeGAqliH8NhtDpqJZK4nZbnzqczM6tI4UXtBVH32NaNfzqhc
jhcCButd0yfBC4QL49x3Tv9UTrL2bx12s7Hz8W8edFFPBFhHi17ELWtQJNdJWmpyI9iRkn0sUDGB
Ql90nt5kk2s4aOimFshbdYDvcX85bs62GBkp2df6DMH6aucb0AucHoSA12VOeKibuvGRRU082Dp7
GMbNSYoCLYEZsf26gpDTIUZcKBg8y2ykNzGoABdnRuXc5Amq1I4jHRuhHSDT7d2JiTdHZkiRzxPl
r13EHXMpJKdikrYxILjTTLXyXIAa+y40I0+lYjcvoOUbhJtzWduJ+rcWWHzbVz42k149I2pbdY1Z
Mjbxy9B4ZaxpP3qIx9ah1J10r9O3cYLFAyETmYFDoBx4fZHhkzsV7YQtjp1X+WkZIoCYMQyeD+PY
jqdSy+sXa+5B49/fRZvDEpuQedCmp1xxPawspZrTTCkqowhjngJtNM9qMcEaSZb44LRz5El53Oxs
3Y2vqvL+i9419Hpkx68HxUwDUofZDV6bNgm8rqb3oauieYTHFhYxQ/BTs8bwoVuS4Xh/uhvfVBUF
DYE4IUld35O0yJUBO5jBUwu5eMC+NX1ra2P2S6kUdWfrbtyO1HJ5D7EiEh0i8VP+yFAR1Nc6ot3B
IwREynJAxMdvm6p9yiDoPCOG1Pxzf25bnxIWP4Vf4lsBbL0eUFVDzM3begB2H+mHMJmzh0xzMEeW
C1SJm0D3+ikudmhmWwv6inagBMYNsb6TuY9tBU+WASRWNB2DQW0uY9WGj9h3Rv/j29GJxXIJ6D/N
m1VJSmY5TQ7i4DV1j0to0sjP9tjkXmz3wdf7S/m6VqunhuIXuTiVWlqla4lq9FBSnu5w8KRE6d/2
UpqAmuVNMTwcCtH+izVqDcdZV3rTrSUn+OqEQ/o+051ghGud9NiJ1SlMt0CDmlwHU/ZOk1TJ8IpR
jqxLl7WWg6BRoH9xCMmfkyIL/63h8k2oJdBlcGfKwH8NJqMeSxDKiUP5m4dqdZ0h5FrJ0eBwlfaJ
/tRrXXtqnSGFbem0j8DC97r2Nyxbul/km1S/QHZz0tdYS1OZw0WrCTkb0BS224aQVH9RNMsMN8mC
Mbws3YhYHSspJPvyPH9J6jlDPKVTJ5SUrCB+Zw8BAt2GWuDTTAm2mz9P2TRhSmxgQuEu/TJ8yAZl
3ImaN04uOBJhiMf55SZerRRt2MyMAmnySNgwEDWcOPzZ9EbdvbVQgghdjJljaydREPfsasOJfU2N
nlyRmF38pj9uC6W3ER9tFSQcq7l6CR3ne6eW6s623hpEmIDwYUDdUWu5HiRvl1jpWpWQIcp6NyqQ
hmmqIj3cPzwb9xBVT/Btrx48xhpotlSVHcudRCyqDMuZTzo86AtKwaMczuclh8yeRs6ezNvGPaTR
wKEcKGhBpAPXU0t0FM7zhTgMMcLi9zAv0XIMJEuj35BTz/n7GQKigwLEPiH6XVVx5GFpNRQVRq+q
4qwGu6dXL50SSZ8bDbBmIkOatpvQ3GlubLya1JPBtNNQRqR3jfZK2hGxWOgk3lTKXeeFhRm/JLPa
H4Z+zFWwtEb6JOtp/JwhErzzTbeWV0j2wdAgPKHfeL28oPVipXC4PERX8NA3sxye6Hm0i3B3k8ad
R2Vrn7JBmSqf85aeUcjOBGYpmjyrKMyvfHNVRdnJ3Ks4bk0KqRD4gNBlOXar47A4Tt0Y9OO9aihn
WF1V+zhMlXbBOdnaM9ncGgvtIrpSYNToCYiP+8f5nnid5bkH5ozgQu7DfSbcaRW5eUoQc98JrzbH
ogrNw0Wsg3zM9VgFXGxwjQgXNooUnxDOJjWl03uZZSXZOQkbX4p0jEub7q3AXq6OXT8uI8xbToIm
L86prfTgMS2aamc/bFzIFBBhx8KqFLA78Sv+WDxNLzr0t0d2Xx3RyRgrxaJ7aHQ54gtRWV9mvF12
gv/b2h3SSOCBiVDRyKQWvlpESic1TxJi7PJcxQjfRZL8C8qU/hyP4fy7SwLwFUrSVqAsHJTQ/TQO
85NcS60KG67s9rSaNr6pyH4hmoiblcDyegmiPARoVSRc3ZRR3GSa0V9H//U0IkS0M/WNoQSlm4mj
mUmhcPVNk3FSE+ocg1eopXky2s78p0e/Dqpcmu0MtXGlGUJxnM4mhx3IxfWsTMpufYM7lgeEXz86
ff6zU4zxjWSp01tjSeWzXWelFyMf9O7+Db41R95bkNiIrwizkeuB445lDDTmaBhz9AYjIlQ9l3is
MuRstflvu5yCp846ijoJ5/+VDvHH9u0tPCb7Gdm7wmrTf9IkQaoQu68nYLrJw/15bZwUjiMTEt7B
4NNW97ReI34oDyqyeqk0vplbRT2+okdbdrivNeMeLm3jrWc8lCa42LhB1z6gqaO2TqUYPe8CLhEh
FTJXGup/TCXSzlbmTA8FeufH+3MUJ28VKnGt8e2ECAA2XavX15TQ/EEbvfdmQ09zN6RH2Lo6hkVv
QgyakbzThvxzxn9rumFVlx9VOy2rw/3fsLF/qLYBHeGkQOpci2j1TqBA3WOdQyPNf0S6lL6fZWd+
Nu0u3gvct9ZYgPGgDAoy6zqRNBtUj0M9Iq+zZ/Wh1ybjAEUKaygLFS3ITuQkoFd2LvatRf5z0NVG
6pREWUKTBKgyi8FLF2t+yJYQlnGUWm7gJPEjPpI/c5JfrwAq8PcvGI1Q+q10rvHrukllU7SHIjE6
Tu26X47IpuCdKrkYO7Y7u2nrS8L6oCtB1szTsnqYkZMX/iOs7hQN81kpyLsyWCh+l5jKzlA3fjBk
RCClSb4EEIf+x+rWKdWwaLoJLzV8ftrD0lTJ4yKpyWOD9cG/pYURreskdf2+7lXPSPpzX+Vm7eZ6
E8NhyIyTCN6JoBfzZ4sCfkLO3RvfEE/Yq2iLj7s+YVDxBONI8DnX0hD2tKgmMO4B+flC+mlNEQT7
IpXr920F/RsjaeXDXx8n2BJcWXwIlmYdRoAZL7oU6VoPZlqM3nLWPufUlI9WEy6f/8dQcJsENImW
jLPa2NpIva8Z5N5Lk0Z6rxUpOKh0zrm36kHbSSQ3njceF5D7rKIQ+FrFELQL6rww5t6r7UIQ7mg4
tpzzj32RSEdURatzBZjSbaYu3rmfNuIyRiYqI6MEPrmG76hzS8HbQF4100zpHKSFiXhVpOxcErfd
F0AR1BQE3IP2IrHm9TOKNeEoLTobWsrV/GI26TvLwoNttEPpoIdS8H5EiM+dZPhOYaUXrmQVzs6L
t3F+6WvhMuWw0qKCev0TnFnTWxaC10Dm1OqhreOeQYoLbvBvReE4vhQNKZ3gEQOBe+2E0IYyNKnE
Zpc6s32O2iz1NdjGR26VvwYniKFo08MiIvyEgXg9K1sOs2ihKeg5lRUc4oFyURep4SmMut7ryJ/d
LCz3qDS3vMzXUQFGy8h4kGCuIr8lMuU8KrTeG/pQPS65lR7CWFve2KWinmkeW/MRi5j6mNqJlrpm
mZWAcYPhKcAg6KipyXgapHEofAvF8kMGjsMvQBcEO7tOzH11O4nAXHSc+AcH63pt6sYOkzBTOFVt
OLztYwSz+7R0LvACkw9VZjvoEpvy+f61sfEeCkFA3nSLrwEi4HpQHZ0EoFRss6afhgf4Js3XNFnm
Z3lZktPQ56nhqkEfPCUNMgJS1GOZev8HbM2aUyZQ66h53WANpwTRNzsi6tGkyT5lrT094lKEOL0e
934tRZq3qNKelNTWNSL2AUoF1KTYi9ezjju1VUvK8/j+lPYzkudo3+ODd7o/ta0jTM+dMrK4SahP
Xo8y6Wo1BgGXlV7X7UGpiuJHnbe/gqTudhLJGw0XcYSFvQIdj9d/XWWSPVL1KJ2NvVe1Abqk2ii9
rYrui2l2xRtVQna3nXXVR6Nz9gKAlpdBLltfamodlZk8+vo/5i0wgqJQRv9lFXqUwxgNqSqeByPo
jlonfR8yffhIA6Tc6UVsbB6eIOSWQCDQRlubMxdtqhKbB52XOiVivm3RS8K/oNXdOHWWt8LT8KUL
yj0w2caHFSh6as0adRxGvv6wS+L0Q7nUvTdRnvtXCWrbnYzOfDvl0y77fWuK+KqAWKXeLDQ7r8dC
Jgturc6XXXpZP1ZVNP2DmAmFCXU0e0FytXyrLtrAHbu2K/BDCOxjGlv4QU5OcXL0cka3ukgSHMD0
3nlwYjpQfighRzca9fQ/tjzwOoJBga0ncxez+SMlrDKlqeLR6bw4ogibOVHsZ0mQPJlDs8eN2voI
SDuLKtdrk351hidpLnuprliYGtJcPFXBd2RG40fTKq2dbbZxXYgcV0QEbGqEuq9n1cSxlIcMR9eE
FXPQhj4oQad+vH9sbqIqyIawAFk2sgOah6svHcvo5yBe2nuwAqKXuBqnA8wY/Ddqa3Hh/g6IXfE0
t+W8V/e9JWowNJhTZEVAYSPluHoFRPhelhLnaG5s5VuvltGvIBjNmfSz1Y91BzgEmo8W/4QwtXxi
p4WOG06VgzYr7PoDtiDIt7IJm/f3l+Rm84vfRSlTEyaKUOpXC2/ZuTJJHTcJUi8OCsZVoBytcYj9
EC8kt2kroaOp0Ju6P+zN9wb2IrJ/RNLJaHiVrr83mnEdRlgsh5kH6eeisCPFHSW9+uu3T4wDhpry
KZ0/JG2ux5FxxEK93mScSU5OmY5VM6iaKda8sRbCnXNZRq4k9cP3+/Pb2GnsZ8BF4takorJ6mFLC
vHzoGHcJIxxx2wbFwbjU3TJSloOzKA4II5xi0ybPPt0f+XZlKZVoNMe5zYBuqav7oZ5kQ4+tiPpC
YvXPuA7MH1DcbnciqZs8DyoKMSaIeO4HUQq7Xtc+gsTLe9kitxI6XtIO+hlM4rdl6YZzNHV7aeXt
LhXEDN53NJzBS60nBS7bofUdtHRs8yLzgDO0xxQD6XOiGcF7LHrVSyPt+hzd3H9MEg6NePJ5FZBw
u55kXg2T2RpS6y28gsewRHkTd5vYi9NpT/NzcyhuJIJTYJY3CUKnD0YS20nn9RRXv0flFPyckkx5
m1AT/Hx/g2yuJckdx556AtHT9awkJRpZ6rKjX6jJ1j+5GiKCaYaxUyDznY4WZessPoGCwE/4/sib
kyQv4TOKmv+6Ej1LKFXqCA55plwHp8rU00c7z62TVll76L7b8wcxDJAuZ545IhF2PUneKkOS1LIl
FgvsU6UPaXxymmU4aVpt/7JCiOfuPBvWs15E5r/3p3mb27Jv8JoTG5XyJtfbavAygVkocebCpsEM
NLdlSOa62df0VcJq+Rzr5pgfw2VoPhp2sfxGuHqmbJNBZvtw/6dsXAaib0T47Yhs/uZbY5E0CvM6
DxeTHDDCHASekhW2tvNlt8YReFECRcFFX6NFQ/ywrB6QHIiVvHkMVak+zioKtvdns3Xp/DmK+BV/
hD5WZiZDFTOKNfWppyjwCuw2qEO37KruSGV1+HV/wNugny9JI4MoS3CnIGtdj1haqS0VpDLoHefq
R5DHOtZAODi8KTp7+TpwB1/wvVcoVNij9qCac/eUOVr8HpJ8frEird1r5mwuAR0B+mWWQEGttlY5
SXacannn4enVfjKlMrvMqaV8hclr+TZEnW7ny26dWWIgkh9B3gXTcr0CRt/lTbfEnRekUnweg9Tx
g2pODx0WGQ/3V3tzKBH9QWDhdlrTDJbOWkbTnluCEKk7LlaRPUSzjB6kMhrn+0NtXQ/CRB48FxcE
kc/1rMxc6pMutFuvl63M8g3U8X91CHCiGl/rIkmHoyI3sXyUFy053R97Y5oEuXQ84EIT7K5FFJZk
njVUyzoP76HyuZ9r+SUcrczF/mbPUJ2KxsbJRKScUIDgUziJr+JOvaUTWTexKBwXHE1pSm3oKbUp
6E6pVr5vIqyfjtjLq8upUXo0k8DQOH5jN1Ln6pGVxkel7LoPUmpK3/CrCD6UTRCYLmK5ueLPclCP
PhZoiuOCYZ7n06wYmMPFmRXLp6o3qp91o+nVsWn67odZFEIhbIFz7rZD3L7MMv1YLzYr/addT+lP
pZuS8gwCQ89ohVbTO5r5femWqS6C9ETLfgg69KfCbhrTN7PK/jK21tCe5qVMvgj2QulZOLGZruME
6fsYf5rRbfBGfAe5r40S1+p0+RmBOKc6oxE2mCLkHBs3kZfm5zA0ZvYmMy3pOJtBVh6JWsFTgbJC
hHbK4gYvqz7D7EqDH3CMnMWOz2gS4k6X2NjDIaQzF5E3l3ObHUYZUxBfKpV4OlIGybBZyMYOWptk
azjNzHX40gx4wy21Fn4rmqL/AgLaKA8qmmQYAiQ49vn6sBjPEAAALVujObxZsk6RfAnRQATPHHVS
HoMkr3SXSyL5URhdJD3bVqS8b0BOAXmKreADmSKBZp9UAbqlUSbFbivjK/p+oPWeHOyh7CgGYqjy
ebasKHZVtcNjvpXr5NMyLRAslIV82FhKI3S1IWqfiwXdQLA5Bb+pN5Rg8hxriX9BhAwBrCmpEnr6
lE7t26pbRguJvLCojuFYOY3H5aG+kei4x5d2MbDfsqyAmUZOegmxEjNQ7Gf7ezxQ+pdySKJvYynr
XxJKcnDH6KfInjEk8ynnQdUOsWLUxTmbEpi6gR4ajpcVSUmYDQj0mSrYPB7C0qo1/HeVCRPECHrt
Jar7OT91lQZGqgiDz0O+KIY/2m00+c2oJPrR6ksn8+IYN9pnO08VGCY5Kp41zkqoIINVOIadEekX
iT5649lhp6duq+VR5dqD1RdnY7BkFDb6VgXNbrfzRYoC+1ccL2CLqmjhIyhL54wPWdonQBFC2fqm
j05tHE2EDLFJAKtiu6pCQfJ9PxXpfIqdbLIfkJGD4w6upzROWhDwP5MkLM5GPTaksxok5Yut1uVb
mChV5wpXkyfcFrX34xjLVLUhaf9rmrFheipqstYJDFSGNSO5iXFR7ACvalBxCShPanX9cWntRQEa
YbTGO/yDmWZmDVP2IJul1j0Sa+NjY9G3fW9IIZhEis0dTipzU+N41tfBj9605vSs10H3owzU4vNk
0CDzR2nUZ7eD5VEe53BWfkfIMz5BrY65isyoHlx9shrcSaxQt9yibpwPbSixXcu5Tluxxul5Yi/i
xmv22UsQVhQSJ1KCy0SdxjrB0yCTLLBK+t0mwu1tNpF18f7j6EyW41SyMPxERDAPWyhqkEqSNVve
EJbtywyZJJCQT99f9a4j2nElVUHmOf/YI/NvU2uR6hJFnRdgEA7t4dhZhTY49Lp+OesuKg6Jsw8+
tZRx4V7aXY3t7aVY/4R74C1Iz5L2JYHQjA/r1OsLnLF+n1ZrtNOdyNmvcONROQzo56fLSnPgP9bt
/SvwZSgPtOlobso92CBS+Kbtg4gTq8+6eEle5nDVQ04AfVterMroLZt7y6F0ZSDLJ/diyusOOBNo
TFKT9u1z66l4yuepLSTd7lj2M70DeBL/O1jon41NLVRViDI+EKJPM+c0VI08gkIuzWNVLSDsql72
9bC3Q7+e66LZivtkGPV0V5OoqtIqQo2alVQ6rBf6ADs0ObNqVbZvJRyMtW/oVaKKqhWaQ8ute2PD
9f86sa6gdkU1jQ+OjN2uolZmnMyz4tfROalxk38C7d/6qyO9aDvhHSvjez58aIFwlw7Jedgam/lp
jzevvi+MRVawjKNm/Bt6a9j/LKtu4Ezcd2mVuI/CuI3mUxhMSfQd1qWKv0tnn92aNOmViOm8KEHh
P902mOg809Q2WK/SD5rk3864KLBU78Nkneyq2BzqMwk08pJ0c1zcgkdyx1uxp0M56d3ORrulpg3i
QlW/AaZs8qo9E5u/lrOuMoBODoU8F2UAOnpfxAlnVubUyWy/zdvibB8O7AbEmTM6+hERQD3/bRe3
cj8tv1HdvcWt4mVKhGXx3+Th41uOIi6oADuxH+3Nc7i1rn7YtmqnUyzokjm2UtU7FokaUzFZ47+a
inOyQBNvHpdX8OV6vG8pI4kITogNrqmJ6tGf42ACW/D42Ev52KC28pFUltt4LZGbhUG69IHy3mLX
whoQAV2uRTpoTzQvVheqtsxHt/Ua7is5FzFRmb5bWa98brZ3IBjZVU+x4adYqVG94nMrjF/6OzFK
VTCun53nd27e2EO8i2xTbMw1lW2xLs4E+c3V49wnq/jX14ZMi1R7PPqPBFvswdHh3bBlagdza/m5
DWLT/Lt1opbTYfUwQl0qNmg65ouwf1zdbZ7PE6JGUl1aBBz38WjdYoaSPiGXJwtp5S2ednekei0j
gn2n2nIQOnFTNjR/qVNBoP1MqP8ukoeqi6KS6rdFFUkaentC/Ssa8SR861XNl5KVnaXbNp0JHRGn
rU2a7dz2i++eKTdT/qWlWXS/0lxGf5gIHd4Ev7sNs6PlEYdp+mWxSQOrkrL6G0dmLR8F4Z0uxW19
v2bkgO63xnGyo1NlVcrLXMrBnhQvZncg44XBVHTeiCTH1QLucIzs/rhso+dnkoZNctEbai6TAyLO
vk8pYHXsdPUGWNUBPc3tljRFdUDwBYQfOEv3VOip2ZBBO81HNU/E5o7rHFgnT/r7UzKEpZe6o5Us
h3V150/bODOG8ppj/GDZpb4UrrvYIOPRRqR7Dd9/qNvQe9q7Tf30tlBTqutbzpSyCxXb3SASAhMX
OvQSLG5kv5Pohwk9CyOq0ijBc/n3tu7Kb+LqGjsT1J8N5z0w3RWBN45PbxPj/Ww5dvVQOPGw52Yt
qqeVc48PTsnoPXCbmJHSuG0Yc2EhRs3mQXYqQ8W7EZDZLAwHEa2ttERVYKpZM+F4zUQJ+ZcOtlL2
L0Hrqk6rOZlEyqgYS4oDI+HRhxqvySkmXjNItRpEfIjmkZN5ErLqM+ksCrrHXvb5TfSzlqe67o3+
ZnR0/dQr/a75V1m6ESgxpNSnQlnrsj2WmpbPoymNNlaqSVmXP+Ohm+2IEqPhlidMEMGUSxXqLpdO
mVjfzjrZX2KiENaFapD7xdbTrUS4ois23eumjnIbf6CV7lUge6phYne+H1TQnO0iqIe7FbVcnDqE
ty3Pjq1tm/mb/JpDSd+cyUM2uul+n7d9O22bdGcG22jpedQbCk5RJ2JbcPoEcDbsNzOnobNqxCVB
TNj5oCpzSG4phvlaT8xlVOKgvXjkMHbaRxiUqn2u58EZnnay/aO88cZpzGZKjV77ShbdGTVmdKnJ
NReZKGphTv6tQppwxCg4+R3W/szG8L7kU8vu8jyGu+fllZAxhdaW+RcJ13re5G0uHbp6eGyDfvrs
0NKoNJI2I4rckJ9l0tc99SRebehYMF73zVszfweO5j1xpRHhVZhZLPlo9+F/YbyUKvdCLXsavcbo
v3X1yQYtOTyv4xQF/M+wvfVoMeD2mROMHamOMulfNcfEi6/kTIZiOPEMjX09FI+wRN6UqqXteXrk
Sozr0CXuyybqZkwZj8cfpud2u6jK5aYVQ2OKO+7hSadQ6kyxM+2lHFkRKSQHglbl9pAg63og5ZZy
GXq01zblSJVjVlmkWlhT3atfsejbZ87y2KTePPQfW9sC6vEmVK+FCPiPLmGzzDRb9zWT2WoRuqGb
mlbktUTcmYfzzo9XSdKeLdfRUUp+GF1XbZsMw2FSFusYlu8kUzLonKzaCvu5qhs6HpfKQSk4x2q8
p7PS7j+B59TvopCjl62rI6Y73snoRCJz4H2FFZ2s59bvmyaFsS0+1rVZZRpvgVEHKi4nO2XAq3/N
oZyPlkwGkn9WwnDfTBj35kqSh1VnoMDzfNdti/hevcTwCyNYjNLSIzPtPPucAn0zJstRRtPa3VFD
Zy7txLf1MhZxdXVWTsacGkCK23k1i+EC2jH2qS9hcq96MVIR1gmFQHHsAMFGMim6qmCfVy+fI/yF
PzFFtMNPR9u0dQ6VHJoP3VthkpER4xMk1AyyP6CMIEtVSDn/Lq3OHjSbD7FGFDssIsq2hPkO/Npl
wKW/yjW0FHY6vqsmr22zXlT29LOhcDVOy6gufrqcrVEaduX67jdz9WW3Rn/Gxpcfco+Gx70X5jf0
VtNdSB6xtrReeZIPbk8y5KkYq+GdwrcCCLTmwxucuJp/W0vk6dSbwuJNhzL+kFWYrOdyVsl3jNtf
nQIsuf5LQhhLkMvd9f8UFt2Xh6QZgvjCMc6RSpe3YbVvO+caRON4rUKGqpSLIpY8JcJ+WXsW9jP1
eY73WOlpVmeN6YxDJipG+kqVWdqz9kXjvPdmEdOP1mHevYq13k5NvzWCOKHVuuOb3P74hiCEE9Zh
PfzoGUy9q7/4y39V3/n0DtHgmqR+PEc1wxAtU9kyNigP54C+qYeq7qYod8ZROU+FG1vtBT9K/Ne2
t+StQ803XwAzajfVTTfYDwtynYuuW9LNA8uP19OqvIJRbA66E+W2ujzXo13/sNZeb/chZdj6rGKn
OFZAMvOVetTgEq4OJt5Su8a+7/l0MHlFgTWccEoOFzSbYXMpB89780rZMVx4c1tjRIm9T8c2twa2
EeA2tWaQxGzygw6MQHluy08P+i6NXZ7Tw4iM/OeiC3roJckUp0bYhZtL1xEvrpbekHFnWvc3m29z
0JE3eTzd/OBUajn9uwUeMLUVMwn9SdXVC6Pt7H8F29b2F3cSE8hfOFFyUs1NlK3svt4PkoBifLuE
vtNv2btdOk0EBuUr0lY6DHoepgMnKIcb89/2x/ErUktGuVrkRJdx/W9spr3Ml5Bqo1rHNK+nnVN6
YMcI5bdrR/f4lPrLDFTk1TVBplQjDOPR3lH4nVjyZsreYstUekydAZ0Hood4fHQDq93OsNUgabZP
HsgH20My3Rwt3b1rmuB+b/qIwjawaue5we1ojoBebnBcw2n6JCLH3TPZVJRp2iAFJa0uw2wOcVh2
I49xTcQbMfFjOsvRck681i6Zuswo/XnzNxlc/NLs9X2zbzedQNwUftrNo7HYAa0qzmK+I3mWXhWd
lp12iQOnjqNSK9nW4EiaZCWzmGvDPEzlvs75kIzu8jFbzIm54dfJmVm9AiCjAOFahdcSYXtzGfGO
JjQEOdIGO1H8aJnWVhS9ks46RLTplH2VluMC0hJXpZxSqx0KSn/aXj5RmdyVaYvEZHryqz06tzZR
FgdwK+cHh3j3k9DOyk/dzR++K8vv7+LFVWWKpdduL0IzJ6ZOG+jw0LTGf2nmuf3Fb9vYadHiCjw1
YBRfkxbeGzGA7XrqXCm73J/94HNI9pruW09PD7PP5fSfnm3/XXR8IHkv2VaXco0NG0kI9gOEtv+i
qsNHp71ubpXpxrXrqzXxYaXVOuqLGD015kXlOs8L9nLrXE0I364BbADl7/0Y3g8U+7aHcagTcUzi
wnuJe2si9qF2mykNQ6uYWPr+/90anVh/QekocSYuUqinyEdPnMvFJ4cWIzv5JsvkqNeAQ+KfWZlU
M/LP+uDidWp9tye33nLRlibJyZxEstk28XrdhJp58nlPTu2WdNb7OLTLt3EjPR7mrvLk0fF1Rwl8
55unWQrVXVa0ZHPK/el99E5ANWvcL1Vx9na/eDbuuPE62RYzsqbGmtjfikwSQgvwBVWqSmTmzWRM
0YYxS4+vteRrWwoTPYloBjvk8ZndtJMt6bY7tq2zXpERpq7wQCi3wbang99KzixRLIOX0Va6/16t
gDrupuh0m9bRWAMb9nP1sutb5w7N3so+64bRJm0D1T7PYvX8I2jt9DYF1MnyPnrzlFWVBb9ZV1P8
91Z8fIks9scULEGc+toFe0jmbly+58SV6khItkehbVBO1m+DUvO/ZKqpFFFd5V+LqRN/Y4DhNm92
7b8vRGxejFuUXc7IQF9UoAmbTGMgxP+8FvAsr5ZpvJl/lZYZExlsfMq33y4vE4Hr5jjf+hEOeEq7
i88w3eWGI/AtKcYNwq6y1AftrdvLFnL1dDs4EQ1Dk/M27tXq3/Wb6J63XRf2S8hQsNBGqyE36a6O
qQexPPXUuTw3VIjXw5NlWB5zn4TVSwwJ6GbkQiflQ7BhoNdeQiU4oGTX527VzJ/uIEd16XTXPYpO
FVT+lMG8nhxLded4G936rr8JSFhygn4E7OpGRifuiCndCt3/xaG+7UDOEwbYdfYY53WhtyrtQzMX
9GLE22eMRL5LW7yKP25hNuyDW0zoDeLfOY8IXfrNbNo1mT2zuh0iZnziZpxo+ymSIvhhjbLpT2Ub
+e9T7APWrYRAGRzkewIMPMbN72Wtb1+1a4I8JPv860Z7VJkwQ+Nnk7WY58HvWeHIvVzMwdhFRdij
KeUPx6rQivc6WngRRB8dY+0X+nENZVIipTBzbigzVo9LbDExlbFsHxhr9pp46NpdD1sUaidNgM7f
xhIJ2Ucr256PyXS2erVZwL7KndUlEx6el0ex18vVHy2qgvdY8rtx5AnfS9tqMv91IzTbad8n8bjG
RWhgA9y4fvLqkAcOsFmkjdvchulSy/FUDop8TN9u/dz1euwGbtM6rzP5qMN9UNbFWXGjvI5mcK/k
0CIac+NlJNOlTwrzbCUVzV60u7tUxBvUoo5tCfehXKzgG3AwEBf2+ODByDEsz9pIm4TqXnu/glW2
3wUnFii2FO2VWq56TBm41Efn1Z0Fh2Pph1CPmJJXIvbWbKbIxSM2LKZ7Pi5Ku0lt3fN+8qomOifH
lN2O3y667nEZ+bmjNvnUDLhVnjDXg0/syYJzlS8gtlMQJ99K3So2b2IKmCwkkWBDXlgefIyy6Bta
jG+crHSEKFNQD14eNi0wUGbOnTArbzQx4wNExoXcNmGDoRq3OQNSr6/c0ZZzaPdo3POwMmt9DR3F
vbMxt8lHEMq9ua4jRvQUO5orLr1TVt4haNz9qWhM/6uR0XxEWIF43YsRoD4SqMXHNrhubWWtmDvz
QFNl/7kGTGAftADOv7u1DoKXzvMUUs45WJxrjA7/bt/8es01NQi8UYVX+2CpQ/i3a+kbSyHNxuqh
ErZ+mJWCR1HU1/3ERxnRKQDC9oz3zkQpzZjyXoTAtYe+r2hhKZp1eZ3WuY7zYO+mIfW9UsDcFGVz
V25kP74ne+Iut681bA6r1uOXF8m+uhCuuVm5twbtm9y2lSe2JnT425sA48oNgOZD6y7+3PbbL133
JW6mJKSZ5LCM2zIicfYKcZZ0ym/3XdwOzzsP6H7nCVG8x6gL/bdh7COZVVDQ21comukOCwkCGGN7
VK70k0tHFUlrCYpezvyZeYk/hROlE2s2ytBKzgUwsXUelOVZD12NBoGARa/5HTYexYflFDKWrEK5
5rAPBOAc9Bqse25ZjffLW2ZlpY6VDCottlXWR6lh0w7G96YPIJ3EOs/tPn1jJtb+o/D66W84283T
TCBYm3G5c6jO7m63x9bZtMiw3ZN+wquDaKiskstem9p9a4MaMom4iH05oJCPks8NFq09gyhv6zWu
Q/VKvVCxfSt/WZpMOPPIQR/2+6FjC9jZ/1jA09VsYXDvJrxP53LFaHWtjQgEsCOizAvpxHv3pqpq
qlOGGFlB8BjgVMWCd/Oxr17NpxjtgNlh+6gD7Q/PiZ7H//Bs+QJrqE1MddGX1nSe4QnFGY04fxD3
vuKjQUYWnJGfRHs2TkF9ptLIHw/UDAHzuE5R3EP5BOwD9ZA8UDhCC0RfJw2W1ETK/3DFeoC4g0Jr
H5olNJmXLONz4W3bk2y6acsEVu6CG1QkZEpDUYF+c6guh5IE7fNN+YU9RERL/QPKtUW0Kf3ij83G
rjKnj0gJw/k5mSwOnemxRiA9pZVTm9/Qv1CEyLWDIqX9l0mFPidm1j4ItvsxXEfvrETbfBIAw8nR
N6b8o/qx6HN2bv6x9kOU14i0SWAXC+j5senj4q8J++kf6dYM27p1aub0IXgmXryVj7IugNaV8Kyc
cdKqjrKWw/wcrFqcHeY7A/rYBSPxwmxMR7D3QFAciE4V6KvfXz1Co5wXyf4tT+umrY+km3cn3VeZ
OKfaZVa7tNbMaNra1fYjhnVp8pl0ofbInr7rTBrDygKaNNu5ZxzOQaOUs//09k1CJibDxnIad4PK
NgxdG1GVm/2yVFtExUqF4dr8//kYEM93h82eBzhwo532sCLN+2lPpnJgMlT3Z3CKUOejNc5eVvV2
eFpjUpNJDdya11Ja0nlNhnVYU+2qTh2TSXrq5M7RDsKzeLdKsWELwiN0md8A89v4mjQyLZMGYyGG
O+inXqTFFGxkE4jax7BcjuTNFTRPPRl6gRgBeUf/G1TUXTsJVnfq7GY5FC1mirzhSLlBkb3s0Kzw
mleJuE0Bk3Yb3IceEJZY5vjaBrGwLp5wxiYXIALigdWzXFL2fRZ5r6f+BzZvE3dJG0M/u6ymcNWx
u475yiUAgFxaAHNrP/+ePK+F9Y2HWeTV4Eo2lcUVfTqsYvta9aS49zavOyH7LA3Ha+/XZ4I6GnXn
w2/yOTi3B7YTGx0GJaMXwYadXWcEC4GPqbFQ5QEcpcRP4RWDnzajG47HoqoSEtzGKnHvcAwinrA8
w0tvDbqz804u4lG2NXwk2pIqTllMxBfzc7OnLOpdmDoRIxmBqeP4MtQ4DO4bHbEFWSrYaMOujXcU
lCtPBzNEurkGgRR9TidUDIASbOU9SVrtfrXWsr6OShuUu7MLhedvFenBqpTLeOaast9Ht7f/Be6O
G6S6KVRBcsYe/1XntDxvVkHQZsRCI3Ki+SkgX9th+NqGjiF+Jbb/kdi2W5/DNkwq813SWTJp7WpK
47Hi6yA3zrrUi4FZIMW481M0m9VrS9+2c5yXAi6L8Wa5h8rW1Uk5PrSdcUr+danQ4Vw2RLwUpu3+
LFIzDd0Ew7mvLyVklMroqaVVVBcrXLxn9uVu76OmPjIz0wBLIhNLHHuWviR7S2MlNBut1/gdzcva
hpF/KKkdis9d1dfOpd7K4EPCT95pQ6NTNsLVl4xMi+6OuxgsK+1YJkLWake89+AqH4PZTZBZ+iZR
WOOwmw9FrSL2aXh7eWdBUL9Kxib/nW1QiR++t8noH7h7hUwgqiFvegCh7dDpygHjQYvI1Fvq8Zui
VCVOZaJcRnfPLi5F35RRqvbWry8egYNUmCJK8w6w5sX+X2gZ/uHKEvSKUoOUOOMp46WIf0ghVTJJ
jnVcBRHnab9TaU6n+WtTyvpXucAjZ5UiTZLkiGQ1+OKH5h+chgPBYODiao7zLVbH3YjZPYAVIIRg
Hke2CFcVbmmVzMn9sE8bsHoldxRSfYCmaB2F+GZTYBQwcdT9GeHN1nSrQaFypyfD5X5vWy/fcdWt
R1O58hAgehcXdo1F5V25LNahAIq6c/2b+oDksrDPkF/s3HAEXcCUi2CwCcjzzfQ07p0cwMY6hzRO
wdEmOzQH53UZOa/jKRx+oOaR/rPt8j39CoXpzHnhLCc/yF6r8LWJhRvlVkm036+tY2l+hPfgrINZ
BoRzFSUqqWiLbkpLYC7e1rAbgFl6IiqYf7wPmCOu/n5uyukj1Bz7n51fd6ygtzuf+93bsyWZ1RtS
/6LNCXvCVMjHLD6lXqLloR7oXL6AssD69///U4wddz5fMLPOM2Y5xAabMM3nLvaKaIh+m2g5FGUj
r01dE6IwLEZcNko0p5vUmogoVxYOV+1kRT99oAyeLMQhfba1jBJHp/e5qiL+z99SB4EGVY/tt3Dc
6r/2XtEviujE/qaGNKzui0lG/QHyLpyPzi7Em572/l8susnkGP4afRVLvyRZ7cVS5tRJ7SteGV17
d46jyv96S8UV6aDVOKdN3Nsv7EDoz2fwbgxDNkvW6sYosZrAmbm/FUd6NhSF0Hmnp/LPgjTqbUZJ
r/kDGic8xD4lHunk+5Z7mJKh1L9EpMZXDIIJIiWjyu6IK8hFV1DV4aEf1YyGH3xptw+2M6EfMDKZ
6wMenqq+qo5EiLRp4xnatFSA9xJo8moQAqAs2rfgPxmtuj3OtZDvszdNUdpM8f7ah8JxUu4eD+a6
jUv3agRH4uHWBGPuZuDh4kFOCohfyc2KckEPjf61rIPtZ2szLfYD9DvVT/4giMNzraJ7itXgbiBV
HbcYZZRmfQ61FYaHaaLp5a7BbsOT1k7+Q1gQ+pCT5UMcqKHZ1M453oSdVjEWqIOErsnHWEwGYycS
txs+u1+HWDnhcd1Xh5DkUYo9HyhBDeH59u7DWpEHAhEsfOatRgH4XNRRwoG9iPC+YE54LTwfwZeX
IFtdwWkwnBQy1MckmaInxpDxC8LLmx5j1Tbn2XY3fR4l/+l8b7v20fGpnspLKcSTNbTRf6HpmBIg
XOPhCA/vP02Mvl+QBSNWR1Y+FrbOdWUmxRbFaVAhgLgUPgiTVbqx/td6ldnTBnUI7KimO/zAlIn0
RRkoENErv86lHCgWqYKl/hXYZRNDeNisTCm6G2ZQWyD9zhdIwDotCloRs7iDrMmHoC9RgEHnv0h3
BOKataf+FjvH2H0zI884FE7nrAdx2yRZZZuFwboo66dFbf30Vrfo/a6WJ+y3m6jUpLG/m3MIqqy+
WGfVN1Rt7z3OXUFOD6qZIsgtJterofhlzhz8ztdabZufoocgUbgC31+u27ZNr1UQ0GDOk8wRtM8B
x1+8BuJxNOFOqrWc9y5d9d7/CvslaO+4z4JvXSz14x4G21uiZNhyVQao3ZFLtO9VVazU1NogriiZ
7PgHGL8/0yHLxZOKqUrCdFnC9a+pfSB5bXl0oHZu1T7QtlyjkoLLB9iYFHIIQlTiO4Z0rzpUDgzI
YQ/L/k2vpO0cUURP9lNTrZw87JLT32HfGlrlCuLJYZUrFrGia4/OLJoGAhEk9nMf+lmlq0UoBHr4
Yn8cSQGa/gSj2Z7wva7xieG+cPK5mNcEDaOV/DKiDVgIOzsGVUJV5PyJPLSCebt648n2Z2x7S+9V
jH6kiRI5qWKt7huv3GbYAw3VvIa19ySsYPnNtat3QlVpXs3d2Rk/y4askyxRCZDKkNhbeSfaRcF4
yj55dMQS+tlexFDLKx3U7rlM5uGd3buHkt7q8olDQEaHCo3vt9ij5otiFMD4Gzj26feyemuK0Yuy
EsyIvxn7OQ9j28bHgl6HOo+MXb53djU653BGcoR6qCtKRHIjB2q5KfkC9ZGkhR5HON1ReYBPClUr
40Nc/eyWulN5GyfiragLDgUUA8EPxLEIuRz+vudeBUnAUVE2fbpM0lcPS2+VXwCsdZXadT0WKRXb
HLNh2ao7zzfbTjhYrZejVuv2D1SvZaSYF9NlSwPBnbc9XH7uyDCZbrtIZL+0Sze6yNU2KtcxEPeP
Jmm9nwv+CvdujR19x9Lmcqdxq6wn1zeeeW4Bv3438b7R2b5EbBWsmWV4rJc1+jDkATaPtGy6JRts
N3zRKRst+RbykXDG1oatpFajnUd7NAP8VB0xF82SjBVKCq+8gEU3w5FOv+Y+9FAew4l3XKndvoPy
G9O5v63Np72i7DoqgaFj3IcGkNniKdWTONCG5vFzdtf9uSuvC0/o+vXZZQm4rfuT/BFry61yFQQ8
mTEirK+57YFFdekNSMe76qWeorLM5LIEf/qbQzLrlyF4d/rBea1ba7VQyYUtorRkxe0iI0aPo9XP
wVe0zt2funbWD+JFwzALyWhjBnQsA4LVJGu6BJH5b0VqspzcUFIChgnXu+Ly1z9rVHzyqKFxCIt2
brQzpNyCl1HipUPgzdRWU96xZ4izSsbiQXT3cxHpIZuU27z7hefsmZ6jzTqZ/kb5JzDbzz3aKLiT
Iuo+UPD4I2oEhw/KrcMAypg94kcdzKVORZ3o36vdcNpYyAEw86OwPOpdxzoFqy2/inaxUdFagdOT
e9n1e2o1MO8Mjwlqj7IWTQ5G2v/sETIizZqdbj9s/iiQlCsTzWcAUsUp7ygX1LApnwsea8TltQVQ
oaYhRtLih4PJtsVzz9Xi2MNZOsH2FEJpNNmM2CdKJerDJrUcNU3nbeCyJ/Znh3SxfYDXH1FbWC/I
pRBllGpu3tcVjm5IV7bWu2KEL0NfpWtEz7PNvFsxKkIcWcI/mWn2aYGdokTyHyyR06F/GE06IiKm
XG8qBKkdaoIwTPbKZ5dYy/UX6ZDyT+MX0T/0QNG9NwUAyY5mrkenQ+7aIU5ojshLb3NdyjqVeYuS
2vVzRHDLZbGRhz7egjf/aGlV9iNijGC9U+PWLU+VI+Jn+M5xIJJucn80hIiKu3V0+l8Dom8kV749
b2lv6eXRxSap03bx6isik1mmbJHWBwxhhe4YoXrmipCbwtV99zwKK/rWYz0nfxAbevMRq3Hvw2fq
5gHBPOCjWPzk77jGwEoeyrJ8wlJapWgHxzqL19m3zu2+Ngb96m6Gu2AuKFTqldPT3IO60L9ChhQ/
lhj+/7hNgwCG98rCPm6qgdy3pGyPONOpJu/ZWl9t9K/dkcUiPE57ZdMqGPolDhEj4hXF2gKx2EK6
DfkWIwV5WeWyfZVqXJ+WMC7FcfkfR+fV3SivheFfxFp0xC3udhKnTNrcsCZfEkAUgRD115/H5/aU
SWKDtPdb06GDIAh1l+IktGHTy8D3QQJGElb2rGHBJZuQ/iV2H6thX1acPm9T45f6K7J67rml7qS1
XZG1lfeeWJruOaiLaU7slmEB4f5YOslQzsM27FhykwDZu5NQyqb0fpDoLvbYayOYmDaoHsiqWZmS
kTvuXXd08UEMZrlkzchRX+Uj0jCt6uy7MK0bMnQDz1x4LrwdTSOchRCwrYvuuOMK77S+tT9HQfc1
uQLPUaom7W9Ce5KAPoL8YG6NruxeHeMC67Cowi5ON68BUvLO1IfQZyg7plXWPGdlQRikJhqiYaaW
0wWNS/u2WEF3WarMcwCsCo41u8MSCSW1TLOz9b1JODurJWb+XgyT3RyMM0zNsVWFvRDkwSQM0gQQ
nDhhGHFh4547dgEybgzGXokwSznlF0uRj7lIOxNJDgXaF6T4+YgaIpb5JagsOKE8yiVPgvDm+7rR
XrVDiNbs7CJUinVXtPwq1aw//X5B79OOtTrFbgurzBMBHz7xbfRPfZshxNSV397HLbdFkllLHiYI
R3V6FaNTIBiiWi5+zGM/i3blkAfFfTSyC22cRcfeyVRZ3TBuhNW4zWeixqB5O3MH3azUgQ12eAoG
H31a5mO4TpxUuPrEsdUbVjWlfkQEsIXo3hgO8jUWzSZAzZTuA6HgZQGLlHMaQCf2jB6cJGM+rH90
UZXfUQRPtmtnkNgk6vrhwwJm9zgNWfhIoBuyZa+Qmo0H0coerZYzVq9ukU/5vi4920lci8t1Z+Vt
ADHdjRM3TZMRBRXKVrytKCcYyImvAv2QM9L+Cd0A+4RCmFsgzwUyS2mbQsxgU25IuG6wmYJlvBr+
nnmHO73Qm3Ud6KYAVWqq+wbyqE2K2KXDpFxDxtuVz33mvS6XeQv5ihbDWKF1GDnVxn0/eW6+z1f/
pjGYp/TBn8cWdNpqafPr7Gl8l0GjnyalDWtjY/Ji0yK9D6AsMcokQV0W88Yrh3o9TTzNgLn1kn4E
/MhHz4vMS92PabFr+CBgDKMRobGuIt2eCYd070GyhmEDBkECtsvVcdXTWsq9yNsoSsqlmLHgoH7U
tGHbttzefPzQppyaXxGmAW8XtsQRbzTEFev4MDuG8zFDPlz4CvFs7HMoIDLsUlbsEVFUhwZn2Odh
LV+ssYj0aUgD+65xBwG05uBk7NE9gh0EygsvdoQJC2/DJJ+Hwuth2KKmvxC7HvFSg1J9lamtwj0A
NP9dWnKpbgAnzIth7kgTgq+LK4BCIHbFHHjlNQra4WVqPHt+l/T3uiczlMi8mjGcT1XvaQuyPs3t
7wWmTD80eqZ6AvW7326MU1bmkLpzeXAR68sfR3RT+Gu39qwShAG5dZFu73QbhI/2o6cFQF279sHL
qr26fgtZkzVwLGniPOrr7ZFplxro3dLiwG/pLUecEMO58uqM3iqvchHZRisxECBi8w6Xbl3BPU1j
ecqwOc38PRq2PQW0+8iyhrPFQln/22S+/Z1OHeIj18rDa4qHCah9yXAwSqCm+DBMwNqbobAsA01b
DcjIbem/g545etdGrZqhYcfgOzYtdhJkk6inHQTRn6Zt7b+p1nF4r6txHd4nLroPrpE13vrhjHwI
NUfWQurU4RfOGGBaPQW6eBjZWLOddDqi9rw8sARfSzkd/Ra6CEVUXobbpuvAPSgJt190Dsd54JdB
CcnC0r5XSILpYEMy2u/cwkPOwCJQ/fTYFeWvFabNd9mg4DjIPvLMVhHR9BwUsG1Sr+z/HrBJYKCa
8+XN5rEmv6YIMraeeF2vEpnvcubt7tq3Yo4QcSXTqMa/wCSdOfgQ5DMLqk8kKXbGxbxWhDvJZ9MG
wcBUGqKt99e4/pfWvnPn6QmIqIwYXLe1EAB72QSa7Cy2s1yQIFbrRq7V8GyiBqMHdydVNv7YDMli
1UgkYQx5V3XscyJ7Q8XZowcTPuZhNSNltzJx33vKiNsDY2B67HCV5SbzdJx/1HLJZMIIWaJq6nxn
g7KRb4Ni6exSICnUJzNGHVr2PmQhSEXDHOr7qWZMJtV/2lo+DpVEDI5emFg8Zgt+Cfdxhl0yh7Gw
5z+8XHo8Smmkfci4+I4wZQipTGfce0o2nOVrhD5Id3zICEX93rfQOg1DexeXfWm2TsQ+dJqxGtLN
xuGVJbOaXdRiJCWu/4xPBPXVJdQtPYywdP5dO9diX8nRdfZuL/PvCbf6PVATYuwZBGgXyBvTw8dr
QxpH0/+PYjnmYM1q+DW2WF9LjZQ1caiEffHLkL/Rrnp9tRZ/UYcmrID/Gmuqa7oxMjA6b+VF3w8G
vQCNrZJ0sNLxg+aL0FFqxWOnS38BWagBLd1uLPddj2NkUxJNKplwyuwjr2xINGbWKd7UzQreIiNw
502mEKycpwWcaKh7UFrKWm1ohhZcnr1Q1tVRwmV5j9qablFCC+6yyYTLpWJH50q2Tc6t3dOJmay4
rJnW/BozZQGaGD7MIyYP3HYcCKJz7WeEEdRpOtzO0f3Y6qY70TrNVOj7PJI79qv5ykwqy0QW4MYs
1rgRwX4rFoVb19tAzRjWwW1ggIy3JfU0f4RkZD47Zc6i5E1Wemm5L0+EFg3vZEDByXn07OLjlzUC
NCM4KcgNd+33STOiJbXshpcAV94jTnjwk2ZMq0/LjOkfGwgZHG6h/2XTdZqE+JbTgn2VGJJXm5ng
P9sDXQW6Y5KHcq2Wx25dRh76EnPMQdiNHW5L7qYnYJcAeHvAvnsQIg1eF0821mssvZRxuI7Eu1Lt
+qGYG1FZrAVT10iP44aNoPM31mgjLdRO3T9UPKjVLsqwQLKXTWFxl2X9AmfE7wQokVvsGYS42Ht/
EPbwWgV1lJ3symS376fOsYzks8cAy2QHKRJ4VRJ2UfECGElDGKkS+Sf2GHsGh2s0/GGAZWnPGdE0
16a2A3phpgL9qJqXP3XZWB98Nc2yQSZXv6obp7tRXhb9jONQ/iptM94PXusFW7MKXX0PjZHB7QR1
JwVp3Nqv2h3r4Iy2eW1e4N/pVpWrEWA30rLNt+bNhKlLw47xV+YOg1ppu5uCyiUEWYslJRxPWV7S
aPTmZ6S33nnQ5IpvyhBlwbFpWqs7uj1APNOrGPw9KEKBYnxCMQSVKmMYae1/GduruGciNyyOZT6Z
RypGcXlKbOl/6LG3//P6bDn3mVMCatLDwwlUr/Mj1t/2CblapoA1yJd58nO/ey2Ua70NdaU9UsBF
fXV620qPbW9Z92g8U/PqNvjuqECuxiPVK4DYVj3KZ6ZEr+PryygpxeBtX0SnImS5MU9Q4oI+ERkQ
zPYxqodIHbwiW7qDv3TjTAfIgDxUtCaQj/GclsWnp2IdXwEG5vFea4bLbTuHh9gizcMM7l9/le4L
tI7dM3P3S3DIU3q4jz3GBnUju9xfUxQpGGorzRPwWJkfETUW13JZx/wR8IECtWINp59qLjmectzq
s5U081QMe79wIgVO1xQrxYcRN3TT4A7btH7hR4dlBmg6BnUQtbuKTMdDbVrLp5ldZN0n0dFBTu6o
1HDOEu0Y+BZQwHZYBC5vFA6siBStq7w8Ve3Q/XB0Z39WAtXGnVNJqKrW6/HJSPJffyleLS/I5pfp
oiK23o1fTFG+G5zV201uG5TbrhZS7FenLHBTzCD2FRVOBwue1CRBQPElNG/tYHR1Usc74VQv3tGQ
iBKTJSUOGwagtPtjLVbzhWcD+qcFGCUYYBlaD6OIxudZKKUuVdY5pDQZuqkPU49X+21xoslAhYFh
w92rImSID3wGZbqpOQj8mEcdPeh/Gej5zMrelOjLMS0DjxP9l+R4DJDkdo7Lr6JnUeytdGwDlNcj
BVFIUfBpMY4OHxCL1V+PS8DhAWOhRoQssz0pZ/gMUQhEf6Ah8ocZU06eNFXnq4MI6OLejuFK7CMF
r/6dw2T+6zbR4uxXetl00hEU81/Pep+fIOfKH7cIUCVm4zh+cYi0Mxp7xtA9Njn1r3CKSOBz4dBJ
8Li5OllWDLHbir0QJ0/QpBDLfhz9xSZbkwtS1MKBSarVVxThmdbgrdFGMvBd0syIfFtpX//HKICG
TE1+EJNy0ajm5KGUeG7KFrhO0BoSgFOW6nccbPHpD1geCEaC1HWzmfc+tnxuxrbvW3Gg3ABJaxY2
8xe0tuyOiOfIlkYCtFxXg/TkyDIPwWiMvQ64KI39je8McAyfQnaubbwkCCGdqiJS2JudHQZWTJmR
CcXFAX2r9tUaYzUkgQCNn+8I96ddneh90O3wAE8LRN6IZnw1vMc1b3lYXzDDIHZrBlxSsvbgLOyl
LK5TTzb2fukzn6Mk0yjtc8TdZyvgxtm2TaCvYz+2X6Jw/N+l7crLuuAHgC7zFYwepsfferh5FthL
YUuF31v7IjL281qOoIyu16y0wA6+XtErZohv+AXZbZFMrI+81fo/FI9pAIwJE0WpYRseGQAIUmiU
hRvJ6ht0iBX6kG3eeW7wScIeQKvMgsbd+E2cL0fPrO54mqqyOTeBTWx2ZjWRf4T7VjW52jnrWafs
tf8IrMV1TsjJ4d1JN6gRLyGY65GC8OAnU9TMd2x5RXx2WJH6+xEJ8pOa/TokiaAuuM8Fs+1O2OQw
JlKOy7033SAYR05xtJ163+cfIZm2/FuQXpIeAMZ5zEXpWPqZTCJKMP1Uxpfcsm6AWxrKa2BNzY+N
iMTm/15EFzsX2V82gXhNoimtwhNRbU11aSvQ7Gen6KziREh2sW5TFP0IXGnvBiLC5hJJ2ZaPlFJK
qkgJjPhbx5QJbP2mgUWcnKASO5M5Y74tcZs/YALFrsha6WPWDqf5Do8l3HvE4OEmrVsPSFIHCnyf
+rL2563rzGXApblw37T9MN65aV98u8L46jPKZ+ffDC/UyK1dd2mzw3uUPwjgrepAy0iMqi/qKHI0
HNRXxBie+x/vU51e6ly5D5yTOYezCiZzpzgQMDRW/H3OXQW05p1LgqjkKYATvE65Gf9FqJG+bXbJ
Z6NhhHfzKvsP0RfZuMt900zPDYLvbY7tFtd+R4JvI4aIQFd3yY42DWywnpnOd9TXqmwboajO9l7q
i/oE5koNQ5XGnL78/rQv9tDAr0Pc2+ZaUQR4iXh2FnirDqwhHSl6PQyAwARGVWW1cVDU48kTAqv3
dBM+okSPXxuBjzcJp6j7m425f+OgZWESFUqi9WJY5CLxgzL7pxooGdQTYJ9JbENXbLlU5hclQ96v
QmLHTCzONX1KZTp+BMyrj5lTKaYH352+A0dPf2aZYjDE0OftYyxaf6Uu+nqLeMw62oR2/hPasJCX
XmMS2Cx33t6ky942h8Qe96lf5GrrMAB+oHhS/6xAUmCSkeCAUURGzzUdSenFLSf3QqzJ7J0yMXaQ
K5C29ZmYoOG58aN23WLcw5DSkieSXtiekNxENYR/QmNs3CfaDQePPUgFn5BycX50eOy5AsuofgNG
6se7DHletQ8X1Pl74hFo30FF7G1UShstt5TbjFvcDsI/ajYgbHR9p7CEuHPmbqS8qdVuXYL1Helz
47QvY+PB4DaVeqphIYGGHCmQ9c9psN43khGaeWYIvVPTuTGVxWCh6X4JACp2U0TbAZldgr0YDgJx
XFp3mxK774ix3Cy4PBfXOk0TA8puMtBTiQ0+gqJgUTlBE+Ok2LZIStIXM94E4a7LbUMlTh8hp0qx
gaHPlNc1COCyPDlromimMfLv6tpf936GzTWxK3JfEiLn9N9p6qs/ad8s9blamuXal+nwwBwMWen5
7oJssve7uxTdKBZrK+0Zwj1ruLo4/V18VcF46RsVr2+4/9eHyKYQjNXfRTnNMKsB3FaBkZxX4nmO
CELaW7RS9Q98KiIi4oVT6CwFt/0hMDXhzBZUI5ctQjq5I8egvqZFzUvL1ec/syv7Dc2dpJqQwdU1
H7pKo8vqcNwnDLb1W+fJ+n60Qlqcs4qkWrYwgZENkOfEoIuCqVSqErgKbLGnkoG9ZqZ0Ato6irr1
u1U+qol2DbqtKdL0gUATk90BFQa53OjajvmzuvHNKrPg3GLy5lOFQjvM1eKPux4RIb3cwKUA80Xk
1t/u5C/5ZZAY3sbEKvxZvVdErPxXdx7qMcs4M1n12qmu0+gHc9IoT0V7RjqGH8qSOGDIJuygy8oF
XSIEvZPt6jG1L8oJb1YhjH4SQb3lIUO4qR435YzsHA+c64PS0k7CJNLOS7CNbjAMwIyf4p/Dp74m
HUok82AR675e2zIKv1rTemj0GRD0biVm1n7nhmvFeV5Lskv8kMM3yWelsYfNoYUeIpDrOSzhY0hK
n0Zj7duOiXBr7I4TvEHTubHx9mebGPki9mHuxs1ciPEBvJwe87xjrtvrEp/qJm6c2bsgpxITsQQZ
3aBAAvo7DQeTvaIczft9wHOUbozqSBcSsFuY+8tB47zFQJg/DqnbPiMjGvHDsguKDVkd8X/+NIjy
FKl8/K7nJb8fxBgS6tPWwZVCk8D9R/kP6z/W+yhIWtiNgR4FnbMU5CXGQz0u4URiwHRzkS1Z+BTS
iYSczbVagFB36PunusQ9zw9rsI2JcC76nSg6/zm9WWGZuG2/3rHD+riTe6QZOJhyZT8hrkAaN9qZ
erj5jk5zjdQDaKUG4aC8FHtTFxddz+rdRMWBsQlfgxcuL2FLPurfJcMBNo6xqB8X5efNKU9z3fzQ
qYtQGQsF5L6Cp+6P6HOje/TsdJmpzsXbEAOrAQOlMW9+jXTwCfafwUa7A7k/IYE87zrCPZJ4S7D8
AQv3n/Sg568CFvQzTNfWe/AIESfMhg0YcKZtaqaAqPp16KT4seFw0sSsQ/9S8gvdUBHY322Z405k
Fyvsj15Fqeslq68Fr6bkrx2hzFoa80DjVYBonzkJ+jaj3lMSmQEjAZKxc7IQFRKiXbPHOWSfszV0
CnXgzND5maPEDjY5IuZw56Ij5Na0vfULTdG4bosuFuJclkCQG9/X86Wrub92pVtmHeFUrvJewqrL
9Vk06fBPwXzghSJQ5e3maC2IUijmB05E5q2o4HLe67wGdtY92zppG+gsdqit8vpvbrWcuQM9avFJ
9pPzlC/ELh4d3pssyZZyfLCGeCEcn+gFloygZ/LvOz1QWdTcrKNwAhPWTSfGSV/5qvlxciIHkzou
A7PzGtdyNhKTAGCAPaXAX26Y3RlEX58RhAakQJE7euNTVxhvM7JSio2k//FRNb33btXL2v8xHk8I
TylvPKrQth5eWeDl8B6FSNOxwK7m1SKm5x2o5+bd73L1mGYlfw006XBHMkdnb3Doo9CJGxO8kEtI
BsFUyJVbgeUePSTGA7GJpS2usWM0BvAZte8Ib1Co/s6PPIFSw8nMo5fSybt3yKh4j+Cg//Fxe8HR
T1ebhb3Ht7q3dTmHRyS28uykeao2Xh84gGaAAwRDGdS+lAXlEMgZa6+4j6uZdXhUgn92Can3vHRq
me5UlnX9eSrSCAZNEBOzAUQSQCMgD1hg+U+AiODo1R4fAC6hsSdJboMFZMDFVdrrtGWCJbojX1ze
tmXMUn9b9jkC3UFnSACAUhlZW2KT0QqQl+bsZvxAB9QWXbizsPIxFIDy2VsMlm6drI2PmdxTrv3U
9SlObI5ItcP7mlubYUCjsCn6dXXxEQmpj9MUcr7ISmXyv5rdypC5Q+x9Mi5T+5kva6yOaPv8MLFN
l/0pwjF7HTHBw10GsQnoQGj0P6AqPi+Rl/1nX9k27BCmEqpwvELfQcvDChi9EMTlenMuDngLu//K
gZhqwjzEkiZD0eD7SHGKLvuB5Pen1efDTOwGxS6ZJ3X5QqrM6hyoPcCQloZ8DeeKOtWp4lyzb/HG
pM9V6JKs4CxwB7fnooqIIGiY5vsDW7t8WXqO902Ghs3wDwAl7yKs/NO+aghdSURBGNzWy+P0Zaht
6VwdVYcn1ABDsSFnJ9uTwFxWx6XJTXFBdMeF1qNktc8xobYqgTkz+DNi8gMRJYUH2Eit7xwC1pyN
0KP6009+/MfBRO3vNS/OzfSurANB41124PG8nfKDpTmlh7bcw+oOqIdmN3onJByZYT9bCJhGn3cy
Hlz/MHUDeo2qcGtxGFU/hNsJS+n+Rtfic8F+ekMofaBQDI52u5/NJJ4trRB9FH5jKsoQu+FzIbkr
2lZohZ9RosM2pTiOkaIvPmL3oXWDmkCUHA3zrDWeHgumJEZkii2L8atgUZsDFITYi2Zy2W5iwrxz
OpkY4ti+R+7U11mtZA0gQHK768TPenBW/BM7wjOsjJ9b9ccFy5R1AaL1ws2MC31CmlsGpxSD6rCt
mhzAlJNjouMU9ut2BneieKylC/DZwU4lDlxjepmWgf6YoaLO5paP4/k/PW0CD6IzeoKOJz0HzRxd
dE6CezmyNwXN4E98eWMFmdGorzgugo8WQU90jrxU2keikpeYsdl1mztvHtaQty1w/2Lvit644Utn
N6D4ZNstnPjL0ZbzQjgA229PFdNNy1jwXBf1d9z1q7upiZMZzmuaOdkBEDv+aUPi90+OZ2cEnwPC
W5vJG9p113lYE+4InfCKLQMVc3CtRv2+Uk2cJ9oSCgOzlTsIWETAzF6iwRhPTlgbXp+4que9pzAR
bNsMdH8XBqR6kLe3ekxRGVWfLyQ1YL4IM9S3+xVoEVAvmP2TAwTcQsT4BK8FZCmeB5GxF5M3Rs7B
PPdzmri2LzhCECxSQTtLHz56AOfOkQlfPIGxnTxYXtGthDEiuM+15n8krKSvXmg1xRE3mfsFWUQw
J+PZRAzn4Lq7BezN2YSi7xU8V4B5uBxL8uZyfDLc5TZ15ptgvGVQIxxm4IvQezcJEcDNr4+9S52j
gNlsI2uu/h0B0NEtxS/Hp8l7FbP0kz8yvDJs8S2paZ7Xrb9Ejvy0u7CfEa21BKJk+Vo/enEmwTSY
gnnCwQXqZzI6FVjl6oMllBwLH1aF5vyIPLYnT7KOABQFsyk67MYNU7zGFMOjdnH4qK+Vhpo4MZhU
7oltai7PiHbsHjvgWBI9GlS5wNcrCE7AlA39t9YdNzmHxbpeompo8IrUayUesM7SuAEAHX5GHZTc
H4sUGLFbwO34gRayLoIt1hZrlFfJ9RDiUAUrG4qs+4qRPZ5rzFvLHTI3ez14E77hwyhoXrnCp6bX
QYXll92YvnhGBI5ukWdwAaLEacwW0Xn2srGHMYj+ekD+8oxjrpDbnuYCSqH4AhUGTxcp2K3G0Trn
bmq/lUtuhcdymOUfWxkiDkalJmwEZYZPSIiiuvDBjI9xr1Sx4/pR9ZfsmXl2vVWs3WEIiuUePTnR
44ujw4+8RF44837z2ma6z5HARtl8bW7qShAo8WwTT4Xd1/XkvgPtp7MZy3z33NDINu/xEZTDXRl7
c7S3rbo5rDYbEB5duyOSgm/j4jjt2G3IQ4vD3Sj9UexHslTR6wek9WO7kENzmjyhP0n/bKEoPPir
YzOTDLmbehaboyQUYrfI2KhrHJjmIyjW8l0QGcgO5KTLn2WVUt25M3K6HWONcHeZi355m81rlm6N
WFBh5gQy8W5kaLVAlh2YIhZB+P1ZuMgIa/qmc+KD1stMgNBwUHFW+hs+v3LE25vNPKxKN8+VJSfr
FXlxzxUkwzW6iwrppjvUx3kMZ2azJDnT1FRHdrhS3/dW1z/as9eOu9FMY4FKQebBziH+8qNEmVXs
oz42wwFyJT+TW8fCNbcuKg9IkpqLcLXkuBvirr3zPNX65MhEa3Xo09nlLQ5Q8bJ3WPXwz8Qz6qs2
IAMQC3osDityxjxhn3DZJ1en9gh/LI16n7mTkHs4FmWlGIQa2DMw+RmXlS9rYi+ioU2QtHrzI/Og
227IhATIpbEwOLsSgfdp1GoqTi3fBTAB0tf2DiXoNNEeF3v3pRiz4DqZMi7vp7mYIaPLfj4gHy2+
J8uK7H2VSr40x13dE+gZYU9u2Nxe8N4Kfpt87OYHuN9I7/uq7uPzbOEEhDyYMIFDrZls5xD3SRBW
79tvlgoGkJA1NFz/0QLYQ26OxDYaFgK3QlDfPGqWsDfCNDZ5gStsJMibmznXvo2ziZyyMAp2LTnf
HAmGqWvvtGBGJBYRzLd61vSNWiP4LZXGfy1qie3YU2q5x/eWfzOFtPXN9m628TSj/7ud5VtWnxlW
Np+zZ6Ul+C7iDRBBW9serVBpo3/IKyu+WLIgkFLmvUMEBpDf4Rbr461CfTbQymGq4aWYFHudyb30
qewc9T0Z/MckOWAs3JVO76e4/VZADUc4ZMJHoJ0xWQ4uMVuCQ4OLCHvDW153SpzTTA1va7OuL4Ro
kL/ANP6DWUpx+ERx3xLC0MdHr0e9RVjPuvyxyy64iRkWFIEhT9dT7+XyWFhh9sjaBAEVGozz5yro
2ZNuqWNqQzwYMQq+diyZCDM60amlkup76CYskq7GVk8ebYd3SYA+LEcbN0L71laE0O5rb03/BeVs
hnPDu3vArZyay2ya8hdEsbcRlxn/EiDTMMSP4kH5jUfcUiB5KH15fzMG71HUXrcjlE7FifbS+hDL
ONMbXPZddZ6lrBxIv9UFtw1wKqCaacsHssqy6oGQGo5iNZZMuaEH5LvtKlbG2xI7pmdhQyzubHeN
1M7WMZm1dEwvxO4TJ4s+E3e7eVC8aX99HZvvLlLpHcE/dG7jFkMP0redc8uRZ7Nhtg/LdbeK3Hki
Bxrpk46r9gl1BBR3z9d87IkCg8BnR/xro38vt8h4CXYmOZb49TVtnXJnlV74y5elnU1DBnd+8ovZ
Ba1piUHcpEFVBheuuiE7kEfk5wdclHwF/C/Ho5BNxc0UeFF/R7chN0aElYRHsG/Ee86Moo+ZTYy1
0zTWT2Cn5Xpcm6Fw97McVnVz09RPKF7BYv3JMv9sEoI8ZBpm/a1rYvbuiW/R3j4fbfMfQfb5D/vM
/FAgbXzyJ4Xtr6mc9q0UjvfKoRc/FENtPmJ8ksMus2KBRb72cWtN7nvGIPkWrOs0JRk5CIY1bZXW
DtC8OZWomlDEFbbPdW4vpt+W7Bm42oVA9W/agVjm1E+DK1VvxuIIlcN/7Muwl9VUOP8KNJp/x8GL
Pu12pC/i1pgasWxnwUvlDgijlFfhJl3KcLqQjxV6mwpgQtmfUGJ1elIqE9OuBvbyNxLzst6Dclkv
a1qsf11ba731UhN8ApPzmIfxbVMieFY/LuQYEGFAYAvUN3Kkq58BhCcMMS6jUuMUD1aHHjOJTaam
XWyFFcgZXNC214UYINRhIJCrutOPv8jqkabNFJUzVxhJVanfI5xLw6LaBNE0yzuyOO1XMzIXWGOV
VhtsF0CXtoBnm4KosTZpTJvbg1hjh9TNPrA/Q3wOT6h38nxTIkcV6DcFAl+B4/oII4KNv+ks8U7N
VeRsLWbAPWAmWURDNRI24sSYgfcNNx66AbR4G9xRWu7whIFjBjVRbM/I7W28cqSJ4D5rqYi25hsV
0UDyYrWo8BdNq+uYQ46s4JYI0FfsXAUccNIHcIMkhyEeOxNf6B68qpq6ax9JAh+Q51juoXJm+pVS
AEgPdXgb1m9DSHQWmmZ+9pMO+1t0bs1vtHTafFO1JgTEHf2tZ2YpdScn4xCwMU/tz0KP750LRgOU
D0F+75VuO+zFEqOsLnlhvTtgwlVuA6+NOXU9buwHZ0EysVtraqb2bTWId3aDqt7YmrjFBGKJu7RY
ViL8OqkNYTFMgNO+Fitjd+oJpW/cclZsgwlHw9aX7o3mtYL0dQmX6tc0TOm/dOGhWyeJ1BkudUfA
TULIHxn5YweLmPhyVeGuafiT4BiATpK88IPXKW8VfINwwfZlV2Ahhw9qv5dwpfCdEPB+2haYXceE
NLIu2DDBhD81Gr+LXnr79yYsyhJnZCfg9AF9SAbSBW+eIyT7RMIu8YtTZ2P5OFliyC9F34YY+TDx
8zpqTK+dUhJblM7MoVY27rrQjyv2T2tdvwogHcLvlHb2KguND6QjfPSBhiDl+7QjRycJZtIHjlMU
gGjhR7N1khoreCmIC/42IZnIRLjE07WMdZptAq/nhE0L3t99kCNV2Fc6WIJk8Vr1QNou/L1FPgv5
sbP9HvZe/2WIIUdR4zKGHkQ42j+SNqP/cXYmPXLj3Jr+Kxd3/QmtmdJFdy9CMWam03Z5SnsjlF22
5nnWr++H7o1DIYSQVahFAQUkgxR5eHjOO6TP3LbFM2SmkLTIV7XuoNS+ClA6haDIBIKY+icq3Q/O
0MYfkT+hH4VkXv2pNKsWgf4p7n+g0FUVu94U6s/aLFR/j+wEjQwUz5x3bWqHZAdEW7TsKjP+5XIE
Uf/V+5iukznYTwMJMBylsBM/MiRse/Sm0M7ZpTwFxQ4VJoJAnqrDAOO+hk/n0nZ9mPGeHHl6jWQG
aPPY/9gNEO8mrmvf01Of26MwavEG9DkEF5BI7hcw5eFZryPUeOpsgIocWwhyH/geQEIQLG8B7IyO
kG22ELSFZlRJ/lbNSv1HASagvLgIRmZolDfqPzh7KIY3BbkBZTS32/ikglZ/Np0xa0+u7s+9l9b0
Ng8TTjrqCdTd9Gw7YwdtZQy0cY9FZfl3GgTRVx8g4yfTdkeE3saaw/SPm4RqdkL7qWt2dqYGKmCb
rnsf4Rfhn+M6SaILWAdyakB27cUxCw0RKeDjX8Y8cr44SOuTv/T9COwl61GZ1ub+7ygzyNbnFlNj
MzV5cgKItD7OjikoZiLLBQ3RwmqFHgx+pm8VRbM+KW4KF1hJzBThZYcad4eCgQ1WIqtt8MSUnGQa
UIBG/2C1M0GxLGHa0e1s+uZo97n1tQvwq/YSfTY+2jOAQhwTAvUQ06cGqYG2hk7v2eR1yhkKLfRG
IVrsgSMLSJcl/MCdSkM0OmiToMxk9kje7oKM0LoPqYEdBvSZMH+t6dR7vQD0/QwOpEWvjCYQytYq
JAg98hjLrQ5qNyTpxwClER+Z65HmI9hJtz+gtwvvwLeTkXYcht7ZmQs5CvaUQ8z0bBig6Q6l3hvf
0f6to3OphoCxQ9EaT6jZ98m+A8FPdDfxg2CzKcaLVgf2R5wVFedgZNqcAlGC3rY3BFiOPagd0lQY
jMXTiF3K5ww8xPeuqJWc1p9jfsqaqUclA+415Ymg1F7Qnk//cvp6YvqgvN64SFHUQ5k/Jun0UKm2
NNGhCP8rJ7ZOIN6K0EFMsS+puSOBja+GcMZPWd+NL9UM2F1x4gQIcjP3j3U0UmM2TDVCCxd896cU
HJ7+OOJBAC+MHEvKCkCzOuHJVL/Tep0NMgCp+ziVRqE90gqNeDHC8HlGpHEAT4W2OBQMGySncgRg
hK5UKwztA/Jzgf7Nshtq5gPWX88hUfyHqQX6dLRjxKnfKLBLqBVPrhMTXlF4pxiYGc47Mw2hH3QQ
OKrDrIfQKuNwMqZ9AATzwo3SpQiSFiCnG8W0/uoyq+MmS7mcSjik3S7SKyUhn7TrB7uPXHcf56Eg
SUEhxjiIse2/zWIyPmvhlOv7hq4sHl195bCtAwzt9qz0RPU4h1RjADvKHidLNVSKLK7ffg0H6NtP
5CvTA/xlvT3WBjX9gJAAxZ72PXrg0HmLd2A/eaLSug0/9YMgnLldYMR72kEOhXmfmseeJ1XyoqD3
UXlIVk7iWNLjfcnDxh4Rn1HGh/9UPEx4DdFlEqnFLaMWCHX0dYWI+X+q0B2GKk9xonGMTH2q8RH5
bmhhTBU4U+md9D7cBKS5K+NH0EI6hYYGfA2dgiH4q7To6ODqElPuyzM0GijDqC1Alw5dwG+Uxjvn
XVWHefeGVrZODl/Ugf9R60Z13uvRbF7gGkUZTJsqzHf/cQfDmHJyuz3YmviRvoKLbjhbPTn+Ryup
WJQUCPeh8O1/6NW1n3IjjmQCBQwLJ9T+y3/mGTKj2huwf+1G90lrVcCKCuhWaiFlZh//A3mydVXh
p4fC1kPDU7k8H9QEE55zDIZ52rBTXPEz0qWvGn9F4DPtSs+hP5yxNDVA3MUoWw9M0oTSlAXI5TgO
7Wicxy5In2Ywdt8mP5kuDoWD/X//1//6v//7x/g/wc/i3f/3T/6vvMveFRGVr//z32sWQya9b5J5
01RdbeF1OJDTCGIdTx/YHUCXkKSlnOduGPCu2SYhlWcCagRh4jrS1u6PKQbxVGMZxOtJ0WmuosL4
S+na+pl3xrjhRSo9tK5cookToM5N1eDtY7Gg1yMN+MEWaGrZXlQr0eMwd/qJy3TwTAVfCCsz/q7t
AYFzDDYeG6v7cX8xb9z5aMAxpCZM1SJVVBceZ1XYBwk8fLwj8jq+lGqEXyVSHccmaGEImn2IBk+S
Hu4PerO2vwdl1qoKoE5f2ijPUzm0oQXqbW668rNqIIydl5XyFjn8aMPY/nYotohlGg7utTr+ZYvP
SLNsbPE3gGBWls0xF26+h6ra7kcfV6XXzsrUqKloljBRJrTVhcmX6et9iQY+YpPC/lC7cfpmNKpf
ZtZnz68fiLek6VpCo4GqLkzZUs22ADahFoBObrMbqQi81YmqR3rgsDPvj3VjAMdkTAcTSBefPQeq
7vXmhGGL4Urmmp5AbRQt6UnfJUZBwwKU8A5DjP61h1uO58rPRVzR4cpdjxeXbYDQGePVoPFPaD4q
B7Obs/evnhW+nrpLk0KltLH0s86qYOY2d0g4sSPz/CJ2jxBGUcZtVcRPjMH+cH+8lV2oCwG319UF
HaHlEdcUeLCZCgYvVbvG0y2bZm6FPJE5OPPn+0OtfDDYlbrFfhesobn4YL0sDWQRdhNzntqf4rKj
4SBK81eLQOEJvGr42jgpTEPVwfJRHuCA6XLqf8RJBT8ALkhQdApivOc5KMjIgVB53N5bfowrq8i2
wMIOiSYTdszigKFx0EriAoIz6ICeMXThBFCd8eCuda+1IWRWgMCIU/zrsvOvZ6X7MFPgEMmzbFY7
RY/Uiw+AsFZicyNArX0vYgaxEKgt0X/xvUodkOEYMpUaHAMMXR7YQzDGp9AaUFybq/h4f3+sLiJd
U9O2MTtXl07BeH0Mae+yFXNckE/jYAR7E8+wU9vEv/7FSLprIDXiqIIL+3oNIfnjnSMghic1bfm5
C/xDXRj9IR6D+t9MyoBOqbKEtmUshgpI6U0tGolSg45OHkoBF8uHdoHwg9hwjby9rdkZyHrSVwOg
iKft9ayAkgO68ZEURgsnB8w8oJpzDMjHachjF/prqGvgeq2u0AWZwSU/TK7Bg/dfLK2jOq6pOY7h
aIvtWfB4z+sRnQfdVyo8kGCbU6ysz6ozxBsB+fffuk5P4C+rmFjYKt1fHOuvJ6wGWVvQEDO8fM7D
F6Wmg7NrR6yNSlBmb9UwTd5FdW0+0hxrnjDDU99y5c4HWu3OBSiO+DklZf8TWHbu8L4Hm0V3PznH
kUZxV4H+snFhyanf+7mL76MowFQT2zG8hH5FkId0YP0R6wOMLg7ItateNrURWsMIhdz/Jr/zznsj
69cLhTIKFJeBkRvEGwE8oCyXOW9tCmdepdn9oyshARQJfvm1UT+pURaeq87f+BVrx5vgz/eyZeBy
FuEY8pAZG6B7YPqhLelHaIw3wP0viIRXG0PJQ3UzXwQUOOHAgG17cegoucQd1D3T89tvFhjNE02Z
nLYuOrIlIkL3V3dtMEMai4L0gP6gL3Iet0xaU+rf0nbMA80rNLN8UkRcn6xhTKnFm7DONuanra2l
Q6WAjES3hb50M3bhWJNF4MGJgEuDti9eBCCw/fIiSNcvE25fgFF0+4hc4PCu5Kagw4UnwIHSSPxJ
0V37cQL1Xe3hz6jHimL56f6ayKth8QEgFWvIpzjU+rhCrjdcLpe/QEILVBzESqcCb2/SejvcH2Vl
FbiWXBJaLihdVRfb2p9Huq/IHnjNpCKpayKQIix9B/d+Ot4faSW0Er41LnadFTfsxd5NB6MHbUfu
R3eovsxh7l9KujseZRTZgrDzU99oIVqQrvKEc0j9+qBKQk2ss6l5E1UXWywbYX5GQ2h5rlIo71tb
hVuhTmXxBOU6fbk/1ZXtbGFxbPJSYGNpywc0CEk4wBVjARSWLgAGPrXU6UBTzxXEMqzPNtZ25Sva
3Ix8Qgy6Lbp513sFEx3EPC1K+oDWmodqSND+K1vnqdYdd2Mo+acW25KhXE0nreHlvLRwxqWnwRjI
5zJOBS2gtIk6JEqjEBFwTNUOg6nqb3DGUjYixOoMHd2xLTA3lqXJ0/JHIgqIs45RZ0IRDdLFkTon
KJISTXRYHcX51V+PzgR65JxhRyA3ej2UraAlD72UJHf21Q9mVcb0DcAdn2FVJi44vL7SN4LR6uxc
m1cld74mnMXsLKPViIFsGDUI2uqgICr2BmUTK95HUMtf/1xhFfmEtmPrBhnw9fxaHk6owbGUKKvY
II3IcwR+3Ye6BN55fynX5kXkclzdxA5WGIt5JchoF+CPLQ/CmYXBEOrDSopHbQf4cGODrF3Q8gTw
eKCkA9dzMS24+qrddUwLkycReKVT9BYwAVGcEdZX0DAOkRxOBzcfeKdNw8+6rvoLXj71w9xpJOev
n7nNXUbznKBqWYtw06S4QokBnUxMd8W5gwF1HN3mUzdAiv0XI7kueljge7gtZDD642TwesOglF9A
tqhjKAA9DKkjHdwrjngba7x29oV8n+GqRt/XWVwWzVgD0WqAU5TAfS/oMdJlw71qX9PDeUA4WrlA
TXT+xXHkfQH/lshNjcK4nl8g0HmcEM4GUZwGMG2BYWShrX2dzOxczq6/8eJdnSPtI2GSYqFnufhw
BRwHR5/QbfKjonsvIjP28OCZzyhqJE+wBLGcQKvw9c9EYrchoVUaaZ29mOOMBB34OqTbU7Cq2kGS
RsEJtkJ/dhn7uxWF0df7u2Ztmo5w2JvsUJtod72qKKGZ/oiOh2dPVvNpnBEarwvgrDGOpJ+H0Emf
ukGZ/rk/6Fo4oK6MoqjLc860FuFArXNRmQNKCVBhxn0xKZNnpwoEAbrFp1cPRd2TmgxVQVkEWqwo
LtuSaUbvAPqvtg+pVj5RVk6OaeX3Gzfiyqwok0NzUgVvRnKc66XsoC9BympQinVV9ZiArKQXktrI
Xzu/7k9K/qXF3QvNj01J/kQ1Rl18tFH1/SYptcYzgJU815hWj3A9czw6748j9/jNOAaPYKhylEms
RSh1RJUnMdK24F1q98xZKU722Nj4jhsITs22+GT0YBZKrkNMEETy/f7wMmIthxeqDbCERplNpeZ6
QZ0676xAGJx41Ro+CF+d/wLVjWSp0+fHasqVjYrrylkQeJ1SIafGZTjLCNqBTRRhQkvRmQOYR1kh
fhZqE3gR7X0ETKQ9JRDIv149SWI28i+GYagqD4nrSSJ9jGg/WG2vdxGnK1CJeGvTnT6iB4mmCS/K
jW/6e9UWq8qlyP50DIszKBbB202HiTZpg7BalyTfrTATP2SI/64KKJ1wp2r02bVwDKEwzZA+QHMF
HzMqkPb+/sRvV9sStktGYZBl4Sy+OC6QOZBviiiUqraiv8c0Mf1FSwIHVAgIj0glWGI3QbAxd/eH
vd1UluCYMn9oIYg2yFP8xzVpoy8cOZgq4V+I41iSSykTbCYv8Fl+sgmjjVmuDqc5ssfkai6X5vVw
SBZqUJcAOUkNwI/geMxLncKLH5URUnZYIDP36vnJFcXnCxK8xhyvB3RsqUpcDA30H4W2ZGxk7Ye5
M+1LbPkDBppFuzHDle+IoRtjCu4R0tbFRWlUfZThsgT1082ac2SUqNdj7bBXfD85h6HiX2ZF0d/e
n6WMPNebmJo+8ZwnDq84nlfXs6RAW9BG4qji6QG6qR4xGUzIeIRWlv/YYVX9E7cN/gGQjDbOz22U
lyPbZAa8x23gV9cjmygLTXVlcWGiX3qg9SwuteHoT+j8FBstw5W9QwVXM6jKUcolCF4Ppfh6XIam
CcShRLOxHqf5ALcasPNcfih8nLzvr+nqzPiC1JVA15nW4lZJMhEqcwT0BIpzfizIIIH5+8oR6Zx0
YxHXPp9Ggce1XdpOqlhs0lgf4XhkUj9mhgDY10pwMNHdQeHb+EzjVz8haCRtEkZlI6uTQeV635Bf
MaTjkkayoovNmgwTzkRZ3UIBob6k4FJ0jCh8bByJ2w/H+4PyMfuSUHNzBnsNTRKI363XNDGSOpAC
9ojQlEeUOlEcwhlmYzk1uROW0xLycUbnSSc7XhyHWi0RSW6NlqZTZT7HKS/IMM4xNTONKsK1xa9P
atlAFrDV7FxVGVKlkdse2j4wkPUYqjcqomqf7m+n229so9+nU8qj88wNsthOIK8DKHh84yZLUYfo
CbIvQdKOJ3SC7C9tCxPzHI+wC/fguAFZ3h995RO4vDPJ+vgH3sYizLvCHuHlVjT2m/lbgPwxjRdM
picoTYTA4/3BbvMkopBGm5ZzYxn6sv0sTXERRMSdQgXafcaQC5EdMQ9nP8Myl8KauBRBhphk17bx
wQKK8Pp6sOAQMT6/wkaQfXGeUkqkKgJPneck8T88iJo3OLT7CMkm5vv7U709QIxEQgaFlLub+V7H
pK7Cmi+xwNvoYw7juArbU0S7c2NDr4xCBsYDU6YG9CQWX69SXGS0VZ8FnV1ov5j/PCg6Uqn353Ib
8IQsQcrZQG9hu1zPpUCzFiXpEXlWKec1hUZ/sbX4xRjm+fQvRrLJ8AxedlTNFplsj2gZ7JUBY1fA
yPiZBuIhQ3wYvQ8jvdwfamUvUjvnEaKhUk1nffmBQgdbGltqx+D72MCS6KyjOerDG02nXr/LjCb5
mE3w9hrRV1+awX59JRn1OSBDOgAFm07n4twj0Et9JwNGhXlh/kQ7fD4UA7qUiTqah/tzXfuAv0EL
7u/Pt2wIogHTd6LTB+R4KmhSCWQyuO/xO9QOtzoTctmuIyzuuMxIAllUBKUXO9LxManSJtiWlTEb
H9C7K7+Uiq1/0RXwvbu+ddx9VuTFq68rRgW5xoNSo3a2/JjI9YxjGpi9NwKlfMRYqdxrg2v9i3OA
wR11QIknoJF7fQ6GCWNo1USiHcYhuqCzgVarMdceXn6vL1IxFd6TxA8aq1QEr4fSdBjLgKyBPQks
SwQirQec8KxdYCDH8vrNIWspEkRAB9xanDm9bjAF6o3eq/xmOs0uytghjeJj2o/f74+0Fq1oxHHN
SHgVzenrSdmtkblzittGVZfdpa15IecOSP/7o6xtdi5Uw4JbiyqmtYhWpeFT+ovhXlYOtiGo8iMF
XVvVeW6LfuPyvBmKSZBV8xLG5AuEySJLmtFZauwOb1fV6sUJe5TpXA0dNQZYSIf7s7o5V3IoVs6m
SEqmay5uLgUjb3hFyB0leRacgT8HSBC14Ts82Zqvbm9CSY1x7Cg2ZrgyrE2Wi70QXQSumWWUpJXN
PijxwuQKIKtuX7BN1E5plug/kVx1CkSgrOq154wHw5+DLja/hRROFoTjjJZdATlNx2AHVY72OEVD
f76/rCtfkE6eywwNIDTqDRQp4gmko5nglQhvPoBYRplT4OcGANzcOGc3eZ6cFdBJ2rWsJYCJ693v
Ay6JjDGRxpzpiDUb0q6mgQAP8AXlVPa6/Y08LPkwimbj2N3cdIuBF1sHTRdg9WY4e22rDUfegagX
RRZUTW2OywfU1sM9Sl4w8DEffqKxnG0cyNU9xGXAwaeDQmX6euKI7M1t7WJ1ooaYUO0iFVnLfRCm
+ZOPREAMRaNCGWRC4mLjil8f2LDQnaKLRsZ5PXAtNCRYcdqiy5f0n1H9qP7WsSE6QYUR+0oV8ynB
BPL1B1X2yKkGcv0BBFus9lAqrpb7hZwtIH6PklWTPXVtng8/5j5X3vVhEytUcIv6x/2tfBNdgRXx
CqZ6SwHFAF53PVu7mM1qQgHHQ35BmWGTdKDicSwWH18/DkmnQbrpAiZd9t64LvTKqeFP25ShpKPO
VPuPYQhvZePzrU2I0ErlgiOHAeNiQlE7CzP1E1VqImPeWuC/MDf9Vn92JQKIP0dZHMswQaMd4Q/V
Qw6kPQnbR8U9dKUKkXh1SYQvRLJOjwRyJg2axXWBjlSV9aEO6MYu9K+hMmnv9U7Q7QJPtL//kVa2
viCpxbXelr3nJY4OoxzHzVNf9VB8Q20PzUpUwYfpUveqcw5w1t31iLNvfLCVCEe+Ytu0DzTEN+1F
JqGKUCiYbGlIzGX1Dyovf6OIOD8PxIRHKPj53pqlt5wrEJW/P921j2jLChfVBOr9y62C2V3QZgm7
pMvs6QQtHSPGGJafjtbOxuW0tivJ2iUgkvT9Bizr0uupAwuJEArgxalQi2ovKCpsxEwZJa7SaLYK
xUIgfAL2orPsHAoTyc9qxsUNePWEeqSoLtLv9lhJu8uhmvSNhtraAsqKiAR3Cl7HixjtjljGYfOl
e7WVZ4ci7KYjzl/TCV7jVh10dShBAFFJ1y2ek9dxSq1gQtFs0r0KUuKBaIkwIQZl6E6KLYjs6ipy
+1FXpDRIq+J6qCQCrZ+JVPcaPDEvkBjMS4l7ysMIc/HtYBnB6f42XDt1fDIio06mRnvrejycE+K2
tZmaYdQ/E+iK56iFNZfgkLtvMYzAvHouNsZcmyNPnt9lc2oqS8hACeA9yEfC/uS2qjdrVRLvp2rI
cjj0+DAiQp0/3Z/lbWeEzelytYGeIbjAl72eplXYGAJMLoE5drtol0a/Ja9HVzsmyCcjXIdqGHHO
OUahhRodfEPt6BcqNLP7P2Qt3jBvnvDAvmjSLOJpIjR8osII/Fvs6O8UDFlUMBr2cKKcNvzIi9aC
uoQsfd/UxhYc7nZszj8BFiM/yvnUkq7XoFQCe+wnH7uuIq72nWmOCTp5O909wk1q9pUZDoc2a5TD
/SnfRh+GtTT2sikxWcuHLoR96lryYsdb3TyIKfbfJGjfne+PcntE5QCgvXlJc1Ooy8klzjxhJDeC
pfUtAk+AmRZyL8exrL68eiRhEgXkm5ocbZlM4ItOkW4UOuxEQz+4yRyeBsetTto82BuTuj2cNNIl
cNexAWPcgMwCO7KUvImA5rvIqht5gXq4qiBLlTv+EUCsgtRAswVUuj2d9J0BhfLe5TFKG+R6m3QC
MndnAeKDuxmdzQpv2xqbufPYwrxtInDEr11PWU7iOc87kV7Tcj3zPkka/KeQyQrnDq7vWBMZCh4e
Txn4mo3NeHsGrgeT2+iPFmHZ+eEwSASRqFuEqJ0GrYigM/bqbA1Y9cLbFwUhPsPVe6PesxKCdGBf
iCmAPZeJziLSFqrVWgG9TzrusXiDjWHvKaH5kisWbkUlsqcIk2IfOyJhWtU4HluZ3m+EwdtPa3Nh
whST7BICgNxvf8y+iFwnbFVt2k+14j4owxScplT45ySrZhSGpq2U7vZQMh59aGgsDEgF5nq8FAlH
JIDcCScd3X1DxXnEDC009oHZbRUbbj+sUAkyuqbbPIshYlwPhZrMOKOVMeytsu5RNeyb9lPkotmu
dW3SQRkerW8Yr9SPAW7sG5vqdlkZm48KstmksrKkWKWThp7qWAx7B6vwNwMMmnNOQRbdK705harW
bWTKt8sq80YawaQ/DhhG43quOOaMih2JAUPEiuDtxuMOOQ2MTtX65f7Z/N3yvE7qhAS4cnXSWpM9
r+uh0rB2qdgH0x7rWGQahww80a42sUoF6md0n3s0s97ZKO28BZU7ofUf0xzZSYFoPAow2N0NaWZv
9E5vLxShE4BVkmZ5lS1RgIhHdSowYlRUfBXTQeR8Qs8Y8unX/bnLq3gxdXhclkxUKAHcxEF44rhu
aSbqCkGDghBUd9UD9FNFJw3fUbBpBgAHmFLOHrnO1thlE7p593/Cyoem6CJHp1iHGITc9H+cV9P1
0Y5NHDa1pSZPpAjtWa0t9QHAvLHxEFodin4aFBxiPsjf66Ga2CALabRhr89KixdaHmqmFzYNis/C
GLqNx89KMKRYzIPLAAkn33uLmYU9X0JFsgQlpEHJvU7X4EujqfNgQFn1+laDt25M0QmWsPPczHXw
Lpi1Lb7n2heGO0uHyAHGDSNoOWc0BHWtGPEX0rSnSTfwiYmo3OXZjF4hbrAoXerKPk3h95PFdB/v
f93V4TlXBA+L/bx88Jpp44cJgWOvaYmFBqVGQznpoUU7sTWilwg+HpB1h8pDiU2sIl6Nt3b4BjSW
JSlIvg4X36C1gXZ0Yz3ugz4rv5c4Fp4Mv7N2Q1d1G0d2JUJy8bCX4YRSFVmSWgKtc1p9HkZkUhKk
NHBQPg8jIG+kbiJUb/T2dH9p13YzwCM6t3QyNZKn6y8bY4qZmILtVfXu+NFmgD0Mx/YxLqMtJMda
NJLFEZkugfVa7uS2UzGOjMA6JkapF5cwd5BbwggN44H7c5KhdhGPqFFwb8N5hWG7pLyKdOrLoOCG
KyrDecQc1Tr4BTJERdfOH1oL0WvkttzD/UFvPhwiAeQLpLkUQw1StOuFhMWemmknWq/F1yHe5UPm
PqVtaX7FVtR5jpWk3oi6N19ODog2n0a3BeLhMg6Zk1UPUwHcIUlncTbN9qOmKOE5ihptIwatTk3I
J4PgLoGLfT01M0zLqhoYCbuH8lxWaEVHSIrtqlQdLx2KGuf7S3mLXpdTk60X+t6guJeQS3TvA11U
rGWeIQHRhWr4ZaRJ/mCYPT4f9SginFFS9UXtLOMp6XzlWXGC+IwyW/fq4hM/RQLXIHcIKM3O4rM2
1VD3Fv0Rj/+o3qZ+ZuyRVoQbYHckE/fnvfZFye6JsPDQWetFCtFrmpHMgnUu6ZBksGRRHKYvhOyj
oSTjX/cHuzkkTAxgFYIBlIQIrIvUaMRoUJltBqM+OX+N0PV9qbrWfV+EEZoBgz2DEoH45H69P+xN
EJDDoh0Ay0yCgpaf1hQNf9lCzC8b/emIXIyPDUahHu+PcnNhyFHIbuXrE5DwEhtsRB2i7zWjoNA5
7P0BTSUfW4kdvqjwkNBWefLbNHrCKKPb+xbiSP9meFk7INGlWro4MEowgvsrbGIBckunfLSQ5+sn
1Efntr3Mop0fWmLsyUU6b4edvL9xfm4/LWUTTo2k7MBNMBel2noYq7g11R6vyXn+OvYYFvmtoHSE
iXGJsw0u9cquL4S6cU3f7l8aQfwrG8BsYGuRJeSAilAKpq9dJAzOWqvvGrt+i2KJ+nJ/gX9Xoa5C
PJUhg1MJLJCLGWjVdUiakAsy4iYkAcqRWT8MqqO80yKzTHbhVCdf1drWMdQVyjdcjfK3nRMiCRxh
do16cPpSar3y1CPC9iFX/WJj660tPiQC2XgEgQoc9PqXoayYG4kAtWPFfhTvGjy0dnUvsFdFBDjE
WgBnZWTwt8pltzuew2yQoLDuRBBbnrs/EmDeqiRvNQ7grssbdVfMqFjtksZuvtJR0mwKsEF8Mvqy
/4YE8BwcEX8em434dXtPSK49DgAETA2E1CKkzFlTilHg9Ayitzo1ato/R0FbftbRffuI7Mar0zI2
AQHMRT2DnJQk5nrOs8D1CvZW5w0ZZttJVCV7jCI7z0RIbONIrWxtZiShDaCmASQtpkajsRG1NJVP
uY49KSXj+VQO9zlaMhuruDoUWD0pQoL27rI+p8RUOSsTNJnqhs/YYHWal9F1fLSR6t8CCK6OJUuc
pPXw0pzFCuq9wJi+NDpPyXStRvdrKN1zkTTDUXXz6fP9Q7uyPSRHkqwW+YxbmaEwdGV3mMHKilY1
Jc7nGNVbnLwGke01mrXDxkre3jVw3+CHAMOi5sBlcL0/uAUio63ZH2JKh+fZJwJqJZHg/rRWDrzc
8Lz+UVBCzmUxilknCIKOFQrNsx6N+9ARMWZTYZVQoRIuxhW1fohLH3fE++Ouzo4elUV+YpAIOtez
wy/axjqpJtD4ilS+pFB/glOJJuP9cdb2CCGWhx1B7ZaOqXY0i6lFdl6Lt/qhQZbulA1G6EWG2EJR
rA4l/5pBf4X8bxHEkhLyyRCxQwzc8zyyJO0h6/sfZpc7Gy2x22e1ZCLwOICSwEkjYb9ePQW+jQMF
n2DhILpWm03xT5FTocBZM7kUs2I/ma35V9AP2vcYzZAvLjfKxsKufUCSFM4E/CXi82K2I1ZCratx
U4RYGHiIzM7Hxum3RC1WLgb0Zyn0UQoCAmwsjng5hFlBy7b3sJOSfbjBv/T4pR6MwkEqrwKajBQy
mlhI7J4qw92ifqx9UpoM4N1caArG8ulslDW+7HQCUMLHW2hUkmqPbiR4NHvcKi6uDkUxXkK/KS0u
pbYaDPqQcSx6b8hjRA+rKd73FgiDUbrpvP5MkH3QCqR2RzxbfDpoybFRqYjuBjy3vqt9U36SirQX
cKf+xk5dmRW7AxAr7RoEGpbcGSQ8zFyZgbL6vEL2JjzWgzKKYZcNjbuxIVcCNLVH8IjMSV7ii60y
IF2qhSl2NerMDRDpbR95eMegw9/oBSTixBwv99fxtmrKmwoFMcjzFCAo7sjd+0faUgMA7lV5r+ZY
cqW7LJ0L612nDAO8z2asftitGbXeJGhE7Ay6Ae+rTGj5PsSr+O2Y+EZwwBJW6/7e+FkrR5PuBzU3
tCB4PyzpPDEeMwoSYVz3+VgdlcFOqmPXYrV5IWiUP20LSzVvipVQ/9yEg/0moQOBwGIa5s9m3KfG
02iF4miMtAs/tODCyo10ZOVQyw4QZV063+Qji9ivofOCOWvceZjWTns7x1g7gMR6cKvkbVT12YVr
SsOvquqOsqv8+t0Pj5r6lKD9RStR7qM/PlohLF7kNhMuwyja9a6lPEaB9l3t4JXe/xBrm9/gISPR
e5YkVl2PFCOZrFQ80th7eMFAHGmwYUVq2Johz98fauUal49FlhVEAYjxxVBIz4UhTA6SybCaHss6
mEhjaxxi0EYNTpU+2Z5W1VskmZWNhoQZNCM+IxygZZ9JRPgooRbUe9iwobmpj+lXHB3zDVLTynZh
FEF+AvKS7sTyYEe6Fvcm5WJN67AWnVv9MWwS4283jsVRac3wKIrW3kdYTiH13ph/3V/a38Joi9ea
pDlJXgakUqi0158x6hFqzgbaeG3v1uZZ931EwJCX8aedT3/C9/yqi/0DthuKefDDopVa3aL5GZvj
9Cu1OvVblYfVqeiM6Ii9cHgZKFl+apQksg9BMpjNEbsZXdlFadhQHxoIowcs2ewSVGmjRWfHSocU
7x4lP6RIvxYb87t9jZJCUBemZAvHmhrZooiaIKnd2mRGCGi6n6OyP7m+jdsaLte70FXcY+JkyW6Y
JnojGV1oTYY6qDkvWWS/z9vgYlrt+/tLfrOb5Y6yoVnI2s4tWCXGxCiiyEwpKZisx7Yq/GSnVo76
GFB3OooWy1fKTXb72hvk97AGsGlJu6AjdP2hS6xFTfzBWkD0rsvb3G2OZoO65uxP4tB3SbNxf9zE
h98Hh64AY9HSXB7ajLJVGU5ME5k891RW/XBO/Q5HEtgXG2n+2lB0gmXL1CHnXrYSedzGIOl9Clet
iPathVG0huKgl3HwNlZRRu+r48KsoOXRnuUByH8ujkuX61YTZX1LblrDDExEa/6Np5v/pe3TZh8X
WoH1TDw+d9O8JdG3OjRlZYfUBtEXc1G9MEDUwDYe+ICzHR7iSjelgwQi8eMQPGG6GHjo76PzPJZb
8Kq19QVVq+kkcPLhu4hRidKEiGS3lOzKed61qT6jcIcnMIrEW5jlmzyH9dVBOaHgCGYEBPH1LkWx
3Iotd4IoGIBxpZA47Uc3mneYJKb7ubf1DUDD6nhSWpTRpMLW4ramEslHpg3gqYiyHbI4Tw6VaZa4
eoTNk42PzEbKuDoeL0ImyT1NPLqeHxlXPA5z1HFhJcNfbVe5+0Zrigt67ZhpQf/byAd+b8jlhgWm
wYuK/rcUXboeUFeKinJ4RgbUlpGG/1WcVcdQ6S3NMzphvc1iO6P564qOe8dVgreFarbDOzXskEZ3
Y4AmO2w8cweLJaTUdy32zF/4n/oHXF/wIL8fGtc2GgqehAyoFpIjdv1jeXuOmhNykBOu+4M7OvGz
H0knA/TWX+4PdfvKZKchdswDHdgDD83FSQ6GiA5pqdA5UVTlhTNbviTmbJ5FN2nf2xrbIMwO6+iR
KGD/ZSrO/FNT687Z+D5r+4FHNbuB8gs4CON6xiBmMU1BsdxTU3/Gqzaa3pitbn9R/Sh6KR01/Xx/
2mvjAVMCvYdSnuRJXo8XBkaKbQb84rYzurcjboPdDicErF943ycYTpdb8JmbNIp1JmDB1zaouFLq
vB6xCpJSEzVEV97xykeQZrjThv5GFrU2Lcnpo4KFLgYF9utBXAQd50FIJXB3sh+aKvsQN6OOAZDC
A2Ds9fP9VVzbp38OJ3/OH1m2ptVNqjpF6/XYgu/DSHe90E3xxGti+3B/qNWZUfCgngrEmjvueihU
dHuRtTJ/cerpiYxCfV+Qjr+U5HPFTpkIwRtX3NqIVAMkWoSACG7vekTVx6WXdzwdfKcazq7TNrhG
9/YuDySoFF7SxhH4fT0vQ5TEr0NuUBERXSIYZkFwHw3u1LAfjfBgtY3xXqemYx/dMKo/KAN+AYjx
VWN08E0s6Q5kOAHGSHXeftKUfhL4n0iDjVAMgYUZdTvmh1zXe1yn09I2IL6k2rsY0wbqcameXOKh
U8xdb2TxP4Oph1iitH6jb3y3tS1CnUzyXKGE3AAsGz6MXVisoiuk5Sfl3GNrJCrGX0qyETVXPxhd
ccZC5oRqxPUHEw4Cc7lFSwsJ7ulQ95n1nQLZ/+PsPHrlxpk1/IsEKIetWh1OcvY4bITxjK0cqCz9
+vvQ31241UILZ7wa2MCwSZHFYtUbMFSyLSUAvrX3wt2aGidZo7NNHOEFeD1erC4GpoYL4+kUN0ul
Nw6dU6Rn0wz39uLWUNAoAPkhaY7I/mooDZllio60eJ08TA6xGMVzOmP70LZlsvOe3UivKCrwlkR3
BQDzupM+WIo94CLQH3qIKT9D3corvzbn4WCrinhEVas4jrVaBaPViz1Q88Y0ebOD+TXolkhY5fWK
Qu3J8DuCHo+xMTZvwuoumbLAP9XG7HQ/nmwOBefUlfBNE02A66EcRC0NUZJsJEn0a+gq46TXPbid
dtyTeJbfZnWswbdJDC5kULblKrVCJrBbUpULNiqV6pgW6EuYVq0eXz8fBEHoI9BNhoy82iHEX08v
MYI4dBZ+OjgON+NXgVPbwFuzzn/8l8G4NlHMlFKkq+80e61qKQnZm50sCdzIsX3MkSR/M1Wt9vn+
UPJ/dbN64COlrDLguTV5b1rQ9k9zyiual+CIo1feGQHn/pRlo3UAT6hRmsYG+f6gG5FEcmplPkJF
gqfU9eZI0eFY6p5BwbaEzz3XQNAbo36aQ206DBg77zzctibJk03C3f/3rrkeDzOp2XESru3eRk1y
NPvxA76r5oXtBH9InZvqAQ3S8vU5OPmwrB5K/DvNyetRl8lsLQpx3DeicSBqjO4DopbzKbaSxo/6
ePgPW5TOCU0orm/KgqtdkwF/rBJZzYdJVx6B4KmXSoGViJFvcP/7baynZJIDAgTBQfFwNTPZZeha
R2m551wzwJtI/4I3lK4GlapiKwW0Vkn8qdPN7/fH3YidJF5SyB1VJzrrq31DMA1FI3O8qTEmCSC2
fPy6qpeqgF80AVrDNsiKaeAUYuf9dqssw1OBZ6m8hijxMPnrj9ngkew1fd8d7KarPmR6pQsqDsP4
FqOI6NgWXE5OqhantO8qYKFN9x5zNgxaTVv5p57VBn/HtPoPtRapEk37D8gx18lqPWpjMnoMQYHl
q9p4VCyhP0TQyPzS6+YHO7LU8/31v0VlyVWAACW7EA7Sk6ss0WjcmJoztQFNoUx/aJWKBCnTi8S9
YFm3fNDmsjVPPaajj9RnMagdlWxID2Y9N78GdyB3uP+D5Kqvohe/h1MN3FqmCKuvogkkzHSV3xNP
OKTluNQeFFX/RqniP+THnCwaI1zaEgGwWmo4OTO1lpSCgVo28XkRvC792TGw7qutIn6TegZ+jfdn
txEm6UpKYSgpfYV+w/Wec7TCqiFjoZnWj+I09L3mzxg2ofNvqB/QpNtTVtgcjztUNmK4tr3VIxHP
RzuaXcTEnKmyv3fdVB86BUNxHN/oKUxFvLOdtr4e/A5myAuZ22B1c7tdLDBsRUKsgA/pmyPS8Qa1
nrPeKf9lKII5rh3EDSBZq4ilLA5aUAKlyLQyaIFiBvkyzd6/pof91es/GumxdMbRKL2sQaD4/eVj
o80tVD07vljtWD5jzPJVsdso8DreAveH21pDAiEJlgT536Dek6j35pZ3xWGKrN6f28k7mHA6fXvc
Lc9tJFp8KolwIAGCSbo6An3jWTMwHgrKLlpsJMzaxebhtBNptzahBFuC6AI9xQ1zvemx+QvjUKPj
p5e68RYNbf2gAyjznRq3ULq6u2xH+enXMYT8EfIC7HoMPFbFIC/Bvjl3OWXJ4JTEEIqCCaJ6GF9q
SbBkY3+aO1cJ+rooD9Oo2X6vF+05ahxz52WwNXPJuAThT1MZ3N71zDu3EXQTub81t8wOYimLv/Xa
aXxITnYgxK7U/db3ROKeo8dCQ3Bafc+ERi+y3nxPFMoA00eIMzc40797/QaVcDR4eTSASPquZ5Xw
ttBcfIgPaCWXR8ph/9ZuJD7UoDx21m8rO5DNUGjVv4VhVuGEsmIzGsg8HmxpPpt4bfEtHJvqmXJH
QfEpWZ68DHd7cofo4/05bq4kh57QKVFb616sPWUOPvXUaeKh0L6UVVKD5XCnnZMhv8fNRgVOSN+L
6Exqeb2S3QDKya4p0eh4T1/o/SffEqOsz7U7TkdjbAcURC39ohaDivVIn+wkX1uRRiK//394fXVO
Gjz+7MJjkoVR23S+J+vd7GmoI5ltcrm/nptfEh0mg2KNTidp9SU1PFd1DbtzQDkWbvBapJ7Zo1mw
uCnJTbgYB7ptzalDeGRnjTfPIHMkj7ZJddbPViVN+oXlRxUVoUIAajN+xLGKiiAZ3gEPjHznJbQ5
UzkaeEIZv1dXfGrhX9kMUr+ziPM3XlyE53koM7xTi3zKjmFrKh/Spe8+LJpb7VwdvyEM6w1FIgdg
k4I9MKhV9mR3sOd1N6K8SKsFN2JhDJq/FEv2F8gHVX/gBepo0twHGaK0j23u6TzDVTWGKSi6WtiH
LhWqB9EBMKQfZl5b+RMGw6PfCkfHrBx73C+YaI+Nr4QDirb3d8nWhrSpQUrcIhTxdfqgwEHC4pfI
EudxfyQj12J/Upcc3LGkhvyHZOXP0VbRcq5SrUx1uScVJzpNaL3TZk6K5DFBxmSvHrW1DXn+6795
QMjIrS7BEdxbO3pUG3CHQybJQa1SnQxkZfK5OnltHe8E6a3QwhfVYJXyYiVMXIeWaCnSYlZo2gKQ
Vp4Ms8FkxrTnWfXzCCbNQZhzNga91sd/pbnl/jPNJubu9z/nVhCVvADCMZB5dImvfwM+U7FiZw2F
sTxWn5a6sT7adjEe749yC0TgCcMzTgJ4cSLAivJ6GJ2vl4atC+mhQsAH0UY9/TdqRpiaCjvf8EM7
/FSUBUwrRCyLINHy+KcTuiKhWdT0ChXCiDbKOE3Fi1LidB9obY11yqgYS++7TbF8r/u6Kw7YsNaO
n7ZKaPmpjZm3rytaUb/BQVVLDlGOYm4wup14NTKHvUEPlVoHpSNUfFax0xF11hQhyzihlfJ2cMMa
2Vw1O3WdunPfbpw/rnV6xFhNUoBeF03FIhyR1VRVMmGZfi0q60KKFfo66s47e+N3v2gVqmQNheyM
2jNvvdXmSIqRRMbl5Q/LMy0PTl3P4WGJ8vo7pu3Ke5qrqeNHaV54D/CFeusj6iY2e9iKRvycLcjO
/jKn2otLEazxU7Xu8U9um/F9O7OUeO2aXn24v9PkGV3/ZDICJMZl2+1GVROmbTa3KYVeE8zAKZmt
+ugqenmwF739d67iOkGksbKtnai49UZHPo5qnuzhS/jH9QavndwWScxTuzFy843SjlZAfwM/94qy
SH9oMD7D9HwcMkRSxXgcZsXz7QalN464/uv+GmxsER6TUueQwht/5Jn/o4EFvh2RJ+zgDzD8jB9J
POhHTbjgXdthxgX5/mAbC+4CZeOFIrHDRM3rwVyFkoPmDtyloSif3awzDkM7RCeefDVENb34bljU
vu8PujFDBqXGTTwhA1w3VhsHMwyzWYDQjiIPqr7XH8xeVQ/I3vyHVo8rSZO/r2uK96v5CXVg57gN
QsLmUBxxeDWCAaf0Y2hQALk/q62llKf6t8TZLbh1cd3JKnJeeYOeKidwL/mhhbR0tmsgwhisxU+O
Ge/lXltLKZeQ1wLvZyiN199vGV070qUbhtsL7WCmaXcypbxOh8zP5f78NociweMPtwHXzfVQ+agm
Fv5TGG8UenyWTuDnzqvHAMHvPXjfFgCArir8FOgwEBHWMPMkUSs6/5QeyoSTlqF5caD/Ex/xWysC
O5cqDHibH9OkngJkoiNfHbN2J629NXezCAgUIyDEAiu60UE0nVqthxD5/WUuWnGq+KyfKFREn5em
djrfgTdf+HWG0dLFbQe4jZNa17VfdF3uErGc6MnRJnp9lPrsh7FsSMubdJo/3/8sG2kPmjQkor97
+VRZrz/LEIsqpybQHNx4KunnxMvR6I3PbaPlj6FnRTsF+o1dAEsOAS4qe+QEa2hppc6AVmzqT6Bz
8re1CCtYlmH0XNeLuneByc27ug0kLQ7dXAR+eNms0keSvSE0JqoMtZhC+2jMTh/Q5EaW1RpEeZlK
UY2Q+sPxrBmzcoZsHhW+rVjK6dVLLP1fyBFgPaBRsTpkNfUbJ5kor6jDHAfaWIOk1pP5aHl981SV
Ivrr/nibawxeTlJwULJew19qlQfCtPAoN7zeBlIW1wfKHN3jQEng1fkIbxnPIG6hk0D8WCXN1TRr
emejjm1GuXfBsizHNyRWT4XorJ1VvJ2VHIpB6JxBbLBXG7Ut6gnFMbs59Go5nSzYwb46hP0pD3e5
YLdnglI7IBC6jtykQNWuz8QsHJyJqkjWE5fGV/EoxxIwjY+LrQuftoB4uP/BfpdCr3cqC8hDQILe
ZZNHzv2POzsuTaeiQ8bcKObjgzq4VnUaFJ7i/sAZeZuWuE9ioK5lJDBWZz6hHuCVRyRRotaPo5Gn
gzFG+eCHTllkx7qwjce0CId/U7fQT2GYdFnQTJP2zNqNWVDrRvwuipCNP96fyEbglZ5AvPR4xktX
mdVEwkqZbTVTmkNmmuNPCvjFQ+W02UNZwDlDc7nrjihpemcUAtQHzw3VL5Tbm2jn5G99PyhhIGYA
fyEhIf/9j+VMvAZOepwRZJDJPiqRo5zUtrfOQ6jrhzEs9nTPN/I/pCep6wFqhPBD0nU9oNfEhqHI
qJbZs/VSTiPVBKNLlUudx76bp6fYNtGBJfIdumhypHDdSbPKV4uzUmTniCABKH0PbuxQzNkIXWRR
8WaKTBSndac/TzkOE2PTkrlTebxkZrpX5t9YbLJNoNgUAKW7xeqT1zyMpry1moPXuLB+nGp+Do2k
fTN6GbpGaAPme+IstwUcHR1qS4qySs/zddIyOmpZhRMi4SJXwAIIdT7ko94c6Q3iO4c/b2Anoxo4
gy4+3d/fMndenVONngmq6PRONNLC6+9MOXCqx5oC3BxjV1qXVfri4lm8kyltANuZIDIBUvZQ1nBX
Syr6NlvCyWsOqimQlQjtuXpw23n2u1DPWr9TEyc+KtLpOpopu6aJkn4ai0QLVC+L33fukFenJozj
0xIb7k6s2vrc8HFluRzQKe2d6yVQ2iRL9YSztaSV/skwob80o5OdnAiUS6CF1Ph2TvNtYkyRBI1n
yCE4jNhrBI0IbZUqGSMqKpJoRWyah7hznbedl4UHoXB9W1THdgbdmuafg66e9JaolsJWY9rtfWbT
nECQ0FPIHEw71N8O4WTs5EW3e5pzK3mRoKF4wK4f9qo6pmOUDc3Bnr35AXAZ3nthoxyrJlv83pnG
I0VL8xxhSrETs29mSh8C+g1VIGqh5OarmdaJM9s0+OHCKBjwXEyziRDBMIEEHAR+ltkZNa9oON8/
SHIHXx0k3qUkRDziYEkC/1rV1cMlTvOZ7tmhh11dnPXeaJ+tJtSeSlsL98LizamVg0GBkeoe1F5/
J+p/XAdzm3Uo31S8gKNFf1v0k37yRLmn4XwzJeR16FYTk2QU5GhcH4wSmhxfMBoDO6pHO4AfUwW1
kSNK07SVt/fw/v2yvlpBhqPCQc+OghCycqsVnFvdKkp1HoIEH8xR86ew9GhGLqXqnBYxaMtx5Nqv
WOBi/kGPxmpPVp6ama8L4sdxFCpsxk5N+xCF0bJ9g1NoN59x59Ci0whQ5t8lTvrvveqU0ALSHrUg
Yqy9vFe0SAkBaEaDe7TraOoeCQfVCxOP8kPCxbRzMG62J/OkOMmH+/1GWbdASthguWP1Y+CFU/1R
rcbHaFTq57TPncfctPakXze+otT1YSzZHKBLfP0VNWhEbZ7nJmKrvffV7ZzouUJk6JuhD8vOA3Fr
KCRZUAzhlUrnejVUOwrkZuLeDIRRuB+NQiueOtUqL/ak7bUdbkIoVxbNaiomAH+B2q8S2r6Nl8nu
Garu++kJmUc30LolfkxzrCKo9evP9EDNnfltfDkQMkjOsJKAZda8VmPRGyesQiMoSrt8nzjJQydK
5ACbEY/WrtsjGGzN8c/hVgeiBK0ntRaMYCnwUbl0bqROvrpEmFB5LaJpAzDDyW/N18MUWVxAcxTW
uKsBO68OfjK5emj2yI2P86R+y9AN/irUSHzOs2LZ6Rnc3BIkWSjbUK3hGsVfajXHVnPCPJIYHzEv
6hE5a/U09cavxYyTUzEpOhIwTvFLtEjl34/XG4vLwA4mgnxMHimrDWSlOUI+kAaDrHPEcRl15RP+
Xb+qXh3eTB0Of/aslcf7Y27sH/henAvpD0uMW012dGuHCjNjDiEYqEPZ5t1LgR0d6i46NLBydp3T
/RE3TuTvajeFPso19LSvD38rutjrlxoIVReZ3zS1a9/MZur9KDGV2Hk4by0oNUz5NQniMACuh1Jy
jMqL1iVLrTq1LvyuoTHx3ulKB0X+jmeK3rjuu7HGt/r1c+SlAgmA0gDvFbnqf1yGiUCE2Oh1LWjC
sDeOnSHST+TRjePnXtHsgEC3FpTN+pv0xVzXnsKNo3dZQhsjKMvQ/WJUc1XRwBPTxXaT+dP9iW2d
DTqTNGEIqBRtV9sFlDUE1tnSAscLG5LkThue0GCyLjUvbh1hYBkJsF+geDvm/Y59q8x6V7exR24K
ZIz2OaOvkihi65KKxtQRwqyV4WGmY3VxwghvYzFHOJZBrDM/FCTHn4rB6n+VLUrJr58+kGJwqLJp
ww+5/q6WwS05tsII7KxwB58XWTqdzSq3/s6zRiWjHKtjDAktaGfkQncG35o+GSS+W1Sb5BpcD27o
Uw98bTQCK4zL/AhGLxJ+GuriY+Zh6mjCg32Ccm0HqGUMR1sx917gWxsNlgTNKhpV8jK9/gEZ/i+N
QjEMb0GjDAa3U/2k9syLUi+vrkMRg6U+gVQkQgNmnSHEWpbGjsdCF2McBXns9uci97KHAqz9zlnd
ioAMATIQgAuZ5epm0aNSiwonNYI5dI3oMCLk+5P6jTTUId96GpRu12L0dkikezg/qF0DPYQ0cb2Q
kVXVIQrFC3FpHN71lOGO4CEKz+dvp7/r0Hg1rhnpBvSCaFbB18PvaTWgF2WN3Q7tEuSann7FOegJ
ORpF8zN1tsgcLN5B1jztRN/bgo3Lo8MA5g+qFDyLtTotk67m6YA4XJBUEcSPaZi0p9G0wr9HM7c+
5uEcP3dRWzuHuS7tCxDCEa6ZOwAU8dR/7x/c260LbpG0QVKJ+NJrBu5gz7k7Zgoa1JVjfFKdKf5R
qsJ8qUtRfrk/1O0xJQuE3SyvVJ5d6/RBN3ApSZt0CfoqoxlS6N4x9kqVemFrffJgcB/VEZw8t6tz
aVEKPN4ffmNvkYRKrRNAU1jbr0oH0eyUNsLMC9drk5QH/N/1yE/x1yE50xvxPCBTsPOhb69ZeJfc
5eR2lIpI0a63s5ua9gC5YQ40aRA85HZDd0PxjknuLD+0BFX8THfe35/m7UXEmBAxaUHzcOFZfz2m
YsQgwQTs5qZNks95ob9rQxf8uucoFw2ZC7+hmhYAQ9gjBG/tJAlBIFJQRaBMfj1wVORZ6cWZGuSN
Np27SY+elByX2azLop2L/Xfoub7wABATl1xkF9hJa4ghhLsmH61pCQzsCbF2ROuR3jb6BpI7/4bN
M/r0xJ0g1cfpwdGi+UNC2fhTU4zRo9Ll2YsunOhyf+G3PjZgTmCVwB7JAFaHup2KtEK0eAmSBdtb
PwtdkACichCNKxYoX7NulQ+lZyXZzvW39cVJpUBDUHQGdbBqTaRVFmWS+x20dT0+e4um/5UNUU7N
zij+nadGPVXOkJy0jCLw/SlvHSnCFwUOcEtAbFb3nlYhQIKKh4pEs969mVqtYq6a8gVuaffYxFG4
E0G2thgxRPIycIWE/3W9xQpQkiOsHq6HqOhP08SVB9+/P1eTWwX3pya/1mqHEatYTdk1g0O9Sqmq
wkgqNH2noMim7j1S+aaPCM34+f4oG5+Oeo18U6GQTD68OjNCTbLZbdM5iOtiEsgsGM6DKFXD15Ss
Pg2jVOxvkw79W8ruys6+2diwZGrokJEj87Ral94QFhdDi25ysERL7S+lEA9WPepvehFXTwi39/6k
TdXrozDpBHc7zw/quNbqE1ros1lJUs5BVLRmUJpm/JjoiXVSB+szXEX9fH+Bb4vZOC2B/yJ/gcZD
J3Z1wRtFO+uZLeYA5noGUxwZhkSb5tMyWvZ7RBCr75pJvWxWsNeZVBGJY9Oo9jnRw+xTgs6I7tOj
Mw+e4FG089M2djM/jWhL34QfucZtkcrhqNF2SDlVjv4u85TlwRl68RETtvJH1JThUUVN9Tkbm/hr
DQ3yn1QCWH04ytVJH83kSJN+fu6IRRc1Q35w5+fJL7E+AZS9ZHRld1JeuD5sszLX6BIPE7zUqhWB
UY9jHiR2p39rVUNxTo6SNNmjrUbRPyMutNGhikr1uY3sbE+O+VZqgo9ICQk5KC41aWd1/VOKFJny
uEKJ3hrauPUL8s8T8q7tk/R8WY7gOozHWc3ni13O47movPKfHuGd5FiZIPqFo5QvODSa58Spi+cM
JNQXlI8Va2drb+Q3REESKaltJtPz61+ZDMLBeVydgjSsJsTiFzN50ueqeOKu9L5XpormYJWWHUtZ
ogqkdnP41/1vtnGiweYhVy+1JyS+4foXWMLJ1ahWOVyJVaePURzmj2KIh8927mIjMHRdOxxDZ3Ff
fw9QDWZIaEhS8G91D6Sd0Ae8Y6agVvo6PzUNMMGfcWMo1anUMeK5JJVT6A+vnixEBlgG0OBdWger
CE0H3ixL2Wmb1KSpv0fKHF9S/DfE2c3yKvGjVozLYxoZ86sri1QTCdtUTghiHLfrVcYOz5zAlVEZ
arJaBG0LS8Y3MpELOmTKconT0Kj2gsXGaZSqb7yLcIsh7Vld8lma6zDfMi0wKwRdwI2M2bNt9vWT
N8w/DAgOp1Tt301eNpyn1KlQx1X7j/cX/DZeUZ6Aocw9D/capczreZtGuiC45bUBnmf6F4pFFr7u
VqW8b8tl2Fnj21Y+CG+KmlLmHiItF8X1YDESLYO6cFgWfWyrp4IAVQZGHjvfzB4Y50uxzLN78sxm
Ng+RNZreoQ1bxXyauqJadkLhbS4ARAsCFBBi8lsaVde/BZ2AxQuxBQ6clLAC1F2DDgikYOf03mZT
18OskoFurHE5do0eeA78O7/w3P6prUFeiKlpkW0bzNP9D7o1IAeWyhEKPmjzrvZUl9q9NRXZEKh2
Xl3cSnMelGLGzlsrYj/E+Olyf7ytdcS7VX5OCgpQ867X0S0HzcwIQYExNNFLtbTlJ92a9q782zBM
qcIGlymxd3yu1TLi3uaNZdEPwWyJ9uRmaWb7Hs4F7+hUNe8WywvfiUwxXqo6Ao03qOa7+7PcOCaM
TXZDggraal3ipLQRm5AnhiAu2jJIsxZ6dNe2L/Myi+P9oW7TR6peCIZZBCIypzXHMUIIWEd7bQhC
Qd3Nz+pU+ZIWuvMYaVpe+O3SpKSTeviTl0G2V3W7RRjKmhulIdTm6VfdtAOEYihGhF4oMjUJvl1V
64VPzthmT6Xa2XClE6VRDnOna1/jKs4PoVn3f3Wi/6eIO+NTmyz5Mavj6VBpg/NMj6j7cH9xtvaB
bLxKcQ8aeGvyYgVGItcRucFUpa+paCPs+kGxq/g8K7Vh+HCQHHBjw5j5RWqg2Ek82kk+t/Y7eQBo
Q4IYz6TVdRy6pRk2Hr9gtKLe8eOwANuauu1O9XfrGKN0gAktYBewnqvwlHXuPOh1NASKog6fRaVm
+nFGOm4+e8sCi5i28c7VuzkxCmf2b7dg5A6uD3KatCagC4CzoFWML+qkh28Mm0fK/Q+4dZDguKP1
T9AAkbIKF/WglDA2iIdl3qnHTgmdAIE8NRAVCK/XD0XThbWTwJobFEIIWB7vNwCayuCm52ocvcBG
7vQYRl69kyttzUoC7UCowUW5yRJ7hPzyBGhkAAsBrB0CA0c91lMAsPFeRWZrY0DzYl+ACKAAtV7A
rmvc2iK+z8lkPOlqlwZhFpVQ6VI7QThh3GmWb02NO1KyiRDZ47xcbwsaG2XdKy7uGthZH8KqaM7N
JKJAa6BD3P9gG5Hvt+AFgC8JBFqX/LHiMpDctYegQ6TowQwXT4rBpNgYDe1FjzweCYqJceCYhTuH
euNFiZwpIQ94q6w/2as0KNZx2qIN1AemErefy2xGGVI3IKNoCZoFF1F72rcprtXWV61lQVB2pJzK
K9Qs/Tg3ytRnN/ffZdPRuETS9CW4vzQbX4FeKTVO6UQhZQSuv0I1u3VLM20MTCuxkS3Iv9WlsVyW
yN4JsBtR4Gqg1eduQ57wY4yv3wJuYAqWsIrR+4Pdv1Ptu33V8AQFgUXagCMXHYnrCfVqJ9DVYhvr
y4LM1TA0vHw15diYSuO7aqm+UZrY2hl063aDSYOSHY9OKqprbolOWwBYkBiCPrXj6rAoc/ce6wJB
oXEs9R9KXaglo3dGkPLSHP0E1YP3pVHXH2oxg58icvQZWVQYPaU8O8+cmOnL/S+9tTDwbGTXjYhi
roHCWa1ltlmDsEw1xf6UW+DTsD9QUMf1KK2kID0nLsadqLw1KHx1aRgs1VHWNTi1b3MldcIhcNnM
lzSuvufAaY+dm1UPoUCCLArjvZtg4yqHFGxAEpDdA+oR1zsgTNsF32eFTMOLym92NXzNmro6o+9T
PivdED4kmpP5Lao+T1mY/by/yhvdGrJjjiNOfNBU8Dq5Hh2yddhptrxfkbRvg6JtqjfJ7ESeP1ez
dUY6ID8UoTqepkSrxwvCMWMwtmiGYObk7nltb8R0+QajXwNOm0eP/Dx/NtCVKY+GXOObF23+QIid
3oyR/nfnNPOjPYn2fH/yW3EWHDrwvN98iTVFk/JkmCpiGoJlsbpfIoYiib9RbR2tUUx4FsdT8hSV
vfVmsWpv5zrZmqqs+9DSpmFElnI91cVQ02qIPPiWYvbOXqyWiY+rUO97XlMcGzHudE7kd7wueAHQ
oYVLD12avqxRgVlRx5rXMx6p6XREu3q5KHZTnTLL6XfeCFvLCimDsi/gZf5jdYek5TJnRcfmSBx9
TI6ta6HlTjHUx123vfBQ6X5iw6UqBwxD9S/3P+nGAaZNja4ZXSnwj2vXWV2PqqyIGLsvFfvUK503
YOg7jy8ufysOZpl2j5Mt3OP9YTfOMOAdmp4ED1lBWH1NtFhw0dGbLqiixC4vmQppPDUVaghJqEwf
JscYxXnQFePjjKtqhl2Sufdi2Vh10CAUgW3ZlIPKcb2h7NHCBlsJ20BBnuLkzflHB4rUcVz0/qTW
Xv3gVmYctFzeO6doY2eBi5Bmi0R5SB2yuPPHoQ0Tp/HGLu8C1Abc742qmOd81muaVGW/cynrm5O0
AS7JgwNQfLW1SnVxw0WVbm6TY/1oqi5+pDOln5shHx6Wro+DOLLjg6Ml5V99l9s2qlrANBbVnNVD
5obw+lHzGh+GaTKCEq1khJ/n0gH2lBrtV1Eb8Rn4qv12RF/DCPCuG74Xpu2NrOcyPvZ5InBKwgLO
pyhVHrLUFpd4xgXk/m7anKVkfFL8g861xmW6bjxWXjt2QWMp1SdlGh9zp7DnQ8MW8+mtzwpMi2l5
oea6R5eRu2QVJkAv8fQhNGGiud7Iepm4ceO0XdDpofuNyPlRGLB1AL+CTrBi/fP9mW5kWVTApMuw
jPeInl/vnV6kbkwe2QU2IgD5AQZnr/tFOf24P8zWFgVAxLykOjYvu+thHNGGQxkrXaCKfkLgISuS
yLfqdn6sXW1PlXIrFgCplbeYC91Ol//+x3nolCrFAmThZaeY8+fGNZvy/dKFoXpA+NB4GalHzf5A
acE4zLyuj2NmVTuXy60JCTYftC0Ry0ZqlDR5dU4UxKKHwdAEGgeWmA4IAYR66nt1Gz7bSwnepYmM
5i/dqMzixYln/VjnHQZgQu+0f7J6zn5qUNT/uf8RNkIzOS7tIBJ3sI7rAIWeTS5yo2lQ7nbGZ6nQ
gIKs1Z2KqJyPSdPqWMkNqL29elTY0xK9BC+WLHv16WM9w7kgU0Qw1K39RTrJGcC0Q/OjWuvm7NM0
8Z6yuK9eP1n6xkBWKWBJ2ZdVEaFxmwHcasywqavCXcK3+jmraOAcPDUq4JZkQDW4qR5eP1swN3SR
qKPDB5YH4Y+9Z6ioINnhUgdDaXlfLKFPPCTMMMWgtonqk9qV/cmeol3Tm42wAeqEhFn2WmEPrV4x
aqk1mYtoelBnnK0XQ2tLgVSwl/+YqaF/SL3GyPzc6PNLP5uljV8EHQXpYil0kO7x8khcT51AWxBZ
9Q0MdBs/6wbb9JdKiX7eX6ONYPD77Sib33yadSakWVk81t5Y83IvdXXwzdxL5ncQLb0FimrYN3sB
YWtAwjhtRh7WhNbVzQyCraaonteBiugXksz1mD81eZ08Fl0T7WFQN04Zh4s6hdwCbPnVDugnt3Vj
rvsgDFPrS9vYn6t6KV7cpIiCSQz1KRHRXgaw8fVxmSHT+139ZsNf77qZRqWZ4ZQRzJUSAk7MW+eQ
eWoe+Yktxi/CG/9DGVy638FU46EgSwHXIxaRai5dVzQUsuIxgz+RLt0lRicRjmziebG/oLf04kDV
Kx7HRZgK9sWNrv/96p2EXDgsYPrcMqderXVC9yEsGiECrQBgPDuN4UOIJI7F+jSc7o+1tcYODXUe
679TvNUm8nIKAhxnEcRpM3yItHz+nKlDgdi+60IjquOdSt7GPkLcDHc9i4gN0V6/XmHHpNQBBoUX
Ya6J93Y9TAok+jSefNfu0reiDsnw3GHYI99sZAQwAAGMAN6Al7bu8qKzn1p6S2ssAX1zjO1EDzSX
x/H91dw4knCCKV/TWzBQZV+F50T1EsfL6jZAKrg6VI05P6atkyJHn4nXLySdL5oI5FRyzFU6sFRz
VwxG3wVeaQnhRxnArqyK3A+swE84Rc4JhkN0fPX8PFNyhW0p1HsD2AYwrWIkWnUBBO7lHZoo02NY
hApYQC3duXI2NqYHjYXc6n9X+2op3SxrKlPUpHB9F/8ai6I5aqmqPkMBcj6Uld58vT+1rfHoNvC8
k1kElfPrjdnnZdP0GlMTk+l0Ry7WdLmwxt4TKZX+cYKMvBffbglhNB8gn1myXCb1Uldz1DIryYd5
oEin57Xij848zqeROniR+smgVWkgWtX4rCXOkj1oA0XdUzSL7hwNKommKdTQ8D2zsvQfjTU5DVRD
K/3phlYzn4paRSI9Gpu0eL9wHkcfUf/wXdSW0b9xV3eenypeBX5zcb/klVsUSAaVenR2cxqBO2nj
zZnnJHCDgyQCZ05TaRVVebpNPWLOTBPcy/uUKyqYjAbRrNpcLhgw/cM6fL7/NW+HhH9KWYKzDjv/
RnQpXkBAZmVlBSLFKfIJUBLPNzN3F8+nRtAsJyUjzXnsgfLsZYY3kYbuKb0Xnq7cIDTSVtG7TVUX
A6vICtq0gg0aNe4UJCEb4LVnUY5DIOU9QKMdI+XrDdu6YZXrIrNQ3hvH2Z+bqTmMCo568+QWOw+d
m8PBWDBeQCRyIZHzrsbCDqx0sByzgtQIw7Nr1M7XpjGwH4zDY1X0XIP3P9/GeDLTBAPMexGxitXN
rztFo+gJa0hBqVB6X+CB8SuO8YA7/R9157acNhKE4VdJ+R5FCARoK3FVBLjs3Th2HO9WeW9SFCg6
ICQYCdvwJPsouc+L7dcIHB0wdkoXy+rOlpjWtGamp3v+/nsWMoS/WK2ITPXDQivusWBwOdrn9BmE
bCXSAQODagZRglDd7V4oPUgG63kwGyjlLwcr4Dp9c9qKrgy31Ts/LFmGRME7RjKZKJKPxoCjGEzx
U8YtUK+JH3QGibdo/HnvAlQ7D6KGSdmluavODgurUrshjW8phUbZ0XEKXZSWGMtQn4cWaSdWM5zb
Seq1Py5CUIw2u47gs94jydH+argG7vnCUHP886Bx1aR8xo3fDmbfjMXMsijmsZq1BuTIUBgBTNHS
u5gGim2vtexZl/rUa85t6s89/r6E7juxjVQHLtn9msaBrTdglOvz/YK/O/F0dXe4e9XIMwceurAX
EzcTaFnJR217Jhs2S3wG19c/kipgPNgWPE0xr6kCZT889pbmENdu/sfSVOai312ZKrAbj34X+pW4
1Z298HWr0SV5I1LEOW8gSkAApKhwygR6FEcht9gC3fYw5KNOkzNqJa4bQ6sJ0hLW1TU+SZSATLDv
1SJ0KM8+XcM7EQc+Sfs6fDiqs/DgNQEDH9md2J3Fg/Wj3tbPfNIQpn0/CYLraKGHkC22Oqs74t3m
3E4NqshKOrp1uzK6vtEPp20Pf6nZSS/89YPl22vfbJLc403nL/ip1RHdhfac1QJqPcKG5WDFKlyQ
cbWK5gOy/2BBjY3wXM1S8A5rijQc/uDVtYIMJI5zcIU4yq/krC4UeSGU5oZOvqeWd959u0MCV6fZ
71Amx7N1nMEX1om9I4xTLnwE2Sq0jJJXqiADnQkKdmCkwcMQCw9GNlTTIRsjcjrvIzVoLHq67QVr
c7gGwHEeUcCRejixnwG+3o4ff3Od+DpbIpLTd/w9jiF/910vLf15ejV3oi+pcpz0cjR/Jz99erT4
w9NLf6ziJP6Wlp8q/Ij2t/IHo3RU+GMYpX66+rx01OrGSeAcP3w3e1M6Ig1dxyS138aVJl710KYj
zzb0xtm81+1q7rw/GU1mfjSA6kz54/Rke+ti8v6EKAJuMqxwVAAB0QwQkYXhbaXlTe8OtRiOUMJy
gijT0kAbSEUVIYHgYhMSxpG7vd3UNc6jxYnkeF8udnfIyyn3OZ1UXmqP3g4/c6gDmbZ2KmF6YniI
n4HfMCULopZKOroGqQxd3XZZkON5lTQ1iAdhgxKw67HpgkNrCYpzYAnsCbRC9orZVHwawb8wPDqW
RlAG/YJS31yMt5wujLZGARBcRFk+jk0XqKHX4WSJ43HQSJu4W71xgS4IMkA6BiGYXNiLnC6aPQ0y
O0m/Yrwcly4w3URbmdn1+m9oBKeBPcs5nlzFsdDV8FaYNUTUswsbd1xqkNUTcAxYXhOYPCcr4h/X
UgmrJxE9SfuurBFCiCV1IbKh8l8tFeN4GaVi6Vw/jvKWBBbw1/W91ELBcgC3hdpD0NFy0cf8dNAZ
LRyTySg5rmGAvSNUoYP3A9vDhpZ3fJ0qSmb5pyqwGHByYZmxGpsLE5RXRVMDLEbZYhD02XV8KiGv
gOgG2eUYUMoLSgGrejOjp0mChlASZSopTpCuRi47BDs7syLbjuMaJbLGCe8I6R4ElrEe4oLWUkmn
rYFhIuFrNwpK9qOpcSZBRuXRrZuYD7gAOBys1X0T+4hSZWOyb5KYLBdSkJEoW3Yd44iACU44tkAJ
EVbY8CLUUwnmA5whaCBJouUqWlQ231KxGFqJbEt7ZLtuSR5hFrfZXMCSU3t4oAshHiThLxseRXMi
+1AS7Diozu5KGtRxLRjMEjAhtddNS/t/WlW6T45a7TWyy4aKgrNgWjcTQqD/eUva1iheSca7hDOO
6/NTjBqeF1Dh7PvI0iKskrkBNXwvXWtJtRj4/ffNCFMT68kqtDMnv7DResVK8hTT6Ht+ONmEPHwn
ycVNXnxg591XG8hFNGQfWnhQIiBZ0z8jIqeFndcm+pC7uYtGbORsf77tYFV0QdauV7t/nvuOGqmx
t9rcWG1f89NoRqDkJnZH4Sia5DfRT4bx59tUgjdPBuJQ41dJGJcaztaSug1/itVkz1tnM7Vu45c/
vivnTey+uYlnyWQUlnqQuZx1hdwqGs+3TD5V1bGvK+XMjyixpqZFQXuiKXUF2XDoOmpZGEbil1ai
enUF3TqhU+2RGKmS1a4r6AP9STjaKaoO/oxyUK6uoL+cJP0WhxXVVfZkdQX9+OcZQeXYQV1Bt+rH
92jihCO3pLyq51FX1EUUyTrgpHlJez3hupI+uBNHFaXscS7rSpHBUF7Y9prgw4L22Ymn8HbVepRO
DJ57APslDY9DZ6RO/wUAAP//</cx:binary>
              </cx:geoCache>
            </cx:geography>
          </cx:layoutPr>
        </cx:series>
      </cx:plotAreaRegion>
    </cx:plotArea>
    <cx:legend pos="r" align="min" overlay="0"/>
  </cx:chart>
  <cx:spPr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_xlchart.v5.12</cx:f>
        <cx:nf>_xlchart.v5.11</cx:nf>
      </cx:strDim>
      <cx:numDim type="colorVal">
        <cx:f>_xlchart.v5.14</cx:f>
        <cx:nf>_xlchart.v5.13</cx:nf>
      </cx:numDim>
    </cx:data>
  </cx:chartData>
  <cx:chart>
    <cx:title pos="t" align="ctr" overlay="0">
      <cx:tx>
        <cx:txData>
          <cx:v>Median salary per fylke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Median salary per fylke</a:t>
          </a:r>
        </a:p>
      </cx:txPr>
    </cx:title>
    <cx:plotArea>
      <cx:plotAreaRegion>
        <cx:series layoutId="regionMap" uniqueId="{0225033B-1951-E74F-A2AF-6BCFE36F3435}">
          <cx:dataId val="0"/>
          <cx:layoutPr>
            <cx:geography cultureLanguage="en-GB" cultureRegion="NO" attribution="Powered by Bing">
              <cx:geoCache provider="{E9337A44-BEBE-4D9F-B70C-5C5E7DAFC167}">
                <cx:binary>7HzZctxIsuWvyPR8oYp9aetqsxtAJldJ1FaqqhcYRVHYAmsElsCX3E+57/1j40mKEplkk9O6NWMj
s8kyqyoSSMTi4e7Hz3Hw7xfL3y7s5fnwbKlt4/52sfz6PPe++9svv7iL/LI+dy/q4mJoXfvFv7ho
61/aL1+Ki8tfPg/nc9FkvxCE2S8X+fngL5fn//g7PC27bE/bi3NftM2b8XIIby/daL175NqDl55d
tGPjd1/P4Em/Pn/VDvN5eP7ssvGFD+9Dd/nr8zu3PH/2y/6D7g36zMK8/PgZvsv1C40ppQgpdPXB
z5/Ztsm+XsbohaRKC61uhnx1XsPXnp7G1STOP38eLp179vW/3793Z8rff124Nr5eb9zuZvfq9dVy
frm7n//4+94vYIF7v7m15fu78dQlmGxdNEnh/FBcePzrczO66nIYP9/swPWm37nr3990yaiQGjF9
9ZH7m04QXGfyu02u7X29+TcT+o9nD5nh7sQeNsP9J9z51u01/0yW2hZNU58P1V9nKaFfCKSpRoRf
Wwr84JZ7EPaCMIwUJuxmzGsT3czkx010/wl7Jrq54fm/ChH/TzrTb5fOf2ntX+tMREhJGScPmQgi
GIPYJjEnd010M5MfN9H9J+yZ6OaGn8tE/wnRzuWju9mu/3m8E+gFUhIh/DWeIXrHizB+QajiQlFI
PrcD3c1MftxE95+wZ6KbG34uE71sh8tnbfbsbVu7z+f2Ztf+AksRyPdSYiHEQ84kX2CuwY70a97S
4mbo67D38p//fWdiP264f/2kPQPu3/hzGfL1/4loqKiSit7zMYy0wJjjbzjvtqv987+uZ/LjFrv/
hD1L3dzwc1loF8PtefMXJiyIhlQzisRNOLwLufkLCmADa3zjY3vQ+2ZCP26p+0/Ys9TNDT+XpY6a
ZmeoS38Tk/6CcAjlj2YSa0heVx/AELfgHyQuJBTi/Jutboa+DoffZvTjtnrgEXvG+nbHz2Wt90ML
trLn2c2W/QXWYi8QxDdFbjyH71uLaS4E20ta74d//vf1VH7cTA89Y89O32/5uQz1ts3O/9oAyNUL
YBS0EAqwxO5z16s4QBCsIE2pawiioTq+napuJvTj1rr/hD1b3dzwc1nq/aUFpuqvLH+BHSJII60U
ubbU3VS1K44lZ1Tz66s7Q9621M2EftxS95+wZ6mbG34uSwFv8/mv9SkhXxDFGMXsK1GxB//YC6qw
5AjvlVg3M/lxE91/wp6Jbm74uUz02tn25jT/z1PTD9Ksu0n8uGXufnvPKtfr+5nYPUAM9V9JSkD0
4lhQRr7Gtj20AEmKc8UVAU+6E9R20/hxo1yt4vvX96zydY0/k1n+M/t8Odxs0V/gKeoFZgIzBcD6
6nM3kMkXWnNJdyXS9WcPHFzN5vv2XhvuoVk9TIzvfX3POl+X+n/VOv9a2Pgm6yTn/nxzpQfd0jYe
v3ojiux99etBf2i/vl46+vzrc8BukgmQjCRXjBLMqb4lgOweecdhvtf919b4l4+4PHf+1+dQVCmi
IVVBgYwoxxzg+gxFOFxBLzgwG0ILxrDgaDds0w4+v5KxpFAAGokkBIOyAsfCtePVJfVCSaERMMRK
UAJc/TeB7qy1IWubb1v19ednzViftUXj3a/Pd8R+d33bt3lThQTQ/gxoZ0JhoO7i/C2IgHA3/g+9
kECEtjxGUbS8tLqrkr5AaJN31XQo6wIlNKTdkRx4cRT6rt0snIhty9b5jFVzd6h77uJaE7ZRY1lt
tNPLUbZSFjtlq03EM73p7Jof8UylpwjZ9g2tKNr2TR8d3LLCA0t5YCUcdEvCwNMY0K8A3m6vpCnH
WbRlweO16seN6hVNmOVu8/goGN3fMM5ht5AisGVUgDlvD2NnOk1ZqlmMwzAcrXmTHnUkNDHL1jyu
rGgOJofzo3Gdc5NFS7q1xTjEPzAJiSlBcBCAZ9a7Sd6yWr1UuCjmnMeszsZjG9WlYcjNW9sM6KPv
pvIQypHUdDaPYiuKLO4Dp8njk9idjL2Tw5UCkIY5nBu8405vzyFMo9K0hznAMbZHLNDFFBgVSad9
/YF14Qwv3Xr0+JiQw/bHhHoXqHWOpQQz7K07EBathPc81iNxx/1czfHQeXU6EKW3jw9FAEk+MJbG
ZEcySlCV765Pl40LsklZnK26A8umywatIPhKpdU2izBJbJvVn1xa8qRc6+pARdQaPI3rkVhLfBa4
G84qNemkDTqPdVnTrZ7ZuqE1SU1RD902zYchpsUaPWGaB7dJEQVBhXGgc/ZcIeBiKJloeNyNgm5Z
mi1x08nSkGZqDx/fpqtn7R0DwTTFkmihpNa7bbx1FEUkQ+cLcDu7pugdkelq0pGHkzF053OWieNK
N9NhsGP+yUk/mXHBqVGzaA67dlW/PTGbB1cOpTgU2wxjCK53Z8OpxxDC4FBi3wbjpDseVTsaZ2eZ
FMHj0fCyGGLiQncgXI62qHHjb7Wo9FFOSZegsXmNRfMG83wwj8/toalxcFgslIA4ux9pPdGq4A0Y
xTdWxBVtiJFK6c3QtfmPDAV8LIRdBvIH3U3llk2qfo3aMUw8TtOGG0WWOYlsz7djqPgTR408uCyw
vIC6GUbUkMRuj4W9RWIcYVkV0I6vl4WVm4AXsmE5ycxcYZs4NNafOkg0ZrZ+iodJF4nqhnwjQxXF
vsrcCaSmZpNbl8Zz63wss8X/Hsicvqltxz4UKvo8DP10RNZyOHZ0mD40uouMblz3hNc/tBpBEEUM
wBoBwHx3Nc7itpWzhNO8KHk4Fijdeu5eDq6ST8TwB0fSmlJMNVB8Ys9GiBBScZhBTFISNlUryrgo
SLf1dd4/YaMHIrWQACUEHDqMoAtjb1HLsNLeEQgHjWdHqa2QiTy3ySD0csyXLDqKxKyeCAw7T7sT
F4Bj0bueEMA44JB8b9BRRus6csiT7RAVh6xX4d2g9Hi4+A4cs2D0if28n5ghIQuocCAlEwya0Z7p
mqmqXOkgNzDfpqfVwNNTMoQs9rUqEnBKWxvmZZX4NEXbwKLC1GDrzeNOvhtkb9V3JrHnDd2Y5vO8
8wY5+GajFBxmnI00QSufE7m2g5EtdZu6a6KTx0d+cP2QewBkCgIVhdzLVy3inmfE8bicS/mSlNUU
Rzn7vYn4smk6ruJO5sVhWPLc9MO4xLwm0+kTc9jLBiArQPkJNaaSRCkQXeXeqaZjnsscUFAsAHCM
Zka6eusFWS/mvtC5mYZ6Psq4mj8MU9QiE1iV/iEWVVcJKWo3xt0QHDNTtuSX0E8U/uCsF30y1XSu
Nj7wJTpMZ92jBGV4vLTVNB5ZNWoYYpqbDcnyKjtya1vXcdF0EYzXlSg6lEivScqm6WPoi3IwKMX1
5xZS0MdFt/mScABrraHR2v1Rc9xMm8Yh+hFQ1RCSHE/4YzZ1WJtulVWUODWiE9j/0wXLV5bTsCZT
qZpThVZSbrqCoj/Zuk7yQPiiGxJBQj4aLeHkwbYH7A1xEVqSdVD9KeOVO+s6X3ZGsFEdeyxcvV0c
797NxFWD0WUb5qR3TR1M5rK5Pqhz0R73xLM24VEWAfpCmW+3Ngx9YaaxTy9GAXEVHC71F21KYI2c
rHkyRzMLZtR8ZLF2U3YS2mwbsoC/5KUoTwNais6MIu8nwxY5MKNkxqRp+kG/c1kE3tKGvnLG0bo6
XFbEWhOJ0b5Js262B4vW4/ECRYE8sKtIfdy0pPniSl9YE8TkQ1xb0VUmGnt3JKWlkJWgObEwNFV9
MDZK59XwhrDENXTiSVRU5cFsZZpoHBq2cWyqtyob+izmQ40XUwXXVsbyZrq4OsJfy86za1+9rpAu
2i4MRZZ/7WL89uM/Xt60Rl614X3//a4P8vtPr7vL5p0fLi/9y/Nu/87deN9uheG+jr8rJu/8cK/O
/ReV7HW75b+4+L9f5mKtoTyCRI2gC1JC8PrWXHmvzL3pqbuhQm7KxXuP+FrmIiDPoS1JM46hDxAq
3psyV75gEIwpIMNdkck5gmG/lrkCBEeNoT1DCkG5hNjxvczV0OcE+A0aC7FgUKDyf6fMBby+H5gl
PASQOabQ8gEV7y5H3oJEVEDvogPyLEYrG9RRpDoWYoz9kic6b+oPMypEPFu8pHGYZHGO83kcE0Ak
1MViGrsu4Vk9M1OvepiPctHxD5DAZRfbceiO8iFiXUxquGqmfA7EiCIU3IzN0i9J5dLik2tG1Jmu
wOAMWYNXYpZiWs/CzKUyBUAcGY+N158BuvnX4GV5Z9Qkx+aQTxJFiR8dGQ9T5cJxlKfqckBthcGf
ePRn0U/zWVcX7k83+9WapUUeoFcGXbAmYoV4NQ8tLpOswLI2S1b5V6zXY72JxmF+Kccs+zKXkbBm
7Hnzqlm6cX5FLFFbmJ4dY51TBc5PR9cms+98lUSAGJa3dRlFJzILakyi4IfXWeOUjjHKJT1rlqFn
R9NUdjZZnWjcdiA6hCQLeUZNnrMUJVov2MVTK4FxyHuS5y/TbvWvhcQGZ/CVmFsxN0Z7oSJDSJRv
m2lp32cConsyAz1Rv5lRW3/hw+Lr05pyyxLU1DgziDVtZixd6y7JbLH4hJBMD0bYARKD7ovMJhxI
GbvJZkiHRld172ObsYnG1Qg8yKeqzac2hrq3FUkl8kZ+9CxD3tRDRE57qD34kWUUAq5zodDx0i1/
9kG0YQsoLMoO6DoTKDRYg8tNtQhPNkWq1GRw5as3bBLd7hxwegkM0FwagWvZ/xGKzsm4IRlUK51c
mnKzptE6HLBULOMf8zBNh1Sx8BsZG6Hj1NZjsfF94bvWDDzvmsNIkJQeCuiEXkwaOjiqg3VOmlrX
nUtYi7o6wbVyZTzhCItXTjWUHTqme7COWJblbYr6afnQS9RlJ9mKsjau00iWLzngO3km0MhQ3PNQ
l4f9Miq8GXOA0AdpM6VlvJQlYSZqcR02RS+6dAvzIZCjMO+6lyOexHg2pWkb4oUMVX1QQaR4U/Zj
2sRRJjpvVgYp/iSjcp5jvZRNa3yfp1NMRR75wx4Nw2L6yLvBVH1XuwRmzERCHRV1HNKpWk6kR0sP
LmwrtbGFHTfUO9VvOucd+Nrc1Ae+73FnMp2hr2D+/2cNIEclfASQehCjobwDhu2xrPG9i/c2OfrA
I66zBsXQgYeg4xjwKkOEMnaTNQg0UQIjCpI6UDfQXCTgytesIeFLALAQBuYUnnz1pa/kqFAvgBUC
Wgr4CAW1jmb/TtYguxrlNprn0McpFcMEKSUBJe6xCXXoSNsPBd8MmY6OZ5r1H/0sSVJ4T45Q0wLh
5xaVWJQOcTNGcOjbHJ/lotcHWcfag9a23iAxVCcLpJNTlXFkDZSSw7s5z9CpX4vqoAD3f6L834mg
e/NmYCcEnDNQhAzI3bvJri9HNPWD4BsF0TdKxmxqf6ddOh07VedVjBzt8UG79CqPA0S2L3zuLWSM
NCu/kFqU5RPz2a8/OWGEI052rUXQ1HyPjsp8VNftpDbt0sxQj9UrJMzcx4WPUlNPoTrOyql8ohJj
gB32NwH6LnbsORwjBVzt3U3wJJujtijTzeiYy41jbO23KhLNukOupDVyKKJPuhEl3WY2pW9JleaX
kRXuQuT1/Gl2KcSljqr+S1jWvjQDjTQQd0pB4F+DTc8JBFUUR/0qerN4O3+RMzAyhjA7AENYptOb
eWLDm0KuugTwHzXGl2HOk6amDMeC1OpAFUtZG7vQ5RMXZYs2zmf4DLLs+kZWefR5RXO2Hk2slAQY
5sAhhwjexBQmnJ8B1zTxY0DJVBzectqvIPi2LHCvmORASwBm4/AqDTiSEHusHhlFoepWsg30zrJX
rYI6GruFm+Aje1TQAb1xdN36EdtNE5XnkyyrJ5iYfcAGhBIwywrkDzAiB577rvk0cEB4LPpsW3Ia
vdUzTo/7PlJnsixfp9k6daaUOcxqTvlxDgcJPXFoHxwfCDgKORt4ILkHGAFCkB5YjWhjXSNO9dD8
mQnpD2q7YwnbJTtFU4mSFiIESB2jPnjCAGI/9uzWD6wNdA5BIwQBBvru+ifSpHIpM7Xpi4W8ylCu
u60FNPk7HuHsGWDZ6WeG0qiMQZUZFwAaKz7WEePeuDTVS5wBL38GNEGRmUk4iszo2+qoIWX+BqLp
0hvRUN7FwYXsbZ/T5p3oLCoNQtX4eXZjM2/TNoOabWpyB+9fofFjvfgF4BVfhTTFLMYsziKHLMSQ
wh8U7VqRV6tq+8u1trIx2ZjL7dxWFh27chmPSQPQwoipyP/Mi6bmplXdFAxyAAFjHebiomyjIYqZ
cllpVNStk+lXqBrg/910nnFaDMniUTYlVRM18KhcL5dweMY0rlcn87hogWIPradVnAMJdFnlQ+VN
mea+N0MaFkBjeQkLH4YoZUnau+hML7rKN2mQUALzKVtjeD3OH2kERt+UFdN1LCJaXoQw48o0EQup
WbQYPqR55dpN2pMOYB0PwCvLebClmUdavYxQQfNNS+ccsLElRJvC1eC7Dg8ZMT4Q3yQoL31IVgi5
azySfprMwmg0mEyy4XSI3PomrbO+MppMURYvTSMnk9dFH2Kf9vTNOo9ebKe2my4FoJwdAGPu91aK
6tIDpi4NYHvVH9Y+a38nwGM0hs6hP2mBGrNJlkWzMqLE+RdQ0nCTlIvoSDyOiw7bCkpyZ0LN1i4B
BCbGuPSV/LiWc/d2TlmHk7JB5WFK5NzEAdcoMtzlXQozB/6mLlrUmoJVoYx523rQxdZqCYanNj+G
hAXwX4DfNkY1tcAHfTnYYRMGYMPNOHWEGsDrjTU602trSjL67IiOWEBy0tEggfGdFhl3vA4QGdMB
fh3WjJmmLuxLgKT0/SjG9UuZpvyzclbZGCkWveKiKpZEcz3lpylwRH+WvALHxvUsQjxWeSEMqTtx
0QZeoE0gkzztW11+go3UveFRYe0TwWVHg90GFuDcgFt2QqVGFHSKPa6OOewoaVSxRbTtDoAlXIwK
UQBEgJY/Ho8ku1y/P5TkBJpIFYRTAEx348iQZZXNcpRvK8hA1nSMT6dRJ/pXjw9zL2PAkiDZAkwE
8hxUgCtMcqvAVkD6r8L6bDsBpzYkbO5AdMiq9HXv6/WPgNUhlFD1ibBNvZmAh3s9YFE9ETX3Oeer
OYCZd9wGpH2+t63ACkcUJMh866es2aBsxYd1GOkrMnj3iqQ5f8qOV7u3t7uKwWhcwKiM7Y8oaR+a
jNF0w/pMfcDVaNf3PeP526qufivQ0g0bXUSlPlF9lh/WtEGZGVrV/u6n1FUG4YHiuCmlWk/gIudG
OlFzcCM8viqXAOQDLqfeGd7qvo+nFDqCE5K5qIudx/gD1jXxsVuH6KKQqmu3TbdUnQkZRcrMRcep
SYuoqUxoKnoSpTWaTNas4bVzGQN6MSW02arA0WledZMyobTMmwj1c5T0qG62ZKVraeo6nVpjpYUJ
hhqAeUxLSz+MEVkrk1s/fhRVWFLT9pGMEk5VN286NHlvpj6ryMYuGevjMnTdO5AG1/FgKbxet8AI
Y6AMQoc/da0ccrNYAmG8DKXszJrSwiWI9XiOy7KREKWyOjsZKgEcauVy0ZgOSMZXKc6WCSr/1vO4
beq13OjMzuEAfFd/HnRaMrPyZZXxmunqIiDbvLSdRuMTiIntY+5djYSBrYKACXwXqG53/Uz2fEkx
mqrtSnOQWkIzl++1ElGs1sEeu9wDaByXFebr23eWWxIPYxptx7zFQFmPUTxG+fw6mkN3CCK3PWgW
2SWha/SBy6YhFsOMVtjgwl82DQ0Htk/7V8HXEGYhQB1RyIBA8GfhiKZMnqTINSbVIryzcM+xQG2R
LGFVRg8ZjZssa+K+59g4nZGtXrE+8FwUH8oWvlEP6ZcF9MMn8By+75ycQ4yAaCc0UaBG3d2gEVpv
aDnrekvGFpAkDsLBluRT3hwXE+m0QUO6zBvERfcFLaAAJGkZ6oupnzKZMDfXZwVQNznsSasOu26H
iHOlVmHC1JDoiQC9s9Zdv+bQDQNvwcN7lho6hvfQJ/DydUHTrtuC0ozjtocaoZByPh9t8XECVQUW
id4/HkHV/UgNjQ2EQv+eZFAUXymttyJoqyIAWR20BYCgypShbdoeLlWP2k0HutZihhyU6Rh6TXi9
YVEzeUhN9RKShnhQfVwg/WDyTNr3fmxAXBazF+lr0U/iYE4XwIkQH8o+SaVVHwqoUWrgUHAPZywX
yCWK9/ZM1UuXxqmrWwdtP3o9jOalHZK6ckId1AC1x7igXZ1tlJtskZCchtOoYXKOl7zwb6o6WsYY
EjOEPsWyy2zM+EduPehvnfJ9mtAK2B9TEdudrzPCY5JnO4VAKl/1Bk25xYkqs+ZVES3+U71OGfhH
y2hhUIn9eyhVGfgFbP1bYcF2W42r2h2lDvg5rPk8HfMQ0AyONGd/jPPkWSLLuXipmZWwV65uvgx5
jkAmgdzcQTgJTQKHa+gMwFH2ecRpdFAX6WDjBhqJYsbFZEBUrF3cSju2se3HzMcAdabf16pFvcFk
Rm9yWo3DER7EmEMtbynwWb22H/w6tNXB3LioNx5D4E0ePy1XrS77J1RxJBEonlxCc9lddxrqlSo/
6XJLSyBPkyoj9A2aEHMmFX1I5LT00qz1ZA95ANczeBH8A3SJrc0BycVC4z7qyZ/eWt+dTnQg9atl
t0UG5MUGQBrwrunGiwJ9bJ1rjuQ62SMxWJabEVf9n6oCvruHMiHJSLpckr6m76D4zeYYYuuEzLwU
7k2PLRuO9ZT5lzqvQMiCRjzkzIAKvF2raI6D4l0UoyySl36w0VmtB/EZGD0gNR/frQdijwQEBN1y
wImAAL4HDBYQEGXDQrXlS9sch3WpTJnhdtMgoQ/IUGdHj4/3QPiQZPdqDqa7N0OueotuufI0WyBs
u77aQtkguk1t176OocbKTOMX/1asJIsOtLXrEwDoPq6EZlKuIYjsBBXo/Ll7KDjO5rVRvNxOJdYv
SzmAMogG9zoMJDxxAB8YCvoGQTeR0DkJiG93/dYSs7IAFZgvduugu+GAr2m/YRAmzmDzo+PHd5M+
EBlBTob+TEgRwBJSUJBuj5WSLEhQ8Ytt5Ip0Q0oMB9z7wX9qQLE8JgAnx7inUH9u5mlRl7kAuATl
jC/HWJWjgArSFnDQSsQDMtUqysN8AV5/6yy8K2LSUq1ZAvI5PdOVHQFmjbwG0YDpIT/2vh9UMkQ4
O2Ji4l8mosfBKDymS+KcHn/rOfTgGcC4q0yCZZ2PETR+fQgtUNNA7CDSn6ZOFPKJE4bv77/YKf0g
9UN3KGh6e3ijj1qd5p2vtyOwb+cgt4MUO4+HZZbRTQA+7zftWfERSsgdoBuzFMSbyn9MJag21Af8
kk55d0ImJi6RnPTnxy1Gdha5G50EJDACr30iaFIENeWuxYraYuhHnJttGVVam4r7cxbNIoYODX5S
jxE6ppXjh1AuQmVKoMtG1u17MSnof+kL9lZkCNApyNDQMwLtWhqg8aG22Bouq/YlSQd6ZOf1HTBD
1SmDRHWJoBvT9LmczhrmPoEe4N9aX48b4mj2BNK779vQZE8R19AsvKOZ9w4+RFPAdj2twbdrtF1x
3ZnWMbHhnlTxgFhxYBc2PGHuhwZVGJyAsqs2nr0AllPQ8dZJ2S0cQnkwewpKJLAIXc8jkIuG+sTL
3G8fN+L9EwZvDOyaO6Gsg3/03phpp6p6zcthOwc5lMZWnH9opC1Pmy40T2zq/fMCJSP8UQtohVKQ
zvYZazYhyyfoCNiua6c3UB5vdGu3tSo5FIu1ftVmKMRVStET1fG9NULLCgZRAyhGUIYR2/OiICBI
d8vcb4egPgBVU+ZGsYptw0T7t49v570cBEMxCIlSEGg2v/oTRLeDWKQWXEYL7rZrHqpLWjt2ALxc
/Sn10BXZy2x9qiHoobVJsBzU/kDlQoi464PQ79KpwbXgUqHt3yEQNv+AAmQ+iehIDpduJkDi2ea0
c/18AH0vIebrEt5g35THq51ABfCQN4+zYm22dRGpJ4L6Vf/snRAhwYeQ5rteAejl5fru9Go7daOs
82Gbl0V0UeJJxXaaoLUnwr8Fni8zUJEzO4EW0vJksvrMo9xeLkGBUI3aaBNU0z2R0u4dQgmqI5UQ
UgEoSCbJ3RmF3buDK1/HLbI4vBwH6BpC0Oh0NC0ze123PpwKIFw3+YLFE2fjgZGh/x/6NTlABnCE
vXIDT/1ap0XhtmnVroeWAJ+sXV8e1NmyvuS6XpJmbNZ4Lb19omXrXmABp8MYFDhoxIBzclWU3Erj
00jZsHbebeHtfvwJxLVy07DpE4noumk5AHiAk2X6BBx7cFCQqECbAlkN2P27Gw1+HgVQTdxWOUrP
+xJ4GudQm/SMAEgcGne0gCr0xKD33QFWyoEvVrt+dVDz7g46TJRkBbN+q6BsTBA0i236TpND21X+
iWj90FCQmaEPBto4Nfzr7lBNtQJVQbTbUpQLM47TOSnG6SNzMjv7d4MKCAQS8iu8RQT4dtdAczuo
0H6wNXjyvO3ySB6HefFvQPz7lJe58iZIKKseH2+3SXeddvenbSAZQJSmoA3tHVQ+LpH0wacbGs32
QqZVHss1VcIo6MtyBkknmSmIpacDVAvQGcLVu8dncD+MUnhlhgsEYBCSxX6VnJdO+zZSAOWxVQc5
xILfaLvUxxGEkjPr1h8YDkIBZtDjDq8H7W8wcD3DMuHable3spdsdcEsfVEZnsnqjxlU1s3jy7vv
GiA5gy1BLb2G8ncNukO6AMwELM81+VaMYjlGzZgm/Th2BjscnTQLFU8EvvtWhQ4tDmcV6A7QzK/w
960gUA8YLW2VQ8Idg9hm9VKbMEf/i70z27Ebx7r0E/GHRGq81XCGGB2OCIftG8KjRIqUREoiJT39
v05mN9oOFxyo+wYKVQVk2prJvdf+1jqm7KwZS0gAF78FV+UUDeomGV3zxjX/+bng8HijaIphexJH
r77MMd1y4FiTOsQd7e7JmKUlx1tW5RhkvXGl/+n25lgFAsh1F5Xu1crT2JR6SAPq4NfQ3fTQIwqw
NMmtbnX2tVeZv0mdz9/4aP6Uvi6hgxCUGHDvHETBq6POU5juZI/VIWn88DA2KBnBZEl4SSzZP+4a
M6l4T+k53tlaaWgr9yRN/FUarepWKLlg1JmoAzRYcs5oA4dTJoMvf3/v/tyBLqlwFP/BS/5v3M5v
C0kIxXzxeM9zHQzv+o0DG2DolsJI9zWwIdD6EyNVPtjsjacfYgzxx6pyQRVQBUQ52lY0za9eejx3
rM0Zr/dYa1c2xm1RESyLAGFF2omVlG3QrCF8gyfjasFYXrGBHmLqQY+xIQ3QBq0DXGed8yIrdKsI
+yIhLuVQkDutC0yAwqBIJcnuOy/seN2HLZMFj3beVhCdIcvH4aLuubdyhVAbyg/tbFlTDm6OyZGZ
aLsHKoDxFR1IvlTO0fkl2EOUbkoAra1I0Pgzp3QJit6moAh3sfCmEl3C7je1Th/ZmniM+iIS2kLl
jK9X/QiBtlogn6NBEoaKOtFZy0uMmTFw2jnFvx941XzV8SADCCt4RKct3tUN64SWFVvH4XomQO5u
eZj1W7073t67sCe4hZNJn2Mqs6SFCIQBYOEGtRwVLJApDChGTSVJ8ReUWi6Dx41JaV+6dh3zUloM
jcuxWbqh6APsy59HqKG+aOccUhmb2sxgcJCODDol3E3HbB5UXPipH7MqnYcgrOxoWl2acJm2kgfL
Nj+NevbmKITe/Ve8A4AkWBMp+aMlHuyzjgxK0KhzfdTizG3X22JAewhYpvHQ1w57s/udYAaIxutj
1qs5SNEo9IQWWvHY1mZKvKpNCErna+hs8Mnv3UbufOBDVBJ0Tq6y3mznwGMoirExtN1iE1KkdWDX
nhRbG0Oe2WVG5+t+imGe47Hor7J0e8+lcGsRhpovD2Hgg6CYXLyBKwx4v9eto9mdzTcWHrd53dbj
ugLNPvE8XTSqZwkFUjQa3Huo85FViV73Gbyf86bQcbafl35qd3xTfRzWTtjYQH4LUtvcoRsJuzvq
k7Z76Ntky+5IA85t0HNaU7W4p9yk7KHLG3GKM82AhoRQdp3I1wON4vQsjGrHcuRi3I/RZSx+k+PR
HyOF8rYMIsIXnPuyu2tDk/kJqj9jcHyaDJN6sv9IR0oeVkPUUPZK9HddrO2LAiYyFakJwJybFchY
aSKvsfHDv4bp987UV+P5/DUOPb60cEj3vWiXrB0OwDrHpR4CnfxMsqWZapZ4oyEADOlP58DmVI3Z
mpvBpjH+b9Jdets+x/WG8QCVeTW5fvR2k++jycxhNSVA54sBoaf8bs17Zotp6TTePeMo2BqV0/fr
KOSAd2cc3u3aEHgCWrrlp7GXO79q5tV6LBG9YcWM8SgthnTDSWRxa9ZbmLSa2w5jF1CRlriumOId
ND0L4CZoiemrNjLbUhhUtXOB6UPPj9mouwc2QkUq2NzrD2vXKXHEh9U+8jHGUZZELjNm+FpsxezI
ZmsvBYYfrkESSZ3MG85nyvPuxAffgA3tM1oggBBdaQfzXF/ZCbhyiXlxXsLfosKyXTmEZyFjzPnb
0Itizqbhum/BoJZC6fXDHrdJeKA0mb5wbgZWBgFGRbUcViUKfPgpfARiaK7bCNPaKmkxIT51kUbP
J83MP4DcdabI1nifKkzTbAA4YRef58TMB2LyfoRKHCV7uaYNzYoQ32NXUji8VLkOyQCPRDQSUXJP
ggGdpV7fq3UZvzqW41aSCAlVRcPazJ/mCOuQlkO+HExqnbqCTrafUXXk+v3As/YmdFigwQdQsC1u
WXl/tjPsHUVkIBrf+GU30zGLILpgut3b8EhyARYr3mbHMEgKJ1r6Pl4TPC7eJZUk00Qg5ufNdhX6
4DJBzHDppZz6Jr72moCsJfsQyaKTvdFV27Ocl6Mx8xeNketyTHLuxqMfoeeCGpciKrVfxrRc4esM
rgAHwxWBtpTuqBaHcK86Nk1J0VrWdSV6kqn/wMB4FRJT4wy8hOAfKTaEFGRy454zCIk3mcObEnS7
f8n2yHwwcKDebXrcv3jXSnUG4DF+6XSAdcXhI6qojp0+8qHtn6H/8B9pI3Dj8yldeC32OXBnsqTM
F8wm/MknJvtg2iR3p2ae8q8Zn/fpGDfcRe9zGEbj2mw0+sYJRgUV7K9xdsZWhB0BVMR+kfBWU29i
2VOocMNw0yZ08gW2vMzgtRyD904najxB+AvZXevtPJ18xvGw5pQPGLpiyNmdNFe4ycZGcXPWO6Zd
77pwyuzN6MR6lHqVY5UIR67wSqzfAOzhdkdk8P07QebQFZ2DkaaOlmj52WoMFyqLkXReRNmciqrL
0FiWyyC7tJhjtJi3rVA2rWHpm8J7TjPSneFPyL4HwZo/qY3u8xnsjKCFl6oPbpcg385edBmHtSbK
HIzcjJNiglXuiOG8b06AW8Q74rRfrxNM3fxpykJ+aCEvzTeY98bnxIUolhtP9+Badyr0qNxi0mOY
G/Zn1F2JPDc9Y08gSVVXzGzuBIrsjL2EwX4RahDVoeHNY5MqcYvUcNEvaYejx1oV0NnhfBq6fP24
eA7mx8R45eUYcFobGo7vKWTJvkQlQK6NNVZWPmWW4WPBgQvjjf1BNeFbSfgsIrzAcKYX6zJHn+J1
7fSZ2tHOJU8su6LtLNNyaCIYl3uAXPNxnZYMFH+acWj9mipAVFAjapdzXKTTeMmAmU5YdWXQr9/C
CIhXNRhHgiJrMvFjkLDi1UuCdsYws89fIY/3tlJhw+YybuGIulGYd9oiWuZ1LRgMxdgLB3Dgh2AL
RHocmVEcg5SZLe+WBXvM84K+bKzC3szXsXDZcEdj0q0nYsZUFXzmzkI/hKnr4BLMlW7V7NU1DKTx
9SY1QLSLgyx8kMNk9kPSwtWGf8/aF7bmdCuNbDFtCMyyNVdU9vNeZUmjBrztQv7oecBxnYI0AnZV
Y6eCqvDSHo3bPhYOBZo+rdFq4jMyATZxLbd14oXPJI8KNQ9weztN2qzM8CjNybA2PS4oIUSFtS6c
CpKvLj40fGlNmWHD229ts7m51s2cxjBN93KqZoKBXL3jBGtM3Rjgq5YDRHQj6y4URSAvCIlFudbM
OfqF0ARrX044DVMIkqaPTch7MHxtoxFSMCx8KrK2wfiYdD0nJYUh4h7YCJhgRsLFVdj/F1pF7Zae
ukBJW2GMGL7D1qM+JvC2A3ldo/5rSyJ9lS10agqC4IjuPHqUzSBWY4+1t9uj93Keu884cxkUHHbh
6QgPyfrJ+pE9aXy27qioMaqO5ih+6fNNmIIxb29dYoLsQJUMAWHPQfQ8KtyoWptF3oFtznZMO5Nc
lkMots80DTADjdxK29JLGogbYnETCzg6/HmE+RLYXkvDB6RVwBrY2jHlNzHWdQyj9ZBc9xisdtXQ
C+CWeQYqONPE5mUvKIyDSUK4LXoUfwPIFqzip3zpgvnk9Ubz+2kk4c2eheN0n0ZdgOV0iRpfRxGi
MKrFhtNjjOXmB9DV3JWgtXR8Zmpyz4GlYq3HDjkDiK1IbYjtJ3M3K5wL+HrwrR27NVfkeei75esO
7m6oZtUycwgjGKrLVkX7/WzGSZ0dtM25WF3APugwxlAr00vLT2yL+MNOQV9XQ0DQQ2BjNtXg2nYo
Fsk7WHKmNjclA965Fss+G4bnDL9hsfA9vR/TGXZRvFszLZTpnK02sPcnpWdyQ+JOP9KR+ble+yAA
99UZrIAjX3pWYlazfXEkBq0kufJdIdJB5AX+YPt+8x3vADShvzjBrwrbYRdP3cM8OhYdJFP2ycYY
xhUIlp9t2bZEghdvbfYdneB6hrlYz4Vo1hETe0pyLLkrC8pQDLa9m3MKT8sAD+d4HcxdTq/3Hl94
taNQ/5lbMfNyUm10M0iEAlA8HRTHCHeQEQ8Z4CMfPS8LF+ed8kbVfszYlYJH+5ThParDONoeGji5
nqdcACFP4UIENj5NVbvYAeZ2M3lTQlEg5hAbvN1PeHO65b0d6Ape2i7EVTtWIuRlCKnqHavvU86H
dS1tS6YPGHSt79cEe5/aOiwRprHh07C1LroCmqEe1s3z4H2C8mY5kMAbfgTUk9njRth0ryheNOBY
or8n+5ovYNJsf84EDAIlGRvwFxh+97qMV70fPcsBWek9VLqmYFFfgOcO0xm8IilzbvdqhPetL9Im
nt0xJJM6ZetAxZXmHtAkSWMNe5BSA8pE7FS2WLnX32FvXeFlH62mpcNKreEp8HBY6WSfebXRbH3J
OjR+RZel7B1JRItee82CW8BTy1ynNF+/oGhXsgxmtMVVis5IlVGYrh/HnMfvCEAcfWy6NHq2ADtR
QScJ+FkOAakBmaKxh+VZe1icuLwndI/rhKz9p43h+Zfj3suotGTZH/pIo0cGLLDsFXCV1hXT3ph3
IWk1WGKfLviSRp0eMh9xf4flJ8fgftrnesc0ebpbMoJCr8lMd4vKaxPVBOe+q1ZoNmGRu6F5Mpwk
zR1f1dzCr9TprZx6tcaFzGMJ5whxyyfA/Nleko7QA/bDPbkeUVvdRAPxMb4vg5PFqjpGrADFvP9U
A0Dq47bZ8c5lPNmLfKeZuGciwYsac6z0kspLq9F4MxzhxZtqlKRdVFOmYb+DGzx89GCETaWWdMkg
Xwp+mrCxPQ57T28GOmxrQbNl6OtY53x/IHlLDxJAHbxTsPQucPaRkd42C4m/7n6N4XlkMr7dzZA0
pwy7yUuQEY1YE88+b2FYJ9KNHzkZx7WCiNjdbKHC94IycfqgmFCkiND739rAsvdoOZePjqeZK+fN
IBggwqwfRBJvLji61/j+sRTkvk4Jrq7AmaY3WwZQuoYlwdxDrzZ5mRFDND7PGJrRli/KlHhSWYDB
morgH2yz/Wm0Maohs215X3NQ3R/pRDwvlz3aw7IJx7EpgBzhq0PDSnSJynkbi5QhpQTFjh6js/fZ
kIIloLsrwYpTeYJE4R5RQpCw6rZ02Oqk3Z24ScIJG59O+7zDsgjTIzDwfJM3bsjRUV7Yr/EMp2LL
KrwO2z1HfMxnadL5ELm4DUuWER/cRZMEq9RTKsAQ2imfCicJAO1VM/2SjbhVB4VhHcbNOpm/ANEy
QxFgtLFdKcYmWsUR1OyjUC75kBkN6mWNhKv9wBt8ooAro+Mk+uS7gooAy+WyDO1tOwb+dp6mFrqb
zZePEOWAkvt4Yg+99Cj8ofGb6zGxYMa1bte7gUu3PFo3i6yON2X7ImINUHIGrv2q824Jiyxxsr/O
t5wulzchkZXzfvg0RJkghUOGVFu6jqykhu+7ezLr6vDii2jMvzLbkCJhtl+Ql5D0oKm8yl7W7XIZ
OpfqS9ZANsoTvvIKSOGCRnYFs3dyQc9l1Y5xj4li1vUPW5732xUbR/6cqdBGT/0AyyUEHyB3lZxS
brH0XMCwZJT2ykaqo4c9YJqU2lJos4GzOewT2KRm1IS4ZCxlanSlbvR0L7Z94DUPcAkn0F6M3CrR
dv6Wdkx+gbcoWY+NTVBnuXGie7X1gfWVd7HbakIk+8yWeSJFSBBmUvDVGXEwHmbkCoZI+wE6XU5O
c7fZr2FPfXQ3Mm2/J3Mg72fl4HNAhYLVfaZb0B26cPVjmYrcPKT4OBViVNr8vIld0KcuFnI7IlFq
W9A6pmn+sga57E7IhlrdTSaS6dHxOYBjwPXxcpyiZZHlCFQV+06it0qhHwLFv0EdKdwOlOwahl4T
nRonmuhG7COcJFgmW4SEReumnqa2taJAPWbaixNXsmJCW5yXXesuOJ9LtyNinrq7na8MFYtUXXvO
/Tz8jLFfjUWXByHWdd0Qe5p3w8YTXzguDtXLhNvUhnt8AniSbkgXiRFqAT/HUOXdZWWjIefXiYhj
9Eeiz2+jJEpEpUUuXRkAov7JInRgFUPuT1sn+wIZg+XL8MDZut4bqewKjhaVHzKKRgTVJAg4U8WM
lX2pmLvIekwn5YaBBowRGxMAj9JLuZHToVvgBYv4twCSCbhtnUIymubE7mWWhPZOJDN0zTYU+5ce
/WBT8nWJeYFZKEqv2EKngSgYr9dD4gZ2msZOvsCQiQVKWrHe9TPUYMFznlSIXDpD5sCf8lHCM8BI
CNgoxmUak4PUGf++J9r+iARSgCoE8Ag0LH38MPF5C66EZQaXlggdfAvSfHxc9w7LUwQyE3M7CVIa
AhIJHk2GNqSKgR52Vbjs4xVv2JigzNJoZfI5TUjRO2JvpxG8LhbcyBwQO7KoMvbc4oHCV7NdpV3n
GxSzo3yArsXDo/YQfIoto/Zu6zOgD55DMZBzOJ4Si0KrUIny5AbAfE8OPhhvA0DVAr3J0nzmswch
EIbJ+J2qzV3jbcmf90hHDyjJLEItYK0/xG0j11LxodPl6CARwpwjlp+N8wQ4gwVmXaCwugQuIYAI
9oNMhwZaimdjX0ECsH3diDV6Xs3CIAtz4tGQ8skHkKuZF0e4TTJ/hQ0FNwWmpwmdCR2D45ZCJISi
OKVfcyJpUzURT9/jwINE0o1AuF6agde99Uu+nM2IulcFc9LBk5RE3/Y+wOKACqB5oGpwl/bfwBE4
xd2JLVi1GphM06z7PHmk0ZVDBIHzDDf7CLHNm1BEcL+M6AELr/vgueeOhp9hPVUzZpXbmN+2Kk0b
+I/cSOsejwwPJAHaC2eRtzpPnhR2/ulmVly5j40ivoMsgdpxPK5dLtdTp5eInrhK5dfVTqhYO7Db
Fw4C/pjDmISqLSKVbUBkEX7Wl/CCd31ptZxXhfSZvGm/Z+j3mrsxoAl9Y6z259jwwtzDacKgacMl
fPnnv0wtW9L32TYjMCUYu+6Dm4Ahx3RYzghTMOXfp2P/uO1+m3vnFAND5EMwYBqYUb46VjyHIGDC
Pj3IOc1Pg8cUBXc6PIht+bqNwXodiYmckmlFvhIsGOewG1/kAMnESzYDpEAp7XoD130u4QCbVHfF
pOvfOMs/RuM4SfihkXyGpS8A5fD7DUm7EFUr4iIOKJzaEzqOp0w68bBNTQaLVBS/gY78MbVDlkgO
HTpC6hB4puDVVFPJnvkG+9vBZ6t5n+fZzebC6GPnO30ysC++i4bFfl1SSk5/fxp/XieiRpABCNkK
gbaYlv9+nXgOSyTljhTJZYivITqh7BB2vk+75kvXY5P97w+H35SDcwEAHqbGl/vwy3smtmyjgxzD
wzyNvhhyhdADq+E1QxmMyJ2RfPv78f5EOzEBQyIYgAPgp0imen3AvA+2hOzhIQAP/S7KvbxfmkQc
Q0/WI1qi+ZCu5l0G73m9KQj1MHqATpWd/ri1ei1z6vKTDU1+anUTvfHR/QM8/P4lYDyH3yVASioF
NveaO21GEmsotsFhWmLVw4EU0uksbbB+CEYZfjQbsK4693HrK8CCc4Sav88OE6SA8Qb2vxn4FgqC
DzTFjLk2nEGaISbwyKrzAsVCgN0BQzZ8KwgRohRzRN9yDC36ZkBG07pI278Bov0BP+BuYz5PU9xv
+C9ep6PBez0jJtSHh2FJtq3ctjR9HjJ00qZvh1NHEggoRMka4i+6p2Td//1q/392BLIjEBuB2gb+
f7AsGcjv6Jcv4Y/Eod8Csf+NG/oPf/7f4AhK/wcJjxHgMUQrI+MQ6/H/CdWN/wf8O15O2NYp3Pb4
dv5vbAR+pwYRDohFxK4BgvfyZ/5fbASefQD+E0QTDEph/t/ERrxenvCTROAI8d3SBEApyKHf14u5
3ZEPa1tVU+3yH2I2CEzZQ3G9ypYf0JMP9S936d2/396vZv3LcvDrF/nv8UDxgRhC6FrMfj/e6kDg
00SrWkxjc2Dp8i3bWQ7mweTQcqJ4Khrot0W7qfitffGy7b06NIw2eMT4bjDyDV/hYNtKmyRsBlWz
aNUnlJIYhE/tdk3Q1z39/Srp5e/641gJoC+EBmLjf43u6FAh8isUqg796m/CBukywqB7xF6wDUWY
W3PCzErWbN/FbQIHegqyvP80Nao7hWx3V5zk0AwnRBKusBaet2xGI0wIJrPeIg4CCUzdUzgjjuzv
Jx7+h+cDYC5AxnOOpJx/krF+3T/mNuEjZiuqXvdBfBWdjSGKG8IeMKre7vyI1c1KkO+YakXgLshQ
rsse3Eg30+OaYR4oYjs9g6LM6h2OnIpt4WVaLsyx50a9UUP8x9sMIyPO9x808x/f0S+7HQlj7k0X
dzVbBe+OWLjDh/QyVb2o4S/IUMXQmXfbiEQLDwYDRajgO1pFpT/vxApekDHfk5JvPLQ1RjIp+jDn
xLugFWN2SmNk5ha+3/0HyO02RnBdSuzx73f8zxsOJDLAKO+CeSIo+FV9sCZQ3wyPBFQCtAr1xcFy
SjfTX0J8lzIwvtHVxMbtAN2Gv3H/XiUgYsnD+oEtCusMWCYUjZeT++X+9UFKUCZ0GLZzixjqHpOL
Fi6Qe5tGsPwQC63CxsuDazb1fYOl7QwaGS/AjEEWXFfIynxjdUA5/MeHgzOCCwk5OglWy9dejHBn
E/fQ82vpswAuUUaX95cGFpk1WubViEgYZCeIJm4LjidqSgLvtjz10bihMXHCNaUO0fIVSzShF+YT
dbdOziYpiAPOUA4UibuF2sFy4L/DCK63JHseYfmfsXmH4CS6rb1EeaFH/pLCmDYdErqEuoKqDOVY
sAUAFHLJOo5aASBDlTSZfwYlb+77tlW+yIGGwY8Hg89SNISSJ5V3EOvafpWmRHYXh7qwtOQLANl5
KMZ2Q0M1rTsoI7t1IG7GwCIFp+/a+ccA5eU9PNfyJ1wBECS9aZrmcchS/iVBzsAL3H/bcQt7DLI2
wdNSTWqB+oEsh0fkOXakXtdxQ+M9hRHa9bZbVvgw2pYVEgFscBhN3jY3IzihB83zEfEPfMEYfILW
gcyuKUmrwYKzPO4unX7kIkSSDLJEgpfekgxhaNEGy/TAfXbFDUNsBOxQCOBIQ+i7V8EwjPoaUoh5
WZXx3+CigLU57dQldQHg1pmNWDqLEXjJDrMfwyyVrkP03YYIsiu7qF/9EX+HVvd6nBGcAosr/pJI
z2C3cB2uCGy8v/NTnvpDmA/xfQhp9ws8OAGIV6wIiH6M1QSdOZG6rSK9wuuHhnk5oPMBooXnGsXV
Kr27cZHZxzJMGyNK5rR8pJqSH3//xP/ceLBExUgwAbYOn93rOL+0c20IZ2hbI4CueezdtJzt4oNb
AsHsjQ/oz+2c4jAxAPkU/4sS4vcPGqF4Cl0Btlc8E3ffQ1uv0sAM0LszeQ65i09/v7Q3jvd6T2Xe
zNJT7HOiAa1ZCmLv8myGlOHDITgnrH35748XwcyWI1Qdv1GB2ue3BWuPMNsN5NbVsm8RY4rM2vse
dj8Ye3dQKxtTh78f75+/8PeNHKFM4KkRQR8xRBy/alMXuHokQuBUnTsDuG5OpMLugNiSY+rb3YJd
kNFYp3s03nFh/SNkRXBtiPGGw3hOxpcF8taRe+rAbJKQyEMfMNZWhmH7L7TnQzVuSp5j+HmHN1Z3
etk6Xp87WgVQeLD/XurM328WlgOZRRlpgc9ZkHGDbdRz68d2vseusshCcAyfSo4f2Jtr3wztT1hc
5rQiVmOe43IFFbuhbfoxkMgBqGaMINuSmiH9bNXIwJkiKvIRZtX2c0An87D2O0fuVNdrRPsr7Z71
nkUppHeI5wWKbgxnwPwhbXKkc76+Ubf8cal4JyB4ZAku6LKhvfKSIiHZmZFZW2MGMFb9pu39nLDm
EEXBtSIzAkWSBrlWf385/nj5cVDU57DNYh8F6H/557/snhsypjYzjBNgznY6weTqnrGv9SckPH3o
jUCAyd+P98/X9NsDvbz5FG6sCGaNCD/s8PsBF480xjHccZXIlLtd4LAoyRo3x0jaqDbARiuZT5jz
t3auGtgfygD2nw9/P4n/dKfRzODHe2CXhMvg1UuFOosZyCy2Bocvql6Ird5GC1P9NrG6S6KLKp+0
+o1L/6NKQiYbJk1IuMJ9vsDXv195KPclDbN1woRqYud+H/YKYT7inKDfrts0GY6bnb7AjBO80XD/
h3g6jLigC8PshBAORLz+fmRglLRfwH3VLfq4TzSCMr8PPn22ADAO0RC9dICnEQgEZu8J1QYSK+kE
TAjhRrd/v/GvW38sPoDR0EsgugUL0uvKCASTTmPkQNWXgdBB9gA7kWScHzFZCc4EY4Ya+QrLRTCN
DjN17fnvh/9zJbwcHzFAuP/4yQLk4P5+IyxAXBiHxVRbK8KHgKrgmwvaAO2Ajiv4e90RGUrp2VIJ
jrMPs5/g+2SVSKvT0iMG/ybxo7224ZadEHGw3WGB0bfodbKqM3h/BLXB8tZbQ3FOv38wOOckgIWR
AtRH0/H7OQ8khTWvBcU7Wx8HVTsJ/PZLw6lF9DNUsv7awp0L64jRS1MxSSSQhN32STGrMc5r30pk
K8SQI2k5aISYlCkAmesA8IS6ygxjXW2nFGBhGnmeYJlNMCsGeR+OR6swOCwo2dsfu5pkcgU3o7zH
1GH7TKLJXpZdSuocMa+4g80ldcKsAZbIbhDRfjMtu/xEFozREYyTOof58jQ9dxTm1kJGQM2Q5CuS
+3ZR/GnDeXxkbEV6GKIR2w8BwLIRmvzuQlRSF8RvbQJzngYgF0eQFe3HcCDx3Q4OaKvCNeOnHPPD
Dh04Cie4zHoGpNCoYf3Obd8B/0W3frT4hwzZVAO4NugDKxy2MeZTFVAu8oCM9H2vbD6JY6qECcto
QvNySMDClVywzZyDHGtxKKZVnxn2kecOTEKJJJfksU/jLS4uVIYAQo0gqoNjs6FHpKWnp4Z0QVZy
JGj93HJrYdpHJPryxjb5R3WG9xpiAAKdsbggPuXyDv2yio8IGKNIHxpqSzZ3srjFgM7lforHaH6j
Ogv/WS1evZCwreQoXYKLZyp4pUEg/S6SCL7XQHVk1527Yaa8ciTqP6msD8PCTZOA28GT9CuqHM7q
ZRXrJ+T2MfqIga3aDgLBd99kPK3AsvALdkE57M7+DOkME0zUjz3Q0hGUcglDx/zchdLik4TdJ8EP
7wQrvfGAauKSWDkOldpTwPkzApcrm2xJVMlgDxB2M3f9o1QBA4ZiiPAFjAJ5WyF8ZH3OYV4AaGcT
Yc5tiHW4sGOCiJc1TpiueCtBVRmwTFgQ07E9O8z5ltIFZgToO+A3Mwq0UdlQTTqd9xrQkw6L2LZQ
Q1A75fdr35nvQIL2tewoYDWkOAX+IURQSlpByW6a0oO2Q7p1vpDHAWtMUGNsPNwICnNBsRjYUK9S
uFPnkinXQ5rAm/q/7J1Zj9xYtp3/inGfzTaHw8kw/MAhhpyVmRpSL4SklDiPh/Ov98es6wtlhKBA
+9nVQKHR1aVgMMhzzt57rW+hcEX+8zVXeio+OHQ1U/4yGSyGf5Z9cGuARbt87qx71jczDre20OhX
SZMgv0EXOMFJoP2NHcKG1xcNJTvturYMc/F3VIe0tGIw3WWvvaYNvCIvbnt1uhfxaFBg9KrS+X0R
cxKGKaz5y2xmwKIsN6+8XIGYCXaTUZe5xPHtCHrm89RTgvMnMyq7QxGBFl5YMK69ZjSWNNTXmIio
JW4bzQOQYGs+SW39C106MR5lbKQ/pZ63ztOcR/28T5Zs03Or+Bw8uN+Ic1arU8wr9G+RC0Ga69p1
iYxyTLMy0h8NR77yCsj8HonE9KGIbXiZ0IqxEfSZu1KWofDZySydxqCeuxjcUN9B+nG1OP80G9hV
97B8GpORL04hCIOV8AGYSiqvSACF0nPaEOjvLaADrqlkq7eoi8z2MirHxI+aJaIQ5i9zj4BhyfZE
4wDsgjg75EzERfcrzmTm7FDkt52Pi8f8liI1nG+ZbFFaRomx3sWRvT7KVlW/dNkCsFuMkD+8SXfT
L6ZSZ3FgzlI+Iz1wc5SeAxclmcWzwuT2cpc6uJesSgyxh4GwnAEljPFrbI+Z6/G3bZriDCgCMUX3
9Qc6dV3xwWAir5PSMzrf0x4wYJBB8/oypIN5oaF4fura+tIusUWYnqAbnGy+i97PKjezDNcKp6VT
J6u/tSwOFVpqP+5n/UuRGeuF7XP7Q08WKxLmtvAqFivCeU4WK7OVUTO2cx0qTuniJWvMMKe/unPE
rH9K2snc//2I8Ycvyec5aByAhMBDPj3eDmIeqpiVuKridd9YSIVTa4GNncn+aEejRUlFdNXfP/S8
B0ZhBGWfFjiecrr021X9tv5jSetUg45WqPQKen1OYNOvRbSFGdj5pOQ4c6r8amlW1jojxR0QzAnD
pIMDGLI9kBtnfZG5YPb+98v6073nnI97GKwXcK+Tq5IYkKrFShH7IG771K4g0txkcQMG+WvYMde+
8ID9YRdkpkTWExk4grHxyb3P5Qga1xZASABvPbYtPZpldtwbDQ3IhTv+h6/mbJPYrc/Mif4UvmiQ
0lFhx2DwplnT4wQZ5rhE1asj0uQDVIPp0qa7XfrJY7z1Q5iwYDrg7Hry1WKcagsS5CG0kMIeXBGZ
R4dz310Xy/UwK21+l7n5EPIStLtRi4tj4oopqKM5ufDF3+zep1fCIJgBxzaRBNz1/lFLm8SejCGD
G9eo4O+RHmKVtlne+ReCiAokHIH5hAW1467vM42OLPh/o9DaJ9bFyZ86/gE11rTT81S/rStr2WGz
60Ilbb7Df4kfqNGZBdoOzpSlg/ois5fW1lDcFNUy3//9ET3v1ZKew9yIlEjM0JBCTtaHAdycSUTL
GCIpLj4x1La9vGc22SOx8+QUjzeiSRHioeOYXto6URGzJ81et/MucIexP+RD1F+6x2eTFy6KW7uh
SrnVeKff3+PI4lRZ2Zt4EGlcvq+nYQEnBIPR2JWxoS4h6lQQcm2+tE+JJgcrGNNMU0ONkIaPg7G+
BejoBh2asrmb5gXSb5OqV2smJtsDEla0HsPd8TNMz+gJFfZ64UXcru/kGcEEQdGi8XqYNIPeX3+d
xggdN/lu7c729aAuddjT1r5Wm6oJs0VWV+ualxfeke3BO/1QBCMb45VSl/CR9x+qxE7ZOQi+Q9vB
sKGbVfepbhBRXVjUzpQp1LDkmWC8YYlxUcKc1GNIATOL7aYPOdqIygeShK9ZU0z9nhEMNh1c03eg
sojwbPRX4Sruy7woykOFC45Ai7bpd00+CF7Vmrw2oxTZN7hG6U2EQ+T/4WeALUDTmu3IsWHzv9sV
3JKi33RQB7Rut+zFpGrX3QoqlvEMTCG5vmqcFC5UIucVPqUqQm7QtDSWII68/8wlJnc3LvjMtMI+
l3H77mDutH7nNuOOlrV1xL+WflrqKgmLJDIuMXjOF8oNkMbahC6HT3dOXp2ssKyhVFcW5jmFbijQ
TO6TZK2HgBucPGiJw9QDcJkORKo3MbzMItHuWjSpX5V80H7+28uLBcNmG5kLmMBc0fvbkQ9LGaHQ
mMKxt5RDg4GHDChWG15m3avAMLCwODM6Juw+VaWOt5hk8gBFOHOKeVUe+eW+//2SzmI2GfFvO4nK
IYyuMiCT95fkumMnF8WcwkEzpBaivc57knQq93pxLfI9YdtyMY5EZE1PoOs+tOuylKjAHfEBdwKp
gnofjxHji657ISwF/1CmNcoczKXWvaAMjRPPGvPumKdDMR3GLk9zivgE1crfv8kfujkWzDNIkwZg
PHaWkzdxRLmcxmML+haFdpDUqzyoeYtYtJIpRTm61xRIcphQKR5zwP/huCqMpomz+BwrC6basS3J
DVAhYs5IUY66On23ZVNepYnahOqICvbCFevc2/drlKVv3GKERixRiNve3/sGlV6flMDjTYqKPZKF
xOsr2EpDZs57Z6q5dk2pr0TNgL0GRr+z80XDsKuy2oxZd2F9+MO7ugX3aSQV0gpFtPr+amg5ZnNf
o063khEg9piBXoFhM2DQKm2QL77stJXwpLgwJ68SM7NDrHyRcmEPfps/nN4VBCt0FDi7GdopvHE1
nYK+qT6GFqAO51ZWa5bcNDPgRd9VKl0NmWASMxgjrXiI6JK/NAr+pDtgFCPOrLR0r9yqr9BWJ4aB
Dn3bLr0c/fQaFtrqsA0u7Yx1RaMy9/gD3c6fmTjokHtNDEnTZu06Ym5RvlVGlvYwGFpKhRnPCgGa
UU1yBDowJCVl7jBvHRN+i3kYNW8hB+g6norBhCbR1RROcRsf9NWW0a6aUDv4LPnZsSuqjG53okYu
kIVklVesBfKb08/Np26zAsdAB/KPoN7zY8v5j6n0Qr3i6LAN9wuiHAgpVuX6Khq9r39/Hs8PzNA/
bIZ6nC3ZMI3tn/9WNoxLT/NuFCwF1pLeVIJCs6glj75eV7u/f9SZxo5lhxIF2SiSDIMt6eSzJnfd
OKXRFHZOlWXX5NNCAh2t3vmhJlP2qTEAYECGFHoXJrRtyjsNrit9hLgYCM6cSFW41rSucvCgdK16
rKxBJs88n+SE/P1Kz4/2yJUQqIFI2wBEp236KjWHVkq9D4c1VV7MJKqCGbPL92mUnw3LviR2NN9K
wvePP7URNZsD25NC9RTFhxiGfnNKo64wRKGH+HmdpfFnSWsAaw2j+eiAeLnHZ1e6Y/OzTFcXXfuK
k8C+SlR9vhHttJjwxAZXbUmL6OlMhirk2OznFi0QdwGpfVEZRnBPPruKpeIs0yLcR5FV3o363PeH
jgiz2uNhWPC9sUY6tRKTPOGW4KoNfAZNHd2LxWybz21cl9FXqJ89emgxGaV7xEdpEOSVdMVXUNy+
QERdbmpqFpfSw0mNxFrd1NbVnFe0RzYNdqm+ybE3Zfa8abSdN7k2qcZIt603GTeRZfYjYRuIu6PI
sr/zViH57pK4U/cJFau8TfAoBXRXo+lKfxOLm2/CcWtd5g34kuNCokmEd5XBR/UmJqwC901+nmPX
xeP9jy59eBOpY7mOc0/ftOvtm4y9fJO0I6tE3t4kaFG1rpeCrir692hCCW9smnjmrs3roEI5oX/m
xF+1N/n8jJCePjySegz6yOvtN6m9QaAIfOdNgI9Zsfq+bqr86k2gP7+J9eWgZh+cNwk/XbjNVjR2
SPvzN5k/qSHtTq6RsLxy8wHg5cASkLzZAxROuZavb64BxGoYCLo3M0HK8v2EbBeLQT2Ok/CWN+uB
FHPz5L4ZEnJLZ11FRyD5sxmHhqw0W+4b33rwyDJN86M5kjmvaY1cAeQUZk2YHPb3XSc6s9njvrBR
V8/l8mSMaGGINVG7dg++T/nkFkBPQYW3rrZPdeyyR9qXGIVz5nkPTk2kRdjra42QIY2WyW8Rkdl7
aCW9iqBMwyBGc36or4a1yhsUWHOr7WK3mmkKOwVhdXPX8Mus9qw+DslsfxvaRMtAYW9Gl4q4jSKY
1b4ibWWFCByMmu5+UTn8ans1kcWPSousKaxJ/jP8pFSt/UhOG9DsbM6e4lZptSeCL6qRtpsssJp0
rSH3em8vYEMGo6LxWdEs3pX0AbOwxfZHLobochI166iprmQ3AZyKOnPudk6TChVYNNvsbUT7/n41
lgEfLpajX5W0i5uiRbKyx0HOCTW3ZivMHFxmYHFKpGZ1jmuJ52ZzU3YTg7m5MAClNAMR7NvRXkGE
otWkoAJ8aG6hCbCGAnKAzYBpJg8i+AbL3mly5qm5M06+jixu8ZAvjnU4Yo4DdxQrMGDGsv/WMQoi
RMap+iZMKh1ZnjboTYntpJlfxqnDcuvMRrFXgNsyKWlLkR7clIbmlYgqCtNC29w2RTPH6Ikwsx5N
uvwIUuwJ8oqsI8mbXCfx4BtGVAkvq3WrJpAdqQEDo8TVr1yAEaBzjRVVslJNhUoTYWju2jzdNDnE
NDsEstTNC07mbPFoGhaWp9mYXJmV1/VjWVa97WN3LVYSeW1M6oo0CeJ209XYNdDyukAtSj0lAJsU
Waw2bVMSXRA5WIzIZL52XSWHrj7G6U0tp7VDIqYX7l7MW8tfxkjfD3j21I+1Xqo/OQaPAzk8i9U8
GALBv4/2oQT8X2g5j6ESzUg5MJw3IT1tuRMattWdTv7XsiduBZv1mJvqHdlTJUkDc9XR59U7DdAP
zWtox3XCz2SLVjmC/4CPJSbSFr3BEMlTDlKR9sQQEfCAWXS4Bvg5JXv0UajaVg07jhezktjHmYgj
hVhg0dOu76qi86dlGTltyFximI4H/gcIRo1vrMtwtZR2lu6wKE8WB6Aq6jzc8NPRJcDc9hW07i1Y
q3V9HHPGyzDIya47FOTjaMd0jk2ae9l0Na2AT/3aIeAIYdkwUesQu4wDCGO3BRNBaz6iFmk/kYex
Mr+ZehgJo0OGSRCl0gaGIKesvVLI4nzq5kYzwyjOlQUqgCabB2HAV/8JJirpfMdOB2pp5PJzUKB4
w0Iz5ikG43iqv6cCNjrn6H7+ErtSxy9tqNExKrPY9uSSC7IbtFkyNgQ1yGMgdLn5x2uqGywA/N9H
vOpPPZlPWKUNuRoeDUAVB3vrurvUSUwb+oQlEXERMJL6BTTLJw5+6VdnHcvveWuYD5x/EnhnVXxE
smLvCsHu7aVdBclili7vVeksz5U1px2fVpRI8XlrHLmDZtHrIPrB2ft4pPvcw8tjzV7i9u51tXQz
OKiEavJol2xURHk2zXc6hlglV8cuftSMzUk1QryqhVqpjev1kuewqR3OyTBw9TYwIzx9R0zggwyL
eBiUgFQh60pHkTTsxgQbm1+xWGD4AwdbclVmpfpFLdbuvl6KTc/ZFRo5Ug3LZFuMQ3sYh5odwOms
6mGwCqFiUdI7HHQSsCCT4bnPrqxmLdbDwE7heJLMAesJ7a1uh8lSD9qDbJGt4niGjXCHbJeVdGkV
qC26BGPrNXlUENHEcJFlgCQbDy4L8SQ4Ro1PSPBwSJZ9FnefsqZrnldYiupDIVByZcvmj8QLaZA3
5PbyOa66CGvwpFlJwA/BOWaiaXm7Sif6VcbZ0AdwNki0Lt++5qo6hJvS3Krkhzg1DFQKzZp9XtBn
tl5eMjja1j9nIaxCi35laZoZ8GLX5jjP2EUP0oRpg8oo0jjudIr9RcCy4BmN2Bf8OZ9EtdNKwe4I
jdD+xgyC8srBlf9s1XP6qi5JhmcskirMFttKrqOutcugUQDK7XK2CbQlMhzyod5N3VL+dJqiW0Na
Idl0k8AtvBFyERjDDadtw8lIltGnCT4sh7ShD6dpMv5VKpIkwtlISEvMnFJ9xLqeDH7ftG3Mb9Sa
HAudCJaOqfXYHaGuz34VRYTMFMgtf1DW9889IW4T3ynTrMBhpj0wABeKzgi9iqevjS3rJ8xv9DH0
lTnTbhaLvrdqop8Cwi56DIGQRxbgw1o3giFs3T6F9LUm6Y0sbH32spyMisCIcVl7LZybGwBzVYbK
eTZ/tfY45TvSvtuPPXop5AQdYfel1TB8Zu9DRw3vINZvVtp/aAfRcK9Xg8YR08OuPNj7tpMgp0j4
UOywEZYyfR3GShU+Ffag0pFeNab0VbMyrVSi4t6RlT7T9i1mXJmoGsYP1qRYVtB1YN+vslnh+NLl
nbi1IgyEITrSPgnWOXPVkHW0Ub3EMXsraJHuhkSwgXroExKMNvDPclM5UiNXbDNyEafWNssW72dZ
UO+W4pMyYsaC+jBw51kOIKTMOvB7lkubZWTNRuODWWtdfMhKCg6vtggI8V2aO8GAcGzYGS662hGU
x8IJobWmnet29j2HpPrFMUegZKJQGuyeMs8OPZXEdKhbPjhc8iK/00Q9Ys9sm+aeQCP7l7XyfhPw
YTvVjqpA3HfYil6QANamRzkFl4OMHR1nrRlh4CeSLWqQsHf1bWnPW2ZSmqfq1umvh+9oWFhjGrdK
OdE4UNluuyJZyT0SWVVMX4j9qFROBdgziyeS4Jb+uU2TaLhthrZd97jj2+FjtIpYLKSDjDJW8a3q
9nVezAoIw7+Xg2/l12l5RssGa5iKaIve4kmR3EJU7CvkDl0WMVsjK3cuH6c4pcnQ03L+BiFp/TLk
NDg9a22hpNiFWhtXUMYJAE65C3taQsKF2VSzcc+THDl25CbsksGGKLEdfW5rwINw5Veje24G69mG
n/VqkhUVH0fM9g8AsCAb/v17ndf+22CB7g96UBRw1kk9LmnwxRA7thWhta/cFUieQybANXnGyoWP
+oP+jE4j44yt04Rq5Kzl2DG1NO1yA1wn481KOfFZQfS0Y3lO9jYwxKeejz5MjAt2dC9jisk0+WgB
r7/wY/5hUIqcDK/AZmlhSOic/Jh25OoljYc1VIpV9S1F2HccSexnUizcZ6bTxrFLGjskqIemYN+q
2XHsJvu7Wps0yGQ5zxcEcWcpVqaBigZTlbnFEEFiPenGJrWhjaDFViRKCWPDjhzIH0OsqnedXPP8
1iwpJncFE7FvQs7gchLG+C8Zpv4XCpTs2dRyme/ZugjhILLyocl17quZm4RjzFTZiZcNDQKHoksl
h06btwmD9aDdK8yBM/ZaGUceuAPOiMtamsA5akEyuRUN5g+h9M6XGozYEDRkIK5XeNjnx3hRjdEr
O5KjHGtoGqyDU/bCV7ilJw8okDBqiFjgnUYP4UucH8nETj7+/dk9n9px17hh+G4NOif0/d6/k0up
JQJWBndtSswPRqy7e5T2zbFbkI1psSoeVTBFhzmpB39Ia2Pf00K7L2anfeknJd45I22QC0/51m1+
t05wTQKPpoGmdRM6nHSjSYmKmDsLNZz1iYitGYUeHcAirpSgG8z8Y5NYWeyPSCMmz0jm5cvf78nZ
+8zHo5nXELSKLT/15MnOY6IOklwyBCwK6m7HnJ+zKiP3x2Ea/PePOn+L0CK69N4FD+7WLj9pY5sC
iGdSceqQ5E+FKVrBq8XCKBVvh8F5FNWX2OL5aHJ12qcJQTCLYCK0uPhG3CSKL4xL3zQcJ3de4EvQ
6RHTxWb+9/5pSFOVsVrcaKGJ1CPzMWDUG9WtaG/qSKucgL6TUgWKE5mHIgUFR9+qQqhTkWybQJRx
zdxjZqTOLLbxdC3UZV0ChF56RvKAiEYPsLp4Urh8h+wuIHzwi7NoV9rYA4KeMd4SOvWkN/7a1839
qi/mV6oUwSFEa+NfpFflABhjJ44DvSvlpVfhrF3JGyBAmKv4jBAXv5nhfuvhmpPWGEMEz9Z1hgnX
iqJpr7NhJ90dLS10bm5Z1/EuMu31+1gBMbrtY4MxvOIY8M11J1a+d+0CnlR2IoaQh2hwptEf+VSM
6DX+/uD84RXZTGKYQplA0bk+WeyGBoTsYmxqsbd4PvJl181E6TgzV5Vltx3ZXxSX4wDB19HXKL3w
ip47A7lZOMQsjTtlC9yi75+UabbphLa9HhpKqv+M6NncLUuKdyqemIGtpvVRmWR5RJreBM3gRlTb
aKEcIlW9dpH2nTbYxr6FmvmURC6cztHKXwSeJN/sEXL//Wadd8y5WEwidITJXeexPrlbjhHXmaPy
WButmz7W1bgcIyNeWhZzowjELOa9XWXugTlefWVT73kmAc5BTKt9v9LQ991x1QPO2s1Vyq74dOHy
tnt18tbRQeDF40jEoncKBdDAaHLvFjXMcQMpVw3EW7o9bA4Nh3oj+kE4IoxGYebrYaxgy2EpwBXj
qUMjaw+td//AEinxjNJJUv0OVfIl6/z544buiDnnRoHHC22frMg53hC0JJBpHSgxlR8LGV0DQMxf
TNoVfqvqyy8rj9NHNS6tS5L7MwmHQcMFlcB2gwxk/SeCnak2gT3O8MA6Yu5ocqdkiKNXhCno1t+t
JQdus0DCyUhcJHYxWneQI9b/dLr/mP9n/LN++OfH+N2o/Ifnna0IlzUSLAJp+Ov9896hfBtTWhvh
mKCD0ueRZJna0ffKCPcy6jTjXnFUhUUind1bVUvSH4O7llj6EDh5Jj3Xr0ZJ9BCRjJ2PR8+Ee+2M
YZYOanItsOFc2MP+sLFsRiVu2SaTZhp4Mr1v86GBR2SKkO7REGhTHocy4uWzrDo/SOalBbyCxP6J
Dbe7qSeA6RSFSuU38PmDaLCa5MKKtb1j7x9yDWMMY3JcxJo4P/yv7mSQNGuGM2rMq6gsh2MCQ/Zg
6cXjMKh0A4tOuW5GSGRJjTD+woJ1vrhvAhrTwKpibXvuqXyg1tGezyUf7wyQ1EAX0TAq4tslLV8x
UzT/nEb/PxnhP1ybEnSrcf7H//5f/7w+ZzQEvGOvxbfq9T/+28+K/PRlAyL817/2DwRBc/6lYZUy
ObLjYuHsyR/4nxQE7V8oKlC34moBkkKF8V8YBMv9Fyohfj5Gitv2s9FF/i8GQfyL9xKdDKURo0No
J/8OBuHsWVWZLSJ+3FKTOAy97Se/nQRQjckaotca6HOu/rAUrXnosq7/nHSJEyo6jXlPcTA944Bp
r1sQ2hekP2cbAt+afsQ2ySSiWdjbP//t81fDXlS9W62ArkKFHVmz9olOtNBvP8of1rS3+eu7V5KP
oZzk50S7gtr1ZI1wq4HpWRIDbYzK4TPgP+XJXBQ6lCmTYlYyU382+smOWeB7ZvBJ2YsnMjclvdZW
lqOHhq+HFt9yrA0MSS3ocV6ssQQNevxDfbtNHPiWPihmhpz0LTrI0WWVRoxC1FK7TZdixZq2dPWm
LyjUV7ddi8izAYY/55yl6GIg8sCPqyPE9GuVgCl66XP6Wdg0Omy3oLIcDYDAd3Mmh1eVkAaSXad6
kIGZ1tq3jCPmszskuvBrmeXxNUkP0xM/4tiGbZKqnzDa0LfrtbqCh2rV0mXIOuU6RmGzBLow2fmT
QcWITj2atlCxUnXLhxpfablfnTyxDyu7puW7Sa5dddLOhd8CTC7CcsyNFaRrER8XzA50Bpqpu1OW
OJFhxuivgL/Xx8L/7xWNYZiVncVApRUPVZ6Cmirbqb7O1xnQVdYn3LJUzfBOqZCl5393VURhBggH
GfkmLgSK9P5BG9ETGlqqbPrGGncJ/HTPMrs2aEWV+ynw6guP3HmRvtGWsOsCv+K5o7x7/4GJU6Ou
z1FFFWtT9UGV1YXNVHcek9Akh+BexjS+wn4VyqM79gTQxowjEqwEEYM7pjZp4rWMSQSW+CX7gt40
+W6sMfW3ag3TdEDoov3KEYyQt9kuxQ5veoM9vBn1xxHyz/ZTMbuocinxPyAXODKv44Q+wcCOYYtn
NXb8gpiAXZThVykAEuIPsde58AwXL5RnYJb6JEfZEKxRuoSptG3fXcGczirftJeBHPEiTr+uFfjv
C/vn2QbGnSO7Cr0qf0eZp7+/c+6i1U5p2lpQTshxICfHADJnZadjN6Eh7WoX+ilvyaQnqwMLKmEQ
aJNR3Z2eIDSQhGYBajyIqq7fp3M7H8paQRVkGrWvuM10l9QW6EQinj4XcZaHisBH0xiuEvSN/VAA
z+T4T1OUNKg1YDrTbqok40B6iQxiJqSbAa++YwdwEEw17hem+Hwxu+t3dTpmQYPKfc/QXEfGtPWx
U3ytd8RagFuapyXEQpx4do1JbaBRso/yKL6lQlNBevFJNDqqC+/KeftySyzeMudMWmxbgfz+F4gr
2yGAPjKCsqqdLJCxTK9LRpClB88dD4nsl+ihSDG8hlvsACnmICmcMM3B64WloOcVVAyDiG+OAIsz
p+9hCNf1EAsvbhLYhlUrB+lReg/XViwc4PTAqHvPNTr9vkxnFYmbQ1fLXzKlsMK/bwbbi/f+17Yp
5dB6buJKm3Lp/ZezpKg00WFzaPjqt32kVmFuDhVgnOpSe+f8bMptJC5Qp9bG18Gx7P1n5VxGhwFS
CXRFVYCX5/MaeVAajfuiy5JnE8EkL7syT69mYjRf2zVNr1ejMcLeqBhr5fxdu7Djblvd+6+PmZjd
HgE7e657qhOvx9VpO0OJQ7tlZBFL3fTWVtnWYkcvGTELht0NlMALN/18o0eqt6VqYX+AYXCaDtxX
MWZTu09CMS5d4SfqUH+lCkIvmvVNc0eGA3hkNQNtiJLVcQgAyTfYRp64Hb1GU6B56DDTDfoA1zFz
5KoRS1/Yi9e59Whjm4vNe4JdMiB61DaaNzB/iG5IktQxO+lwZghIN+LPuLpYQlFAZdeowwrDcyJi
aXymiuP94OQjuF7JlniFNC/9bCascV5Tr7RabWhvKk2cdGCldhUiE2bHEJ84n1U1QkAFAmYKOsXi
62BdPGTLkB4IJBJzSDhUc4xjDShrRuQVaT0D+2Zj9oyz22XdSxdFNf2isf4aJ0q5J7LA5J1hE9xd
+A1Of3nafJACAKwwTKZVfrKuRjMVLIBMN2BAbh0aO22vuUL1UVXa+sIKct5s5bOQ11JLcxfYb08+
y+oltok5VgLMt/KjAoPkkIm4/La4s4HEKlIxU/XxV3uK7rQVDHtTDusudsz2dlzSnOiCWlwAIZ5D
BLikrbIWOLs4C54i5FZbzGNsWVGwjRzRTBNj6gOnTCCqzs0NvIoMRU275Rzp268+NuLBkm574c78
Cd3EbaFvT9vVcbk975eEjGc+V5oygvFtRK/NWPVF0MtSzYJCFWRLVU5afqyMsr+nFVIMQWEqA45X
xqz+AGTF9cF9z5BE3dG2gnggNwg1KjqvZdB5axta9B+BBqwc0Bo1+zhWjDgvPEfnTSbeIJwmHG9M
2gP4Td5/hZpCaEOKwcnpIzSBKWE/pW9BUpr4aYlRQg7e2BNoPluMgehTghi03jQq4txXGO35rO51
pzEPUsRKuaPjb6AccWGFXLhQe7uX79Y6AAaIGWgL4CdRzzZ20cRL2jWjTfQENpKAnlNqe0gnFwWz
cDTdA75Pdc/iIX4wRYXBdlQn5XoaHFGwaRl5t58zBxZoMikpg4/ElTdzNsrMM1GBI5GUTkZ8pgYk
3ccG2dwVy+ZinohG+0lnvecpUoi9DNCsmQRlcWIbQxXzcuFJt6mGjwbO4jkYhiR5tlSct4ywXDm+
MCeck9sUu+wuSs0sv4tQBD4Pstd/AF0vfrnNhh9oOT9t43edpvGAmF0nRN4tVo+AixxJLt70+0Vz
16dIH+eflcGF3ZpxwnlytBUyIibyPWKvjDlReE1nkFvLo9M9iLyPXtbMHh9lRgqRX63meMDGT9mw
RnH5kjaK9Zobs/ypmUSsICEAqEuw2FB8QyPX0FuRFUA7OzawQgHgLMx93zuL5RlgtJU9dlUUNmku
Hi0xDJfCY88OjpQggO4wUDoGUlxr24N+KyZjmtS82o0SsPrJW4Adik+ujwWcX1bHxZr0C+/yn1a5
rSuNqGOzaTCpfP+B5GBkVbqUZMUQcPcEEea1nyItpGfd7zAt6jvQ2OZhbXvpA8Cbn8gNNXbUAfKH
2dvDLtFQUv59jT+r57kFm3ESIAx34Sx4FaihyBTszgG1nNgVTYkkrRrNow5NDxyy+4qxK3nUJHS7
Fvz3hRtydrbg0y2mPPDVYNMZb/frtx/AqdbSzVGBoL0uUz/TcLxDxFh/EPS0F1q8HGmhT5fW9fPj
O5/KDIPkTv7Dfzk5rZqdorgsJAoqKLcffV2MZJr4Q9UmxBqsBQdNDqRAx4kfnMaDlpUWEmNVdM9j
VpZEBcyRbe1BvivXucMO7fU1RsagtJwZSfSaimclGfIs0GFGfKoM/Ro6Bdk4Fao7eTDXiFUPPBOL
ggEFIIGrTPaTJ5TEOnCDUx2MA534vM1gROuZWyk+KiApPLdQyeI16atUQavnq+mhRpXPxOmpuUcO
hXOPzFJ+rFtH/MRtU37oOTI+SBrUKoLLzEVDm82Ftm+6OvoAk7phKq6s6yuDNgXCtznld2JQku+A
XJcs1PKZIAMSMzlqTH2BJHaKMvxMQAyLW21SRbpz0rwdfOgNDilCqwLhX0MtjYR7aub9OCXT146Y
LGWzn6lfwZ/RPSU1paeExj3xHeT+kHrz0jmPy1LNqJ9ktm5M9mZ4XKWWt0iH6vaxztMeS3Ur06+N
JWrQAFkDdW4wrPTWnkHfeVaWG61nN6l5X8uB0RwWhrUL4pn2mkcUOhi6ckGuii9bIUat7S2kfO2I
x8O3BqO4cequw7Nv2sqXNEqT15YJc+5v3r871EDNF+qsiZxMte5/quNcopCENHDoItX8peVOUvm0
68qHJemtj81Quw+dGNonqdjTp8XFGumJPppIo0uQ87KMT8LxJp2ATL9slPjzounoYbNRcXNfMt+J
vYLGA10kMm8+4ykiTTvt6R77vbsq0jfSymHias05wpxGuRXYCApPWznCBSl2zT1ECze/siCKqIes
LrP73DbBq4ik0o7CqevaM/Ote2R1/Kt7SAqV2P99QfnDmspiwsHCBOHMZOlkTS3HAtlJmvNKM7v5
BCsgv3MmBe99N7Z7GguXYnjPqjOMJZQnG23HoXd9VosTmmPXpnSDmuBVH61MdVVhJqKZZikXjgd/
OsewUXASAxhFt/7URKGnOAFqc6MrFqL+jCVhDufCNW8rvBvHCZJCmCEHCUwGQselYvSZ4EEudhS/
3a41y+8cKOUH0k7TcEUhcsHh9Ie1lPhubjmDDbzbzskhy6iFuQJdcgNHnxeXQYY2/R/OzqTHUazb
or8Iib6Z2rgJO/qMbCInKCOzkr6/cIFf/xYxeWVs2apvUipVSQFcw23O2XvtaaOnSsuBEQ5bsNGg
Thjka41hv7r+m1+6NDVSg4KIgTDQW/TAXASbueEBwYzGND+QH9ptW6qWd0Pd48LNx3ofKcNNHsGF
zRq+f3rxSIxMRAmLxVRpWmkRfRn4TOUka5CL+JiLusZ0il6S+aBbw6ygxZQgboa3Fnr9s03L7OBV
QExy+r9rDUHgjdXlwnrK288YcF/c21LIxYFOa8qUtMyQrt1vrN4Siqpg32U1tCjLydvnhDl8gXSE
tG2QX67/EMBnz3ew1OfVT5e5e45a09Uxj9OJVKiSzNUYQ8mk/grTDvQSHpRm3PcetALftpCM+B5M
IzwnEb71lzqW3b1gqoFTYpaUF9KxdNaj3pW/JuqV7TqyVcXbuipzpRxsDbsN3798T8eJTNdM6kaM
h2+KnsldST6Krse71lDRecBvRDkjdkX4I2bnXWI3D8G/lLTJm23p1fYPCnrTHFM0sLxINSEYOmGr
+gBQEHV0iHvje+kJOnU0Hz2D/AGBMF9WKEZmo2B47J0en7QN7k5SmA/EQasNtOFtByL4YMtEJUhE
K9FZo2+LAMJZzm8Q9qLxCWETCmlyn8zTGX9KoQwSavFJRVWxkodrB3sFpTQn6JI9ayUU1VjtzWiF
WSNh5Z48148RkTbrzKu7V4yBkFiNmYvpyDH5QvEfWKb8BGeO9IjvXQcbjC9baaZbcjq7LcorgJu9
Tsy933yCOL3KA8oZcfzHAjuzOi1rsp76T4BnS8vlORwMVE9T7oL4zEpH/uZXcB5pPdhINkUFPVRA
avnluVNUQyUkY/UOvX5rr0UAz2ub6+WEOssr03qjipAaCq0L1wL3GkM9tcK6/0leeF7sWidOWe6V
adyiq+FgEytotojF9lid2DUSyGoaOKk0tTBfeqOZMBhLZfioFTXREb/QrSDXKXp1ECGudD68bTBa
4iD04gGIRfNRmYqHKjrAIashBg43bmqU5S52OyfeZ6Nq1Yd8NJnIWTOlb5du+RfqCb6H2G2DjToi
6De0LieDDiiONkQs9lYzb2Qb4jL4FSdzfIcwR6Znz+q/6w1h/0I/hDgA0T3spqr71Td1+zQvgb+1
CaHoOqkVJoXYHmgseHXZdHs9ruHyExVgkkaodKipjYoEvs0wIrMlqHM0fDNoMMT1UBwQd9Djmda1
jVF/TQKrbEkyjXqLDJuieOO+stLXY/rLa40oN+NOU4UZH5uEmtoWhlZ4a3d9aS6gocuuHqO8Y55V
ZQmHHtxxrqmYhkedPnIsAD0oOkoMuWvFopzn1PbwouYEVK14a9wbh4sLazMUAw3+IQgTRCaLdcEB
YyCUNoXSS/DnwepL7SFEUkvhK7phMp3/0unBnT09NHqWnxm04c1D8a+DhKhEGzoDa29eKM3Xopft
nSCaY6PFMvyjWFOzsyoLZBrogBtr3/kzIlEDNIQmzoMxv5SdomVGjtc5WHzdYLpjfhx3Qgzly+QS
n3x9dr/wkHBZ2H/QzEW4YCwWvBFjlFr3lFH0SS0fAHUOvg54jusZ6ZNDGBI/YmR3P0h0eb9+5fNN
HQ+J5wZ1AtVpuh6nw0uSVCcxKjj+2CcRUYAB6UBdOT5akUkPiQ90c/16lwYVqRkpMEi5KMUsrpdH
JfxhJXf8jowwlgNjekZOY7y0uHNvDOr53gVbHmRxaDMUnImpP320MfGaLHMV28c7QzWtFtpIyhDt
T7gZ0LXAhZXRLi3bW5vJC4+IWdFFKYZQzUFVd3rdJG5CmHOq63ukUD2qZcuWPjLdbxPv6I1T9idx
cvF1cNAF2ocyepaYL75DnLmh2pnC8xu+Qyo+tGaHx2qMVR+4TAihLcrEPw6A3niHlwjFUMPJl0xi
oNX4axD4rt2pgtCGfbovob2NEcV0zSUzNEWh+es///ZUO5GLzyoIKrCLT5kQaqZM0N2waBIJtAxp
VwGZ1jc9vEHXL3XhtwdcArILUQO717OsocQSCKLMwHca6H26MqZ+WnYEGtZSIZsLWAD/Qxg3ZowL
hWVcXxSWMWRzTiL54PSnHw07m0YS032DUn+4y12dYneG3pjzsWIO69BVyju6Xxorii7UF0KFLDw0
zpDdeDEuPT8HNVfnKDw75hdnNcVJcm0gadonCpLEd00arwX1kncjJ1gB6nf8kNM3ebk+6J9v9uJt
pE1owBxCkwK+bPE2NtT6MKuVLqeoquZF4uPaVIUTbgu44vto8HCFVuYwkUpKj9TXTJ471iP1W6OF
3cGTWL2v39GFYaD4zLoxA9Xmfzn9ParQMuthtng2XgJEyFaTvyXGj4IyUMjLgGxzFwsM8Tcue2kg
6PezPqJGY6++FJmkrkt+jkF/f6J5vvMcDrFONeh7AIpltDXMSkHDqtsvVjaG5LImUwPO0K7tL7ma
kpeetLdiDs7nJA626Gs05Hyc4qzFXKhxYfaRUbyBW4eyWM/dx8FNfwV4it+uD7k+j+npS0CPk3eP
rgBfO4ij0zFHxeYQpYf0Dn+Y3OIw17ap0bvPwk2MR9xFLwGc5GPfk/2eYVXcE8FGzKJaF3uzpMMX
Jbq2L2R07IQeNjD7q5FgYth0rhJrLxos0LXbjdF9NIbVcSzV8fv1+z9/ZVgPkYfAUkD8eKYOmao+
I5ouhhgOLgLGSj5tvWqGfPbJ9KQJdgKxNUU3pqsL87huetpsK4FApwGAOh00N+5HWk+oCLR+NC0q
gqn+EKvZVPtVIQcVx7hWm2vDTDVjm6Wj7rxZYdj+0VWInw9B3xLf1niScx1mePJ6UQM4P1zNiPMd
fpXQ210fo3N0jsaiOkf5sCmDnbNErtDiDsOu5NAF+CjZuKgxnuljGBtzpP00jS61NJAq014vqJzo
mtTwzpaTsYsCS+wsZr1Vj/3kmXU7e2f7pj5IRucohXzSRec+05G41eueJ7zFW8kdU0ZxaXyCWFx8
AOC43NQlwnXDj5dvm0Lp/4ELNN14ec53U+gE6XGi4mPbYSzJZYi86WVOQbQpwwlKWiY1BZwqicOO
0wmFCYeD1/Wf4ux15TIaZRKMWOym4ESdvjiOF0ubXk/K8ZewybnlDCdrij4KozK2iRtPT/DZLPXG
VZfPiRiHihwtVOpCcylkMdGTCu5GQtVGf2wU76DIMdyNmRMQP1ijVrM4PF1/yuX09Xk94CZ0G7kg
q8vpU2ZEe0C080a/b3XvgaEf7uZIdYIbO21z/VLa8k2Zd+AWshCN3rjOGr54U9ieDsBR2CWF0tKe
IuKKdw52JCar+MXGwL2NvQBINaTOTU+R+whbFwWFO6p71UqdQ5jk/Ddc6Tfu63zIuS0kzcBl8C2h
V1kMASFCFfwK6buJMjyQVaDui6os7qQB0zpSiTu9Pg7nQ85BhHmccwECrDOsTA6BmMBvR/oN/oFt
RrjkygqQ6ztq8+P6lc40Roy4NjdnaShQ9aO6vHi0qPFq+jYjEiqXvcBAsWA2ylIKqYMnLELDplQr
dwXXo3lSGu83qQxYBRLi9AZK4ztHcm+Bwa0Gqv1uR6PzZAnqHJZT10fL60NCOJz01amocqVGFFC1
9jz6BzdV+xfeHB3zFBtxdp0zgvH0OXKMzmqrEaTX4vks5lZQtDZkMf69Pl5niwXjpVucLlgyUOYz
/Z5ep2o9Q6QaDfW8VvtDLcC3S6PFn99a6hpoVPmkdan+JwbWtyceKgROWZScYifrXpiT+sUSxvhW
V2DnDatjE5yPzq2z14W3B2DnfHfQDUxMKKe3aHoBbLXUlT6HwPQen4rYq42lHgaY2nc3hmN+3H9P
7fNwIOnlCIRHYfYrnF6rTYiLl60mwaTYAQwXYe2dIBW+2gwNgn+rFk+NlfztDUkhsHfqY2k0gw9N
Bu/ZeDMMcuncmO+GaZg9EG3IWWp8ejcRNvtRnZC9WRTNClRKGrLJYFIOJHgTQy40PDWQrHek+riP
7dSEz+EE1u/6mMwXWQ4Ju07O9S5yU/Q1pzfRJlYW6ZRG/ZSZ7n7UjWFbxHYK8WPK16agrgYaiepR
ppDngubx7X+4PB8zMxaKt7MPmtDgIEqZrWAgpFaPkQ0jYdpXYu0m0IRwPDXreELLYslqWpWKc8sx
fOntI/gGpy7AMOxti7dP2Baiq4EfGaVr9VGRm7zDuQ9zo6u7G06dC9Py3JuyyS9jz8hwn450qHUu
mg45+AD/vQ1GV7mniE49qkYG5kX6LbjrpUebj1ZUwmhw20tFLEz6MjUdXq+694Y3mwsgCzLEEUJr
eePRlluL+U2eVbD4QlEtO8vpTHRqPgZxOvjMdXa2d1JRkOHlRtE6VDOxM2Sks/oY7f76y3Phspif
ZicmfgTTsxbvrgMYqyKikCpFbbhHwtkBuZR03KjsT1+EpcV4M93/GhrFs7Kv4IzIis/ufwlkxoPs
YDYOKUeHIGz8VJJPXsHoSlCp1uFh6obgxuh+7gUX3yiFCdwOc/GN3dtiohiRWxIBPfY+hCez/Ba6
AsDXEBTeHGBS2yXk/yHFa+IB+5/a9i72ek2jVx8LFA1dPn4w9la7tbLEBD0Gcz/epHold+1Y6W/U
Z7tgm6pF+0gnQYzgylBdbGUX9X+gZHQ/QfxQLxIJFjd0zYpa7QrLFHdJH9HtV7RQCSi6h727satw
EIeE8LUHxifMSDfUzRuy6wsfEfcKKwbajMWMtBgKclsbKtodsKUAuJhaykMoleqefHKH9G4UI9ff
sAvfEH4+SLI0NSmaLXV3Wgz0IctAtPRRhwJbOMQz1qN8N3SgN//9Uoj7qMTg75nLXqfTQztTfoha
MGeWsvuFrIf8KFSr2EMIKP9cv9SF74bjPY80w0wpl8+D/K9COTzDabA7LlV13XAUVuj6mpiiQ5LF
EoKUq9/rXmveeL5Lu2WMDVRYGEq6EeZiL0LWmuGysTModipTvdIlUrcytaPHoFF+qYEFaEd1qg1+
Bv09Rxz70rFd9snQSGmc5s3HmIyN35qVurk+GhdeqZP7Wgy8MekNoPpP3bpdvMROfCfqgn1sI5U7
RUCLuX65S4M/G0rYMGNiQiZ4Ovjx4CIs7kxOJG2mrtnzZfdAVcTaU6fgWKth/TVL8+n5+kXnU89i
BsGoxYkIpDs9Cnfx2bSag4NjILoE7bC6aeNa3Q6d8Xcyo3ibDwqBPamT/6WNMd4oV1x4Wi7MisCR
k891eZi2kixw+6DV/FQ49WZC9fLWh8bfsqNRPwggzXDdixs/6MWH5WpINNDtMmGejrB0K0dLnPma
4JizleOq0aZoM/HQJSCt2NL1hxYSFTA319leH+cL84X3SWfAI0BA6dk41yLywDNpPi+3+a6pon0c
zcT7KEwjvyEyOKussBBRMnPm35W1gfTP08dUMsIYyOtW2U90aQ1so6oPhnDKTdSU4Wpw7HivDGRk
DmavNjSFprHfBN5gvyVNBfC2Vksn2aVape3QZiFetvqxeJ4EMWlkoTQ7NbfStaz6/yo2nG8bZz4i
EYTlsz7o9LYJ9h2lwV7Xb/Rap0NKF6JpcbZksVl+cEBJ3hrMBu8T2/d95uXNjcX00i/EZ0Bpcz4F
sBs7vXzj6LhqEZIAwQ7c7wb8Ywp2MeYd243HG5vbs+Lu57POyzYIbHovyykv5cwphtHiTZQWDFrg
Ty9FVUOpAPmI5ce19nRW1AOxXnindK26b+OQ4FA8YvomgPf7eP3tvHQcxGiK3ts0qQ8w858+PHP+
lNSNqftaaneHSbrjy0QQPTI7Zo31CENkr+fEs2RADe7dMI0fu2KqPgShPq95YNhvugMJrTdTdlvQ
QldFW96qw58hfOYxo1iIk94EFH3Wi7MM1nfZ1gZaCKV6coRLGFMLHHVnEmPzK0sblaAk4CstpnE/
asYC51+irF1T1n9vDNeF4yJTJbp79lw2Y7Z4VQ3oy0NpSxxNIKP0VdM48hUxblgjcsTX36WOsk8p
2a9NbHvHvmxtn+oIdGmpf5i4t2/Ma5deXRfUPX1mDkyAfE5/vZStdaPgm6CDZxR+7wp1hbHN3CvV
ZP0P8xg6fYxODqvF2VkF0GESOR4/Qk4gnJ9FbrfLId3e5RXlrRujPN/2cm3iGsihqYbM++rTx9LD
QgtzB7CdJ6vxmbQh+wW+CZtqqBR7hCndXRtbvZ+0o4ZooUqOOrvLIyLcZqfA5Nt0TpR/vX5P83dw
ekvYjvhiLVZLWmJnRzWrrAJr5qc5pAo/d5Q4N7h/YXXzX4dfVQD8+/oFz5fJTwG6A/WLkaCQdjoG
Xpii8uzbyc80PflR1/qxyma3aaqOFnIGeOi1NQ43VpAzVwmCSewtFlMMMwJ1qMVcOOhqlvRpPyIb
DVUA56NOTFWmkZ1sWsGvqil+hbB1N2oIIK9tzWAdmcWIZ4O9IU6phyJWbTg3yrBrRhCSIDjtvcjp
16ag1nYDsrGDjCfzxqt51jmd71pj44QBHEUJGszTsertMXMlbiQC2JLIRxhY8RF2Pw13bHakTH+B
AKJsQKubD8Rf4iHQk/rGwM1XWLweEIBYJNhheCy8i18LWlpvJA29KDIHo82Q6x7o3ELdVNCo3zxi
zzaqjJsVewxnj4o8uDEPXLw8SyhNOpNN5DLHHT9AAeczm/wo65EJo70zfHrI5LiBq4NHqpq7BME+
7F+9qe/73mtuPP+Ft5WuPJMDNUzyHZYqUzcx7b7X50BEL2/3fWY3G6NTvE2cwf7RYq/epbpzo2N8
vqmjCWXNOnLeWNwC8///15lFMSJt6BD1+U0bx1/B6z63gVu+Mv0qe01Cy2wovPguW/cb89P5rOvy
QTINzMoeTvyLC4d5lhY42FU/a7RhJwY9PGIvnbapSMMbe5MLWzquxSvNS0vHDHHx6UO2oiMJ0xom
3yDCsiDxOFHhDLu5X0/k13WC0gLvk1xldu34iS4BSZkcIlwrmnb8DL/rtsge+iBJMRTI8ODVRHdG
lvdjKPXB7ws3uTE2FxbrWaGB1tWG78cGZzGDEFGZlNTwJt+O1PgVR0DlU2OjI2qzEUUi6AbbuoSQ
4MC+O/a1yA4jeTl3hQe4dHV9Cr2w2frsCFBZo6mMlGNeZ/71hiRlGqbJICe/rSp5jxGpvRvBwG5M
zaCw2AMnc1sj/wO0Xd12PVqHYSyYtdpoVsBAzbl+O5feV6ZU5AQ6pQpW7dO70UraxkHdqRQ2dfE4
tFq5ZiTsPRxnHfp4Lg5QwtpNLDniX7/ypRd27t6jEUNWAP3q9Mo5gBLpxBWLV5h324EEiTV74W5X
Djhrrl/K5E8tJkLmQcaaVAfmwqVMp8yNuARuNGCTHcQL3S5zZRZCfr1+lTPHFDM+xbb5/EqJkTPD
4hOs1TgdwaaPvhIW5pwrlf7Ka8O5q4kHX2lKWm0NFe6z3tj2ugnQka6qMCLFerJr32iK6IXiqHLj
dbswB7I55QDGYYLT7bIQRcG+7qGqj/4UTmCvi7q+syqpP4KHL480TPCyaIRrXB+JC/sSNkmfsRYU
zFl6Tn9a+EGaFcfF6IczvqwwzegQ67G1VXvrq0vI2e765S5tEIi9oUw0408sFo7T6xl5OxJEWY8+
95KuzbageawN45YCAkrbSHj70rCJLTDwZWsm1dBRyQtA5GawJVazLyCb1MbaaaGOx3qQvhmDYu2G
NC02snDyPYI4c+3VnDhv3Pel95Jpif4avnF2CPM4/msqYPvqTLB/RyTDjv6cesp0pwa1g1pZ1V/Y
vxQfIUpcBMS5et+Sn7ApBhIIKgOIiVSU9kWN8LaHbtS8DAQyr9R6GLYIMsiUMxIU14nl+Dbzy2py
wvFeMDHuNQfCbDgRJXv9US7NsDrFThYDfIg0ihYz7KgQpugY/eDjc6BxZ1SSxIHYFvo7smwH0E6P
Jn/lKHGD0F0Nw98yJxxmXQK2vW+R/9/q5+sXJjaOjjPtjJWYCtZims1xl0C7pGFk9S1DkLMb33Zu
1B4JkQjIF8KT5qGk+4MaBIcUE8eGydU4pJ2Dpa7HUk9Uo9wBNgk21JuNo2nK9B+zUaJ3dkr2hhQc
0p0dtpd2Npg7mrAwV9o836SN7L8z2br/dGEHbNjNXgOjFz9vjPelV8dDk0EzjI4UMoLTVyfua4e0
cJWun10rh8hAcqYoUv1VWhk0zQmttj6W+ZF+uPcT0S9Id1gmgrpkrx9C4aQbJxu0lYrd59uNO5sH
djHZ0u2gTUWqE8KRpbLBqsH9hpU6+moE5HHbjrK8J1E6O9RU4r96g+c8RkCyv9edV95RR+m/az2c
Bji08WFoc2uPq/i/105RyFDxMqDLWjgpF6sctgm9r7pgABreVfBkGqdO/4kgRZTbQodsvY9LJ9fv
bozEhQ0wHyrx6kh255D7xedtBZpZFLEkotwYsn3dKLnuw2LR11NGrY1gozJfk7sV7V1Dab7YfRR8
OLWhfjG1ql4Tc4tnGhfOm5H2P+BmR8menDzL7+u+3JKv+SNyAV1cv+XLd8yWjgPenIG1+IpTevCD
YRWaT0hZVfvAC0iII4b8KD37SwO8nmiIQAFerwg1X+l53myv38ClUxOKXlhWaNSRqizj8tIk02Mq
OgTVlTbZHRCb0nvs1NXR68cPoyFxPFG7+fTNyS1xcHrmavfl+j2cL5mzNY8N7tyNBNaz+LRMI5lo
BHotAvJJ/x4ZmljZqNK+2ZOgECkDEFjF1N9qO5x/Nh4yCw4OzFaU+5a9SVI/3B7ajKD0HVQO6Otg
bH1gIXbhG1nkvKeeTTNPFUOvr3MC6Fxm+mY0CcJGaQZK0YP0MZEDMK1JGYKwdX1M5lf19KPGGEEq
kwvdcvZIzGP2r5VKyMrQEteA8sJ3j7UetuqxrRBb10PT/vKS/tbx+Xx+O73gYgshY2Pygtbu4Kt3
IwkttRbtptyYbsxWl56LKYFiI2IdCnqLnYNI7M4a8rT3VTsrSXnSnDslJ5GXtla0CtDw7q+P46XH
wvg4/8AUkSjsno6jW/QaFIK2942+CR8I6CvedGu4tSG6sBp78PM4McwqwHm3dXoZvUw8WeRd7xNR
1W5bQrrzlQyTYEW8y/BcCLN5niwveIbWYTwQCgqX3ajEQ1KHN47D84WW743BTh6QAM47Bvr0Rihc
RaZMuJEobws/SVsg2KJtHyAK1zfmrguNO2qgaCEhkrEbhPp3eq0QE5Q+mRlj2+DBaKwuwP2RKN+T
XHcOPQ7jVdA2xTFzqbsgU0nuuqb+cApFfoMI69zNgpx71ZU3OsGfytHlEHDqmKGntGfZip/eVq0Y
Cjxu0ftE4E2PXtz/FFpqHhIxpXtYdcHRkS1VWU9+jEE44aSzgvs4VhrK70LXfkSAlzGHVt03UXe/
80gYb20MJTitImKstN65L4zI3nU6eRXX39XLA4qEALMQBRT2UKd3XgJ7zvQu730CiAChFRmJYAPb
96MOSvhVIbxiBz3NPLZW27+ixXegoRJEgQeRA45SatMmyfH4Cia+3fVbu/QZzTxUlnOoh+DSTu8s
wAcXNB53Jq2wc1ZRQKQCwR3trUbE/HfOfjtEoTOPkmLe8qyeQvfodYwkPkyk/qvss/puaHtycTy7
WTlVlm5qt2wbcqWr4tWbpnpbImK+s/PsVgjfxSem+AqSw6Kc5ixebmBrRBUDFqbk4hrf1UEPHg07
jG9M85c+VwsZAX+DQUX1ezquVa8UWFqY5ouM2DGhBI4PCE316xJHzfWf8NKlaD46VMkMRnb5tUIv
YBGJnM4n0yMh0Vl6c3EmIuLIq27UAS9eav795v4I/1yMXVdqZRYbYP5m4+G66DoCKyOywxD+3Cqn
XFpPHNYRhFo4VaCwLQZQiAb4D+vJGA/GUVdFQohZCOoYzExMxNet2eXSo7EmW7MuDKvdcl2m+VZU
neLOYb74jYMyb3bNUIe+RojM9voPdn6gYkrlqIGKiVMetcbTR0OPiModHKAvCDy5M4PJW4Pyh+zE
AWuvkyy1yjEEbQqZBje+9gvCIi7N9EmDZ645Ln2LEcbgjOZl56t1bKzVVs/vgnFSfldOqvtU84Kd
biScf6cuee7U4UeWu86+hB26z/q8OBKl5B5Grftdw1d8H6JKbVdsxsdvsBNKOA9ECkWSOjxVBBOR
K+DGXRy4v0fwKs+SJCcS9sLsqTcp5mJUdoBiNLX1PBmdfdQjctFkQ76NO2bZ6/URv/Djoknga2cp
R6+23CwQMFy17Oukb1qxvZvq7L0qjGk/hfaNC51v+2fxw/9faLFEtcCPWom3xZd2AaIprffDmPcf
9pRn+wBIyzcNLAGHES0HQ2e1N8rJ84uzmGSB9NLlZdNLlW4pXupUUUvAdz1W0UndeX3fbCgjK5vG
VEh+Uwv1UWki68ZFP9Xly6uatA5nUiIl+8/6wb92tDp9rM5o697vEjsqSagbxUvam9XPCJ7xdoDk
4lM3aFexo1gYC2uCsQOECF2WCognegeQXxVE3I4VdryY+J8XJ+/kNran1q/qUZDS5VVQoOxK8mSF
DDeJU+U7vuLh+/XX5NL4wRieW9HQmnim0w8zreiSm1VE61FT7LfMEsXGiDtlE6YexbdkIPiE1f3G
SnHpomiBXQQKVPjOlDpqB2A1cYLedzMDR2BU/swQN24ENrG7oAZjGAbRrdXp0mtKAR893dzTYkhP
HzRI2qkly5XNpBcW73bZ/0ibCht+JYp7BWrIXaw58DsBER/TIP3n+ihfKDJyQkCogwYaDxz9rNOr
V8TOCs1mL1Bruf4XZiuyDPaiKxyr5k5YVf0bQkK+G8vR2sEjBg4cWXKF7FDfcq57JM9J2cvRCFbU
6hICsuz2DyinZNNkyARBGiOtb1xX+Ndv+8KCNJ9l6UKir+e0uDhH0fXMwj7TeDnyNrtjfRgeZaj/
Ek4zHogqb3fXL6ddei8chFTQttnr0lg4HSUq4EGiANn3tSGDCaVF/Ws0UQokxjv9lsikuBfgITeo
dPWt0rkaeVVR+LO1dMZ1PngN0tQ2Sq1GnJDCcF20DYzYMKs21+/z0rC41AeRl9AbRcBxepuToSYl
MVvC1+rR23mRWsSkdamEhXoNwVa1/O/nIKY26mIo16neLmFqaU7SvUfwns/WfdgQcTjtIZmVW1BO
3fP1R7ugngHOr9LkQlLG5t2YP6N/zWwJaZJpDunbV+JhOKi5Gqxg1LolCivQEK1rUQGmJr8qDRhf
If1jTLymd9e4kNJ5hYKXip8OzePQDj5RQ6Mvm+oWGv1Cr2SWh6izrwBl9FmVUNfDMs1RCPtdoRD3
Bm93C6qqoSYbeGLlTk3m59UoH5y0nu5FRhC9qWdQVOJB8QdiHZEC1e6Nl+KMmcQ0hvwPpcHscqD6
My/I/xq5yKpJc9QbgZCGY5pTEUkWw6JET6ATBJ+qKgmApgJ/Ig6U4bW1R/RQXlYywLJtXxUUVD8n
U29/JEkMObI1mxuT7oUtGJIwGhwzPJ9a0eL+bGmlLlGqLdE9It16Y/bFqYAlyUnvtmrlVXduaUZ+
yw7nxmc9/+HFYonMae7SsT6dAwCI18OLKcCYKEns/mxUxdxlqDDo8Bbdjb3IJ6z87FpEo7MhsTEg
LCFZhToBp1Bxu8jBsT4aPJkH2rf6LpJAMVJjJOlbdBE8PFDijhYX3+LenYMebeeh6DL7pVVD98BR
LSU4HER7Da3gaQzHn5Xl2F/RP4y/meI/MH3Ju554St9Tug+rSSpCwiL12I4zQzd2cFBrSpw+1pUR
7XDz209NqWVfC9hk+Iws9vKR9y21vPD7kLnghNJm+Gk7hHBgimkxBU/y0GUxZdwghAM3jVG+oixB
YGhiQ5ga42R7/au/+GrMyTjUmh2b8sfpq+u6EWFxrRSzHK18A7p8yJzcHtcN7zPMtnSEHhQM0wOd
gPru+qUvzKWIJDmYMp9i5FgujHoR04FyWgEKNHDfWRm+gKEPW/LT0B9Zkf71+uXmLc2F1xESJORT
Njy8louluI8V8pJwT7BDs4o3V1Sqsdb7UZeY08zyPRzi6fdEi089ljV5kOvR9kKTfMWm/WsFMd30
tjQUsa4bymNrnEyxtSYw2sp8pge1fKGiphR7ooys6B5QWlRhgEEygniGlQj4ZNgXa1sjS3VL1gom
AmayaU2UXaOsGkHgrJu2dDbKwIHHB4F7XRgO1EJK1uE3VCdCfRNDpw3fIEgGoOy1UpOPCNxi8Sel
iqN/J1y4zY6KRz9tbcaAC9+gNklg0EYpo2471eY0lWuX9o730/bGYE+bqGlX+ogX4g7cni4fhOfZ
4j5FYWB8WJknXGWFxLnvgZMXmMs2DVr28p+Y9Cuyuz2DCMovRZrH7JsGSf/GZ5oZ8rsmB4RF+ifS
pVXbqF34mMi6MvdQ2QZ6OuysbWvV5VZrvLm6wozt9GY3X0OSAfCK+qTFM1/qqZHgyKsFhIRNbeqR
8iUY0Hv5CJT19in7DLWsDZCtw0oOVix/AJ2VZF9m8/v0oFSfqZjxnJAZtlbWfbhJEKrbwhkI0YxC
XBzBZ7QmaRVedAcqkQBns1D7o7RQ2cz+SIpqyVhrykrKakh9SNbNRrSYulcoocx4U9dFr24jq4t/
WmqYAKQqAk55hfTK7A3eQtau1UrRSyR8NtHdQTCKae1mwvE2Bdr/HUCruHmt9bKEfYhv8U8wEkV8
TAS/JgfzefdV5Ti1V9AMIWdT5oufOjQpzRvsQS+4V4xKfaNlqE8r1xynPZH30E2yIB6TnUI/8kML
vdx4FFkw5P4QjoG1UWK7vp/KIRFrTSrTPRbfwQRLGXvWCjV51d0Pw9B8iWgektVR4jFejcIiyNjt
reqxJA0LTGgtRpI35Jj/tHMC+Q6Y76wPCerycbRJy/PaGk+DHGnorjMzSr9GUdAHa1Ot4ThmrO3P
Oid+8RDZhDvA2Y08e9V1NnYcykUp9IdA0KY2wmmf6VH6MBJ/YaFhTu1qlTQtPWG3ztwD0WoGs7mm
AEQaSRZ4I58KvXuU6436lEQ0otCID82fYhySJ1IeFHJiC8KbYYRlkMkoPMtDM4AhXYcSmAH7ndL+
Pha5aFe9kk7OyrSD8bGUk2x+W+U0PHU67IYdW0JgtiIQPc0TQGE/pyq1lBXxJW64hqRQiju2snq4
c7C5iE3aG+VONUG7rTtQuIC0cdziOWxd2R4TA0PRyohlU657OzaeKsXqfpG/Lcd1ShDssNEJJ/ke
JlOqQLumkbMvPADiB/p57V7R69x71KrONtdj4Gb8Db4Jfc/utPiaKgNzizrE4ZNIMtRUEf3Nj2p0
kvd5f8y85QXWdzOvo7ckKA1nHfJN8+RATXhR09TdBiScxBtnUsOvmRpRErEhqck51SQIV6Iqw7/I
nEnoMBms8ABzB/UoaDDiAcvWmFbcbjCnibvRj6yLs3aTul71FsCus/0ssKxn6rPM9SSuDS/ICj3L
r0mug7Uf4qNbKREJTdsuV8L3rOxI/SDcpQxWJjwKPGFh2h4g7g3jeihB+m1lC805dcyUcHEBu3Xd
0X7HA5br0t5ote01/qAKR31Nu6zUOVQT8LieANI9Tl5q/OiM2tVpuGvyYNeePlNabdHvdHMyphdC
Z4pfiTsOyrrqHFCnFPFCext3vfONmDsneWTR0MOVrmXFO/E5TrcZbIaHzlMM11vGbYlTfHRE8n/s
nddy3UiWrl+lo64HOvBmYrojDrAdvRMlUjcIGQoeSCQS9unnA6t6jrjJEKfn3E5E3VSQIvZOZK5c
5jfnQ1rm/SFnfJ3ulgRLWjpeeb2rDTc/cy0BKxPUo9WH5TznJCtLaX7VJjvQ9glOVXwdkCQXeacj
4Ay3UorNkvoWz5lN82HurNLdo4g7HlbfnTl0Ztleo0lqIkzhOOxVn8j9qMjv+82YWPUTzjLpbYZO
DfY+PR6lleuhmVH1tXNvVLVxl1EvY6SbukUZrrLqJEQepuI7rVLOozeo8nuWGcOnNed0I7dhecMO
xbcveZsHQ9jjkvhTFAWalFlsYBNigjYYsQLprXMK2vEBdxcfGj3OrBz4gqZyaNCECCLPj6G7G61m
i5COSXCW1TayJyjVJF6k1aI8U7E31pHszPzeji1jhj+rwKv0ndKvkOGUCCTOarip7D5j6hh75Sci
eV7iL482d5Qog/UzM9fJ1oZuc505KhlDkQXj10HPCVOaWfvnsS4xk4bJ4aPYHiTJY1z0YLFi9ORW
Q/CymkMtD6pb/OMDEYkkE/nWzIvqoTJEzQ2gDJBTk90IGPDd4qmD6fcdN4XRmREG6MlNzJ6HIuHp
uMZaSMt5O0ZMPvpEtovqONwl85D2yA4eWsOZrtzBp+0MWXkCHdaUrKpmdFIeprr1hjBBZaLdoRdR
BddeEWu3RWaYRJpOIXU/oIhXh6BJjNOY6FpH7ThmtK0gSfZR2q5rXmvC3i9SUbEpCSqeP5hwQWc5
YQ+uKcKUYSpjsdOsTjahCubUjox2SIYvAUDN77kde0+V3XpnhNFRCymwpoHbBRbcQY8zF7FWTJjU
NrEm09x7rMdHtDpMe2uneX/S47OpLrtgKL5PfYrss290ZQ0Mq6/dLTzx/EuH/ml/lRrCv6kC2SDn
P0jzmoyiEKeo7VVf6o4qfAuOGGfhShv7S3Qj3BFdCis7n+So2jD2K+2TnybpLcyKcoxMgW4oDL2q
vGmE5n1zYw3p6DJpuumGrMZSuzzOKxsXzzG/GCRWNqHo7eBHM/jtT8sy8KqQns+klySlySJ/UDZM
CXTjlkMiy1qtHiX4XhnKqcEdpKbYoP1TVQhI5JZ93oLNAnTfLaAXZS3wXGmq4RSdABSdEYiuryut
bYsdbLcsjirHnO90JYtyhzGlu8PVT7e57pt2DEmpE7XJF+GjPkmYbMOiyP0aj7tgKW6Htp8ek67B
w8P1E7Hr456u5eTKNkZfUi8bHF5su8TCULPkLuhM5ywZrTkIi6AuT+pM01rcF0zti7SE61+WLpfi
qTYPhtx6Wsf1OuN7pG2WwIqLC7q9vXOKIWVGP6TKxgnXJZKWkAl/ge9IMfUgyhx7RJoZ8aLQVXEj
d33upWonYgO741E45WXilwsysn2g70xzML0o69V8ltQDFwoikwt5clMlP7qmrxGZVHC/R6sq3TN2
lkXv0v7sG8p9bG14v5uaiIMhgMSBLJw9p/02mn5XhnEzSjty9RHlndEf1nbsIqbxIk3L7MlQaI6H
tPQ9MhBskLuIRVDV3rVxZT9AMaxv46G1rI1AX5sPY2eIW5htPp4FohKf8Itvz+YyscAy+xmRlO1h
issg7dI89NKWC8ubxwmMijX6dKsE3awLzGb1ep8OI/ZjWmqgYCGaDBRUrcigw45iMOVFux4JBOOw
A+hPymfZWYUbAjsovlVzicoaFpRjhxKktDDuytIhi4ogT8+cUqugNXhpzk7yremiqrE83RrDWG/1
zG2aA7qA0PnscpKPdjf3u1Zgr34SmKIDw7hMBsJFbd88Bl5l3PuZHLWdBDF534lET1D+tMVFILjA
6FfOqRtyJ8Tu3oRVM5MxGvg+xMIe+22NJVZA+9VOvC1qs5g99JpWVcjJlHLBDa285O/bKKeWSVWT
I7lM41NIW1yJeavOW1fWRogjah6Qpbr9jdPbrX+aMPWh3I5xjjohnHaKaqNpnuolKXbop2gfU8fO
EAbHbLxDxhaPLtevYo5Qo0ziaNJhbuJZxaHHA2ZXaE1/GheeeQkXevlY9UZ1b7vJV7soDgAVqmYr
JkVY8dquf9BiHdc0DNkKdO6zPpl3zRTUw94XedfuCmMo7xFBHdMd/jq6geoeScJWS7HyC4t2GLkx
a8CUkZsLxBC1FthWG6zG9WU+OZGPhV2MjGejXdpscm2DGH8PEjJFbRNsUYx76OjMA6qunqAnqLuZ
jJalp1KvBgVAvvYTT6zGO3mzASNMIr/wsqbd1BVAmZGn9/RQaa62Hwi9w64bLTPdpYvd8YwJ7xkU
vEW6dTWRxmGrg0rMnVrejA06z1uCW5pFwp18HJJgXmKVWxUIkUFe7qqNjX6KCEUu5WM7MWzfSHQT
HuBAJtfMINRd1Q1xtq1ZkyZMoNo5Owa8U0vP3yGE4ZBqXtAx6xHct2WLaQHX3pUclyLf+anwvBD9
qGlE10VYMhqcJg7IlYx+2zRaXIYFUf6bPWLbtO2JMEKN0AQWM085RBMyg36TYKkHC1N9BrVJVDLb
VUO6RK+cS96zJN4T+N3caQNdqxOcoPXz2uzRPXYNoXYdCKlVvxhA8BlyUKkX1VwOt31m4SXXenV3
NhWDh0VXnLjfilhv3J2eTvwsLkgPIndU6g4pHoPrXgXZ1SxmB2+wyVlVTR3R3421pU+fcytNzBPV
Fx2c2sGdTsrOojvApDLVf2BcmG7JBHXnopYMmjZovtkiAhWCBkWMV+U+n2Zv2eNy4Z3IwR1Wh2U7
/rIkYzV81oU+oaQwFql2lpud0TI1aPVrS/oZGczSOXeLtKrqk9sBzdqmdSbXk4L6u64GZ7nKsCyk
kHNHwokm/T1fwpoPaZH0p6VVJe7BtcqV9Oot1dbI0and1qwmqbihkOU1igZLnsSD5MKXlla/wyGi
fEiSmuim0bb4WSe2/iMe27zhtKTuqtWlG7tkTjKF/DEQrH0PQjjGhF7T1HZ2MqfaLn1Gk4y0zf7c
BgH3kqD1Ou3o0Ds/AiXqn12BK0VItDPd0E5mK0NDWuDTICXa20gYN+XB8Yrqzs9MHa46N/oDN+MS
bGx3MucIYa0E/62hcr8Ri8CLdAScZIvQmDVj/ws6Hk1kO2NCZ7TlHFmpo6HNpIrxYIsM1LyfoI2/
ATqPk6cTyDwq7NGuTuihZ2OUi5oSinl7G1Lwic9lrZndxiwDs9uaGai5LSVU+YQTRjfugBVmzb5D
Mhv4TFz/KGqGFPu88yy1AaWr3zqZlX/N8Qx1Q5IZ070w0mQpzkw/ZVrNCeojkTkJVSRgkytCQm6E
taQAQ9pDbzHlaDBg2RAJgviiUYmboJ4ndS8ah2b40jHEVHvbstuJ7oCt8AZ1vVndl31i5rdKOE5P
wu/GV/Pap9iNyBbah7iyjXNLjohNF3DVtRWSqG2whZ+KiIYjZPkgFoBhBgxIcG9mZH5bW6Xv73pr
8n/4cz2e1vZQ9yGQ+7ba6NJnzpWobr2AkCrMQzi2GIuNRWVdS5QEt7JX7nUKqFqnfk/8i6Hr0mKD
T0UAjpZ+n0SfX6HSrrsL/CH85IJlK9opTQ9VPifsElEXV5nW2kaU4Wk+R+DDk7NEwBTdDU5nflSD
1/bIrrmUaMQ2SgAbMBHFiqjmcaPZLlx8vzfkTD5okanxIc3rKacLsB8yffpINJDDIc9Vru+TrjAP
1jTF1HKtMi8oYwfzpKfLA6vISlBYH9Azj7e8PnvXzq1mPC6mOSETXOha/YhNkDhHQ51mN26MzbXu
LH62m2xSm40iREOPb1C3PBMaNvTXsz/xhpSd2/OVmcx1vB/QUbbPxVT5OxiSprEzuzz9MeqNf9HZ
ubI3k6NwMcwbZdEdmfQ6hBzwfO2gihL5XtP/VLq/3NO8juvQkH12Zxcuq6CXHcJksz03+9otc3yt
tBEbLB/NdaSGF8LWrldWVm6WLG9ABtDCrb8FcuGOytwuvQqMNv5JK60oNybqZbg6DG75ue1oEkZF
xh4nfyySh7TUnQa7Ekfsx5aCCSOMhdZa7sEuj5LGUcPpOA/ztsJt5FMtZXcQcQmOhkqpQ/FQfaE9
ikEjyTZAhaRauvgiICZupTYS6eBcY6qi3PmM7IA9RnGb4pDV6alCyJWOzLawK0JHhqmPezkNVZBs
VD8UJ35r6rfo2aPlapDJeBcDHNP2BHs3bjdGrZ2xJUGarigacsxds3JgJ41aikFUW1LgrWOmfmNr
S+3RkKZH0Q+OFcmiGYyoUMnwMUky75MvmiDfGUWa3yP3P8YnE0pbiGMmkEAst/8sOtA9ALFkqqNn
E8SXtFW6VTXBLr/pzNkdylhT/zzKGo+ZKm/7Oycu8+uZoJPiBhaXj+tM/CMQpGTcFjBfYXa1Mvkh
hU6lXFY4veyl3o5iq5NVfdetfsTkE/SFuSF/n69bhBg4ZoXfB/sVhYGGEHf3Dc04x+cqZvyyZ1jo
3HvSyxEf7jHF2ge5FQ8hBuTteWYs0DsasTw0pPV+KJeMrHdwpi6izkP6Uxv0tt9Ko+ouoWxjt+sl
Xt9QhI9udg6Kbm4OKEySMKlUQwkD1Th958V6WR3Aqw4duKPKS07QbUrWl1qx6bDltCg1yK9DrYOg
H7qtl92BuI2zQ60X6WMBswCx1bKWOjpidLx3VS4md2sGhRiQEtOdywwlYbUdmmn+WBW19sBbhUtc
F311j726kUWNlXhPw9AXPxupU6T1FioVG7VgLPKjr1WODfPSze4pkgMzyMQqr4sbnqLfS3OonNPa
8Jf6Lk2lk0TLtNT1tnG0TNuVM6B06jnU02BwiPlUEhyYOcZuS/WSpwZZcrH+xqgDAJ9mLc+jgUbx
mT5Wdr4lJ0yjoZVTQDXoVNSsUFPPZpaC+lji+EDxPkw/E1a+vUicteemmeiks1xYjjDZSHNoB6Ma
on+ryhnRL4cpKB4U6UnKmO4TZITm6t+WhY6JPlh0IV1sJ8PC1ycNC+2yPtSTqNx3RlrrFOd4EOia
q46iy9iZTvXLkRb2SGhTLlhLu50AA4tFWY+TZz19+/086c1hEtA5V7fR5kLe7+VjqANggHGnAC7r
pwAHvwo5dUd086lAXvWdCe6bc29UoVZABt4rKES9fJoikjvlsICw1Oz5nrPtkfkgHLCDHPsAL4t7
Fk+thwXzQT3qx866GIGmk6CYarAYZDnWdsS06B2Q8huk1ICZMsKnJtDpVcX+5ccSZar8xUZsBjk/
O5L60IkNkZar0AhwNpmbpcC1BhGzLfHMPKf965yYaeKHYHLyEwM/hvdQDOsTj96+bzJX5MWb1MXP
4ORfZvGeDdAMUigciNJob6Q509gJMGWuxon9uiTltpG5/mgzjN0UeddsUPws9h50iB2e7/PBH3DW
+P1OeWNDYt8EtxNCpY8I+RGWxiqN3DE7KBoZnFm4wxkCJT5wpN8/5Y396Dsmw01qJgv9+yO0aqYH
mUc8IsAVhMNG2vMpCWIepUHxnkDA81T4eJE5WNhcoiMBpOkIR+0P9HPbNEYbvyHQbRYEP2EC9ExI
Bwf/WJNC/UCd/zSYy7TxiaYRMqbz5WJo6YUxj3hW1NMCKILeG9oQxX2JldppX5V+hEXv4qN1PaXb
3y/PG9qqDCTQqWFEyD1Iifdyq2omAkBNL7tN4SpzPtS10NoD5ilWhbJdtugcp8n8QX89q0J7TMns
ijoPfiyutL8p3SqpPYg42aFIR3WN6jf6MDk4N1D1uv7d6pL5tEswSwsF223VnV6m67EpxM2UT3YK
KLEfAKRwKN5D1L2BbkOeUHfgDcO9st2j994iwYxjG6bazmT0yUYf24V+Y1FYP/sAL7/zidz5Fg7Q
cjV2cZNCC/e98Z0d/gZ6C9oNPAWG+WxC52g/LM2sqsFisB7UDojHBEtntkbi33IknmbymR2aYO+R
zt7Y8AGCgOgjQnwyXqkPIfWjNya9nNWhfLkeZm06jSsyahLa/B2owlvfzwY96K6MWzC1R2vMfSkb
uxVcKb1Kf9Zgo8IUheuNkev6Ocp63m3dmO+pAb/FowAIBzeZ5ohuGcf20D35huwNviAlFiSJMte6
3YLm1SkT8YA+2pQmkdM2Kecvyw+8guCMaG/ejZymsCNIbvFP4aPWpte+Y8T2zHx8EQFgNqBl46ww
WI6Uc3T7oWZK+joPQFTNUjAhp7E5I65CD3+rNQxLAJUuAVZUg9Hkm5ZTdW9bo05l3KboagwgxSnu
KSuTQefatFs9tmD5Ijqxw7Zw0E6kg3fWPtGd/GnRyxozo1RgUwX3QNwEegcTPxllXt0sHHW6ypMV
XyddnfxIsckJCCxBgzLI4n8uG58CJIhrRrJ+CbvpnRvw1c4g0nLCYI+vAkqv5DOANE29k0nWAXLy
TV5i5jBZUg9LYS+H3Bm+s1D3v49krx+J7jcoOO4SJkP6saBQuqCtUdQNE9O884ezrBcgmuzSB3pE
X0cuOw1tfOu0h3Udv3POX8UaII8M44B0wcCC33MUQ7scntOMv9CG2Vmym0ZxbUJFu9Dp7zthIn2I
spPSH2KvmNAeK+t3juGrE78+nqudJAgqIYi2lyG88+OmNNvC2djpCLBlRtY4GrXSOp8nen+/X+VX
6CSe5aG1zx5HiCc4Vs7FI7f2egbyG0qTeO9bwnuQ0rrGPRRid9Vr7xF13niroITJEaB/gD44BinT
YZYa5ovOBn2wJTu3dWNR9Kji4CeGqTB3q5LtfRdYlBTvvNRXELBV+QUyI6Lq6LK8QgeSgEsjrzue
rCc0DnGn2ywiZ1olmaDOUKAjh3kWrQPLP/x+jd/YTlyZkNxA7MGhPOauNpaf9l2Wu+CxWu3e793q
VMgBywQsEbqvgsi4yWt8xkb8G3YG0rTGOznTc9r8MozB3SGOrbaaFhSp4w1t9qXOhW1tkMcpQSup
lPlc6TBiiSuZ3+g+qqUhcA6wEXNrMnR30ly7MhrHv83svPq5YjCCkCeuGkUgBlaBkBo4VVEhLjWp
OA+D3g84IMwvAQCl02mfo2oYmjH0EEtzx0cvVk0e6lq6IEpd9PkXtynmx+d1/j/fp39PnprrP79Q
94//4P+/N2KWWZKqo//9x0X2XTZd81P9x/rP/uvXXv6jf1yJp/pOyacndfFVHP/mi3/I3//r+Zuv
6uuL/9nWCrfzm/5JzrdPTKjU80P4pOtv/nd/+DcEffkrH2fx9Pc/vv6osnqTdUpm39Uff/3o5Mff
/wBvyw5aFWjAl8LHgAP+yxZcn/fXL19+rfg7H5/Kp+qrLN79E09fO/X3P4IPABNt0hoyGrJcQMd/
/G18Wn/ifYBSBzLbtUi41zETh6pmApLykfQPq8k0I7lVZAEYNckQE8n1R47/wQM3TujEiTpACM34
459L8+Il/r+X+re6r66brFYdn+ZVpQOYl0+3PoL4dAyZd/HvadHBYtgItC8Jk9QfBDPJqj244AHP
8WoLQIy2RrTUtrrySXffCRxwY9/4CKwCKmHQVFd7uJcBufdbZzHmXo+Ay6sq6kzaYgETdoBPQvPp
oll0ixgCE0QA3i7WddIGKz5C1v2Dm/ZOszXXMSu/Qaq8YZzkXAxNMjDjGV0EVIXfP6CJxdHRYroa
tLPMyThjNC84Z3qQf7eA0MkN4aEqNj7ThVu5WMQrK/PiO0MKI4ClI2KU3UnXz5whKw4lrLgggt1V
PwEls2mGLAwdtv7QkDYAEZk/z54HA6X3gvg7c30gRXqbf6LlMqDFs+j2zlkaFHiwNOou2tGIsbkw
x+9mHS8Xalrkj7jLhk/AnqaPbVkW3+PJZwyTIRXuDQMWEsjO37W4zJ+1XGR0sYd0fpz8vj0FkDhh
i9WAONuAuEwv2xYuCm0MDce7IgnGi3FuOyOE5TJ9z/TRrMIugGN1AqmFTn3ftizTDHt733aqM8M8
lzTZq6zst+PYlP4WPcWpjZZ4KKYzu7PcKvLo5rsb3apqNAuWBOqR1CWAdZtRpGIqCmwviqccm/sm
Nxi8kYuPxVmSMltjjNnHoJIz5dzMpiyq/RjHqOsOxuD21wxuhbhAf9BoNnnrini3wF+Yt3Oem3ao
0WREXXJpFxPSIVwOhNWakgR2IURHZRHb3rVZN25+kYI+w4vN00VyxphRTfc6CPtpa+llXyJgY6M/
20kj/Vr04Nc2ee5V8Y1DhvlRzQvZYt0u6mYGc69vEJ+ZPuUxCBJSJTcYrtu6xo1G03yzPIGXWzwu
QFSf/ClhNlMIjhUzUvrB0TQVhojYSyCGBAQMGHvupH/sOyeWobZkEiaOm4mzbtFbFdGUWuYNclka
hNG2rD7BXlPruEEquQNyBffaErZ+6yNXwRBcWU4ZuUHTfJm0VjLEsHvHOdT5eM111N+aSunPw9Dl
vo6r5TAlcexEXZLkV52Pp1/UuZX9rS0HHHXiJdNsBimjX0aKST6gHdz+hhuTPt0nOQTMq+uqcP3I
9gCWhgjvSahmPXqou36c6RS5U5GbWxMwibNVEKa+j/VIVpfOubpxhWm2u9phk+6kDwvJ7vo43rSO
191mATPEvcI+to2KzhLJ3i7mPmfJxtQ+MP2HQK9PcYvvHDgstV0ruhXXO5dfbaCH75XDr3JEqGXU
wWTlaAabr0LSNNhtNaSmHlVuYz6m2mzcmL3nHfoGTepf7o6/AvKvAfhVyrY+irgHsY/0AEOal9EP
7JQPVIZ+27SiL93alowgxpnZq+4fkoGvNmSj/U4O/Cpb46G8HNJwC3oWWnovH6p7qacB0DQiWVby
exPPX/t0Wi7xPjLPgF/WSOSvwOXAYxD2+6/71sq6kOdpoawUnGPOsMd4RVUFvd8egsA+xpg4mrCT
Dc3Se48OvaZdL9Ky9Uty3a4FDl/1mDMcjCkNbUcw9jC7Zt/oTbuBeGG80yh+leLzFA95AejPa6f4
mEDq2cTqdoUEU/FwaBevPbGsuAYD44hobEEj/OsLiJEEirOsIbj+o9symMAfAws1I+nU1bZJ+3kH
UnTeg5p6j7731rsi1YB2gIoGBO/1q//SBdVbMCNZz6Nax+q2WmCoHZC7JYJc0P1PVpHWyGpNT/p1
XCgVZG1F5ZWo29h6epLks30iQKmcTrFuXMG9Sfa/X8W30h4yf4ruVRcD2bCXX01M9ZTUeCFHM5SI
aEwwc6hjQP7Woolr8KvjxdyOyLQtPsj7si7rd1QB3iB0Ql5FyJ/ri2PPwX/5AZzGZQrI2CVyZCDO
bEtmh4prcx3B+eT4pXvak7gcTLNmXDYFBuYTRongNzP3MlNgC3Nn3jMee8hSx90ya5LMUCuGcV5h
+UUYSyG/QYiwb3+/bm8FDhZNZ95hsGrHXegCnnzTp5mBoJdvXmsAVfRI4Re0p2s9fq8b5dwKZwRF
3qGW9Gfo+N8C5LkAodtOEQtbBo1QduQvr+VVAfJ/iyfZUdQeFyCv/sSfBYhhfAiguMOWpEylw7R2
Bf4sQAyqDDAt69xpVQnGFfrXAoQ+JU2gVUd7lZJlJ/yzAAk+oPmG8jM/h++FjOb/VwGyym1Bp6YA
WR/lHg1/xjxFOweJgSiTWnY2Lr0J420mOdBmDkdlfZXumFxKFCrPOqf//su6vXH5vtYqWrWkUaZc
+0A+wfTo6W06JAXcELB0nT7scgv1bs85WWR9CpX9zC7HbCN8gKN1uuwAEqeXxKly+/sP8SoDeP4M
rIKuWzjRHUt+LbNg1ulULiPVbDz4Qh83FpIHYWq1crtK4V8pxALfuUZe09jWp9Ipgk9GtwaVmZcB
CBi2U7s1vvRd0vdeZDK0ZsY+zu62n+pi3msxBN8NOBJSYFcW0o/KcdhSQTcO7k8xLA5NmxhTOvky
hd4Sk8+ZcQ5/zWybq6R2NICUk2ZfSj2b72l7FHQ4imloN4HKMTZXKr3D1LEB72cqtww1c9Se4l6O
F83kq2oLF7a7BMoKqhemhp5vlsZ2LoeEdAlUrQ46pStRvQAqt8gvahwOHmEpgGuwUKnR9QrGE0ZY
dKFGCpuv9hi0zg5RS+YtJWNI/8/Q9KI18msS9+qmZP/w1TlAiBXp8NteLqapxZNKOwwjfCE62GFB
vQFarjZTbL3nRfZ6iOut1uarxqtprg39ozFJIApc5ybXiQYxDFEB2+I69TztEscGOyrm3I80L5f7
WMGyMvMg2zVUlTmp3dlsTfGl6mfznRTWeO4SvEi1+Ew08dHSIdHS//z5L5lC57tNVbY6jCDYiFg9
Cq2QqAY74i7FkbraeXbvnxpKy0Vo+0N3DZVAnptca0BJIRypMPaQhQRuWkLNcVQm5IZXNnr7JrP0
L54OAnM7gko/FxU6HcAtg0urd86l38OyXLxC2yCtaFB7V5nxudAqOQOW163PpWPUwxaLUgHcaRmb
MNCqjEsWqZHPPrf6D9fXoclUVTB8pp+KWLnIde0wW2AlGX6MoA1MTiDmu/6IHQb+fvoStvwUupiu
4o+F1flyG1RuBbmshm52iGlh3EjlSLRR9b6GVThn6F9MuievZOeX37plGR8lqwLQuS5gqRm+gOOV
asI8+DmxYFvHzoJMo8TzLRx0ZT+2WpUCEdYuWiQ1OsvPD34FJ25bZzPgH8iJ4OXbubGMG6tDGjtU
nysDns1mthUYIOkH32t4hD014jhW+24aQdxnxTLZUUd9c9W54NOuOOdwEei6ZPtcrPlspxaBLmns
a8Sjse5uCivWzqy2aT7rfP4Tusiw1RYTuNteIaZshiAnJ23vV9mXMfbSg2nnkBfbYMqYHgmsskJP
6XAFHLDD4EVEH/SngzZOWdRPu6yTQbxRYgmSCPXyvI+a1ka8JLcTLYmMQpb6Hv6WgTFvm3UHXU89
61rD2iWIsGWVV24yI0TU0/g5j6cEgnxtJxM4Wc8FOA4BAYTN4INFGrUeG5caBY3HrvLLG8Bd9sYc
E/PQQWHRw7Et5YPtpbBOGR6lWGcZzf3Asb+ZAlWW8H2aqoucrhrLSOhDY0W5JJcLK6vMLgJ/9PWz
uMZgHndPW+GypsVi06S6uZnw8HYOhh8zo5rTxnkY4hTejbP0lbcFYXW7dP5iwFETZh0lpuyK/Zz5
rozaYsrSgzX7y1+DmP9NqJ4TKtukQiJErjZ0CBL+cie/Sqg+0Y792ZQ/jhOqV3/ir4RK/+BQWaJQ
RurAKHcVbvwzoQo+IHXC2yWfYhDBQJWL4K+OrhN8cLlykfwx4Kvb9upM8s+Eyv+wAsgYx1GkMjBi
hPEvdHSpbrltjqIxemNMuMjUKbGPBRiDlqNDCWFGZT9o/V6oZfQ2NbI1YpeMguYV9BnzEj8Wzwqt
uB28qFuc+jLzvJguKlCPU9vttSsTJDjBBLfTPfjTqY4A210AS9NumyFPv3IL2w956Qe0P01sOmke
5cupM+Tznk6tty3nvq423EcQdlxjQt7ENrs4TNFCDv3Cqh5jO3GCqKwRJgtrGmEXzOnncZs0Xsvn
AuNY044Gqnaatv1cQXS2xE1SJ/HnoVoMBpew82AruM6DHI3c3oHfC7DTy2pRXPgV00umL0N62hoc
qYivDRBcOal9CgAwseBpKQiry0h+G5Yc4Ou0NhYIHZmh5qjTvEWEtTbXn+DYnUOqElxUDJocyiuo
37AMqlWjIYVXGGG/KU7ijigaKeZT9yVuQeOJnVSjHTpDL8RGLKXVRWY69v2mTVX2dSqNKY4myDNR
nNbVvWNNtAQbiRRvOAWuuPOXPi3CBmS3EVrPfdv5uYcr1nYueyG9RCuPHi+NsXGKyKLa025Ypkfx
3A/mDkvO6qKu7uqqHTe5L4OwB8R8o1s9DoQ6rJ7QNLr53FvU+Al2en220MO8/uUIvZFbv5ETYdXH
kJeiA5TPsSGjHaN6zEAQQJeHfG+QlxeT1f60q6F6RyjxrQexNdjr3jOsYs2vf0k+SqRUYn2AwKzZ
DMWo7Isr0xmHnVAZ5K3ff6k1kTs+WlhaAtVj3Eh0OaoXIO0Bn68CO/IUrfzcAxhWWE267WmWApND
euj3zyOSvH5esOaV60z3lQN6LlRiKtA5AHh7rm74SFsSmerm9095XYHYJq09CgHmQKtW/8sVrNpk
cYC7w8hMNVBWCLjubOEkG9igj4bS9W1tje7d75/5xkquEoW8NkbVK6Lq5TMNDZZcpQPFRfiIwyGc
6jKhExumzDTY1/7y6ffPe+6oHL06UtPVYX1VLCcAv3zgIDMcJTJkLcCiuuHiu9ikFGN5yEU/73u9
s04mw1sl5/wzENJj1OYxvddK0WmrVBv9/tO8sWdRl6H/Q2VOwXC8jxgKDFWM02ykFU6HqF6jR6uy
S1RazXuttbceBbZmFbPBZ+N5tvnr8YCRrVYwmR1liGscgkFwUPqhjWCNvCfa+vajkLtf/6NBub7z
X06iGRODe1QtOPJ2S0mX6QTG4Vxq+b9scUrBQWihZkYRkqnt0csUZtc2KA3xJFKksFuQjBqTKcfI
Zay2wdK+p3Dz5jdjSkrP3EHK/dh0piqBww8Bu7Wua38/jRaHA/j/XnX5z399ZxhARRBJoLPM4Xi5
hpCMU3o50EsLCY1p6ZN4Kxtr2OZT8p7e+RvHnvoR2hO4Pxvw7lELIPEc+DUZZYA3mn1EveXsmRBt
HZSKN1WAitQQe8k7Ae25P318DJGHNsFVY5AHGvnl96tQdMiQ4Ic+60y1GYLtLNso79TwJUkzINB5
Poifo5QJbBNTY5y4tEVwOgfW8p6p2pvv1GfGAyiPRuyzlNkvuxUymYRLktr0LbQ20v6TvfNYrhvb
tuy/vD6y4E0XwLH0pEhJ7OygHLz3+LLq14/VgDLzpgiex1PKXkW8yM6NzCvhwGy31pxjKrnlqgEW
H+RJ56LLTtSZdCizbMhMyNuYflZvlc6V3FuDrXlN5GlVW3t5mdk35tQw7hWzv3CapPEDs/khaq2+
lKMs3NMbPbN4vdXbMWp+/RWrFy4HWVtA6dJIlKRpzYrzRAQOArkeppBGteaxHXW0p8IcbkbIu/u8
nws3qmv9wgzT5nJuOCuNMmsQ5Y55k42zfUj08rua6PpVJXQcikqg77JArlzEVDFRzLxNvK1OvpXs
QPOUsSe2KQQWqw8AQEpbIqZjoMAkj9gueA7nVPxvyvyrG14tbJJkmAntSs1L5ulDkIfimIkRfmxe
qhtMULInMnPcSKKu/Ak2/pnnfeoDY73htdPXAGu8mg5JjtZjbRIa1pdc24poSA8NkIjDUIlzKorl
r1qPqkUtwryBhpVJ6vWoiqQk7rCu6J5onw1qbzveRu5T/JtxgudnxvCJ+2LKRVW6TL6YGlctKDGP
OT76pXwwyS95roMZQOC56Aan7W9OhktzzSaIlHuy0cKs3p8TlCKkmaZ6QWhxuWqGPpfN7TaJ9ObM
Tb2ZDJdLLWrExfVh0pN9/QS1Lo3bFlU9AXH19yTWh33UwvVOcjn3l760SyDD7ydnU3ims6bwHHWZ
3cDra/a4cx1ztFTwXJq6cZI53A02yXDKPJj795/k29vjUsv8w2Okd7MWXQZmhBixAWCMm4tyVk4/
3ZElrJs58WOMB+JxQBv/OQD+p8DwX4tgTDHZs/6vv0/qb4oKN01a/FpQ+M8f+U8RwTGQY9P1QHD/
U8b1T1eGEBQO8Hz2fI38z/8UERZZmLaAXYEFoLWk9/JPEQGdGUIFTv0UICh5/J4s7Kf0+vWEwiZO
ph3LZ7kMvuVg8sviSLhsI/WchDzONNGVRq1lBnFd9l/VpArvWsmh/lVgyYJlZFf1ljYqxTF4mfod
/f1HPmpKZ70TXwFvojqZkx6Om37UL9ufVTa1LtS9uZTe2qUIZ0+ZheAYAPP4szxXq7WTA+uYigeS
QEtyC6dnZhxKmKLscfd2eWq5ouc87eV1GjzYsWGXbrj0FOylu5D/bDRMBD7prjn1vjEpe6vQERbp
4Y2F9xnNkRR8iplcEHuxV/VCQx1cvcuGZ5ORYnpjXeFYdMoJLB6MPLdaqjZ/zjj/Mzr+i1WXCR+N
IrtLc1kqFmj6fz9SDnmevuTfvre/DpeTf8dfQ0f9g2/TZiuFcJMuPtuYvwWVLH500OBRg9tXyMH8
Z+SofzCXcsZlvEHxMVUWtb/Lb4wclhicL2iI4f4Rnff3oP6rzPGnDPa0oBLaPkPjn6GzzLKUHDVa
eUuoNVLz1aLVN6zFlFscDKgEDXkmJJoNZILnacC15VZx99KBNIo31Swv7kdRBraf6WnxHEVhcaTR
GVfbXi66+DoMu3jYNVHHNzxRz+n3kYhHcYH1HyCRkhmkI0SyCgIttCoJJD4BPf2hIlwVZopD7wkt
MhtLb4Lm5eylaWQoUdqWxucQ4l14EdA9A68z2fo3xSbEmC0ZuehXSoWeLXSTuajnOyVvAXTUcJYw
nSWXyHQqX62DrQ0MVd/hVx+zS4WgQQJuE9yCXsWxcva6kJDefZeVA1CNRiNv7VofgIIe21LqHzCT
a9EF7Ev4sZVtxcW3gQqitaUwVehb2GitlrHQxwCMAmBo0m6o+wAV9wZAL/UsUKYuzFGN/2cUHlO5
brZSpPU3uehfYF/LD4HzBDIRu6rylEWqtstgpsturHTjXh2bajPGzkYF0zXqsqcYfesNTKxkeCDu
hg6ISSaLwmfQwI78QQXOtamrZt46tdZ6c9cca7XEVA/FC+sfJ/ghMV96iaZCWQ17kykuxxPty1Fe
eBqawVyLPBASWy1qLqrqU5WBtauLHdztfS7EDcpAYpTySjxazPftMZKxgDJfNvUBHxKlELoyZQx1
FumphNhOwU4buh0FWRLgRqmcILtKKM1B2ioHeN8f1SSaHnoqkW5aOYWH/773jKk9hGAZ00Aqd4ju
oBhjn7ObYCfTddP65IcT8Lcq8CGQj88ymJi8cXl1tIkst3PS+7BMPGlUsfoeLfbrmQRYtE6PdmZ5
ivNYi89UmAMRqUfgfPV1NQS3bP1v8jKMnoI0KT/UZf5Rmqd433cNHnkQxaG4TPigzVwtgEZgB7mv
aeByFIADWW8U2jnXaqjXRxA/HAI1JwmuUtBEg2eGyfXSiJzcWcVtl7iBCZVqk0u1/GkE/OVDVfzo
IGCsre5xbjXMQJMEla9enPcRaCqlCEEt9L3tdw2JzrNj8klVn9ikpUehaTPoUSe4XDqd11WcZ58h
v+DTNwr7pqzlZKuIETRePhWHLO21yG0hwHyd868ZRfEP+QgXUsKrrF8EKGXHByVq9S3WiCInhXCJ
AQo4EqV+k4FVo4bxkkhGeRvUCELrvYLcd1JnzoH0/8gllt0gau6Hyqp2sVPCdk3UJzThwq2FeQAy
qHxhJ+7aGCzK4mmcZy8SqplsZn1O8isOWFm8hxHM61JzqTGvczjnza05p9K8NWO4adtpFo7hTkIZ
yI7R2hzST4ElBk5xQzglXJUJKA9lKhCLMJGiizCU9XqjNk1Xe1Fio0WqW/lFTDTHL3M7Gaf90MbV
cLQTjiiuPoetukU27ATHup7leltrptA2nc5IcW1DGFtQrfaT0w9Y54knDp8lqZGfUWL031seNVSW
ZN7ZhXHFCtMdarFQV5TINel2p1bS1Bts6fE2Ku3oapjn5rl2+GF2K00fZBlVLMiiclK8obC1bYEa
YBdmQXIhCgcnTIpgIdwMSMmfRlYGcTRKOjRuKkgZ8WtVjNFONtJk3lC2F4WbKKQOu2NEwRuVs7Dv
+inr7vGuMY46FbTSwTQlq9hNmNcZCYY82QjIYyKXRIKsvinoq/pqA1rJ03WpeBgqbUAKbmkPMQKG
myzU9oHRPZmSqbuNAmmj0Pt7okdcM8u1qzDKvBTUoRisQ2HUmGH7j8P81PbtVrPz2043JIqUOUi3
cP44NaaPogNuSn3RG/mTPSnWRqIQC+5Ovp3ijiBOEcKDTaEDmzJTTpwM0HPnC9PezOoN+0I37MxP
w5jB/piOstoeQyc6Kn1zLJ3G8DLweV1waxafA8fcQlI4jItpsK9Ap9fVtnPUW5hiz3YSPzZqhA3W
oav6SWeXVQpgtl3iWbEKs2UGtzd5NEiGraLVaDmSJp6JbnKQN1ucmNGAlNkHSae172IvupEGniq7
PBJtJlvooG3QrUgok+8ah7JKTGDGo0XplqHbD85WkVjt1KSP2v1Yqhq9bTVSr2oRg16ZUzzdGwEq
0+9G2DDbukOvAjk6uW0m+0Guy8BDPzEctFowh3bSUxWI8jktm6fYoLjoOMw7Jr0bL7IykJSDUUcu
n+DOrGzTz6aEWofdOhtM7aCJgv5YZRzwLDObWjcv7M9zVs89EW/xiKy56ZJo16amOChRKH/Rh8ze
68MMwNSSdugX/H6U0U1b0sdab2M6zW2ykSs421IQaYdYRFK3lZBjf2yKtnjKJkW9btIpv9LL3nSl
cmuRVTPJd0ov1GeyTJI7CNHaBhZR9s0xpeI+c1ij2OHa2mVrpPqeFvi4i5Ovci6xQrpVyxShIl1w
k6IjRhfR/sbI6mQzNZP4pszpZSCnL3WFZgPcRHiRxzJt8tbKN+24zGBG/BTAu0oyickfWLBu70fJ
vMz1bLyeEfZMqeaL0tqWHXyTRs8PSMJqj7m+wDJQzuomZLaYs25j51F0KPPwJiBidN4GnBHAxPC1
xtAkXa1K7nQHQ2FtT9fOLJtX2tx9grjF/KtVLFuqNh313GIr1TtNvIG53fJ0WOdmjK5Wj5BRGmka
6oP8fSykeFurxnWminzXQvNNjWe4FXgGtGM8TXdSx5jodQjQshdi7AO41hif52hA4wE2D+GCtUHe
6Ttj6LdGlrn0+9xkLDzL+pKb2o8oaQ55o9+r6Kj20LpykMMTM04DrlIj1iS6nxH2D9dR/xDSXzU6
240CMW+nhojqNgX8kkXMG67GqnfQ4Z3eRVnduuQyPNt8FteiaeWHNqmPsgXzdahnP8KyAUxqCDM8
lSgM5KBvdw4cH1duGfOoDu57JYM8aBgPFTHlfZnUhw6XZBL2X4cuLZ+tgCVqiOybFKvBwzTp1vdB
TNIDxXb1uTMT7jTAarRBZZK7hp59U+I581Mz7p8yRyt9B4yQDyFSdDATF8T2VIzAsF4GJ9q36o85
bj9MybALTSna6WUsXizgq0e8CMNLmkM0NBHsuIWZ9ZccNj+gbv+O1oXEKSm9z6xom5PZQOxULtl7
ZWDUqan0PR/I0006y7jB6upBxPayKDvEJq/f6hlSIKZ9SLFEUiN3WwRsnTTuIJHd19FoHxMSQ3wa
zp+Z+/tLgklbD8GJsXcokPtiiszjWE7lhhDlG0HzDu5evEPpmN2ZubLBt1N6Sjsc7Gh+gqB9FMKB
rcZc/JMw5PXs8N1qVBp8OYscxmwXaQxp2PoGzvSNWhlf4RcyNMopYKrOvxphvW8rE/KQJd1BsFR2
E1ok2oJsPHs+5UKvbbeve8PcR3M3+wo26AQIbtuY+IjT7lmd1HYHA7R7SMh5v2mUyDqGunAemxjR
TNKRd8pI17pkV422X6A988vE+gro5lNu1vdd+CObD6qZ2/u5nxJAIUPxoucKBNGuLVyjmTQSoq2d
FkaAFNURnDEN9PaD1pkdzsQ+wlgk562n9exW56qJ2Y9YmD1MGZSunHxEqcNRoWsavIvmjl2/K6bk
4+DEju6mjS5/qRetkjU9DW2mbdU0uFeU8Lu+pG1nTrJP8vI2K+XbLB43/cyqA29KUafvDu4WIKMW
mYBG+KRLBBTHagYVSY2rF90psj3LywJEx6BEcmU8uSCirKumC6koBMB77wbHOMLj3KcKk/qyACgY
mhJ70wNI/Nz1avAV2r7MRJ11nmPk0qUI23lf6Jb4Qs9R3/cVQE8m1w4mqll8KFtFXKISVHex0nyp
x6DBwjl+YJAq16OiaEcDt9mnsuqnZ1lunrM0u6I9Axm5Q7h0heIoO2RjkbDUk0wSf5102PzsLZQ0
fdacMf1SSsFRVkhypfZhF7WrRuKoyM59UfW3QVsd5ST/HrBlNI3MTYLZlQr5uYiZ8M3BN9TiEILK
TFSmuux7MWBmzZsXOS43qDZsdrCZscsqYxfUwGJt6QUJ8a0c2dvMugtl2c3kbFfUIDRTwGm7shvv
hJJ4sEyHPX2J+Mii3ntySwp2HN9bWs4BokI1VQhx0QezchWqPMhUsQ9VP+9Sw/FZ028SGUBlK22l
Iro0G4BGnSFBhk2/o464z4Ia9J1yCyLSFeEXNd/j0WDZaH6Q0UvDjliIDw2PqEeJsXFimHSGLhK/
CYbPpVEBg8x18zCYZP/o9WB4hW3rD4XAYJS3aOdMdVA4csufodeld2xsODvID+ogl6hPPgPXdrZq
NMweDALjoivsSzSi2NTC8loW9DdIPr3N6qryjCIt/Lzk34z6tREP+8IsL+jBsjYoBiQm6XnSrNor
h89a2m3Z3vK70AfySQycPf2ItBNcUXNGtzgwd6ShFJCotcTvJUaeFRTMqEmztSCiwird/SzF/FaV
6v9DQy+FIbRZNDgWUTdFoffqTx/q//O/KT+lL8GvBShcwW//kr8KUPoflHcwZrFpWKApS6P7zwqU
/QcX5I/RqyDT90/Z/N+WXuMPpGKLu0VH6I3an+LUXxUoU/0DQACunr//mPM7Fag37RksNIs1CDmy
zF+65qhUM/joWNJB4Ha6fdHPWeyHdhLsnUI9l2T1pquwXIpYHkQ+i+xtnfaEbmSYhQSjNVAb6VK1
x2EXYYncQNXjUO0U5rI6tr+r9/l5UUQxeJPo/68dA8KGO6jBl4aAHFUvNg5Bn4CQ/NIO+uKMTGOp
cv9TyuML4FKOhjcAUgVe7XUpr44l7kmuC98qzOJTrNuSZ0bt2e7dWxTSch2caiCwbD7adVO8BB+r
wkIv/EwINHRNPrlqmxbfJs7wl2WjiG0yR+IDkGzqLkItn80+68GZT8FBa7LRc8KqugVayxQTVJyn
RGsZX9uKYOxMGUNPmbsvvwyQv6qevwre3/Qb1UVZiIAHg4hlEs30uj1Qq9WgiiIpfIrAzgNKyXFD
HudC0yDRrC9y5UxC+YlvGjgKD4b2JiVVnbHzazui73gBUTHlhMFa1rYOldBnFwincabG9fu3xrf8
8/Y0E83M60slUUx+kszwEV2rg6Gl0toEIeK+okl31BOkM9c7dWvMUOBF4W7REVrdGktekiI1zv0u
KqUHyn2pm1tlddFZ+Ljev7W3MgReG/oVVBdYTnF/rq5lqyEgOgJ8fMNWMC4PcZVtND6Y64aKHOtP
qF024VheZ2U9PAwjXR+vkox4QyLWOXPh8oWshpbBHdOPRMBKt2r5wn5pMBWtLCyRZ6VvWtV4VRaq
dJPXYAeSUgzX8zRGx0GWktB1sjE701U+MWsZiDCorkAdALKwegrQwaWgLuLS1yWneaCS2B+GMI9Z
QOkqw9yyH3oACGcu+tbxx7P/9aqrZi+Rb0Wr0HviqbdFQe2ji2F9k3tfe2CvxL6SzWk64jCm5qtH
2sewxnK6Ux2g2KD6Sd7wYM7q+o9kzjm6wNYBikahY/SqOdUfqwlTGUIoKXwOTM1qvajPnd/tIXMH
iJoXCR3KJG0d50hOyRjLAJQ5QIvox1TXhLPAjX60CXC9gSXdbYN+OOeO+vkhrD8UPliUez9XWnvV
TkH6O2fUaKCTCqzij0VT0fRwUmQVcgMb5cLIi4TBGmcTddC61w9p2CTPKJpbkmdCNfuU25E5Hoda
0rHLEPcae9qUw4uy+yp++BcDjEeDrYrOKTixlTQCAsE4myH8wn6gpanbxO/EQ/M97a1xSxaVeldm
lrRRjRqbCyjbHQLIbGuXaXnma1tGz/qhIVjRCI/B9cfm4vXoUmICHtIpLcFlUy5yTbkzfd6Q8WSD
Ub6ZlOrl/Rs/MZqZOaB3LCg/3hN96V9HczU7Rho6TCxNAqWjsXXqOj2kbXq2MkKh8FshazEYDs3Z
vH/hEzfKIYNUQJvNzgISe31hx8yJGMko42cUIz3w/9mBlNzOVyViAgNFH89Moaeux2K97DzYxRHf
+fp6A81iUYiABzuYibo1Kaze4P4i5yPsEmuvsJ04s/S9DYZkX4gplB2lrZBuul5riYayhT3kzJQh
dVXMeNUnOKHpnnaKues70VwONXjveMR8U0k0akSo0I4a8q69MsdOB2ERZCYlfIq+g6LGd++/gROz
KeZ6kjpZmAFKremd8eQE7UCTHCNf1V93KqQKCR38Pq9Fc+8Yg3aJkPHx/Wue2JeZbCo02AWIy1ER
r97CnKRqjq6fPLwm99MgNa8sKazOxDS/edeLE5CWMKsykw9mj9dXiUtdgW8LrL6jaXOtKD4x39Bw
Zai2vdKdmTpOXGw5FCiLzAklkLWaOQazAEgyTY6HXKS9Vwbb9gqSpry5REXbVpp9ZtuxfKivZghN
5RxCi5xjDs9waaL/OmLrsOuHpiPYQ0UD6fV5/dmRALd3eVNcDoWZ/mjHLPITdiIH6ov99v0X+Oaj
Wa6O9Z4leCHfrfVqw6T2tB2YIAyhNFeKNv2YNbyZOqFkB3AY2WWqBcGZ5evEE8YmAJzMWdgeeF9f
3/GUWBabOSwnBejR63msTFrckOQlVYu+zD0xpu/f41vF+XKTJBGjx0Fky77r9QVHIynnAlGCNxfU
NAcBQ3AJ5yMri3wSkZDpFaRSuGlx4iI4AbRjM4/uTJrde9J3st+duZZfw7K0/BzQEWs/Rsy5pejU
UHiYdTta4gDDhrYdnrPQ+sReITp398uUv/7A4Jqg/kBtRuF3tcvSO9Npe3gBJC9ICgT4tL0wpU53
Hdh8OykFNpmZdkj/0khr12yz6KCoxS37AOnMe18AW29+CSUA3jyu2cU0+/o9UIykpaLCXs3hgUwX
nMwbsupqmO8boRGk5E5UJiPa/5UdPRT2mAuKe01EhquhTeoGcBcSpcaGTz30SvtVmuFvAKqQrBF2
SQQsybbaIkApJex7IdSB5iibyHwXhS3dSqel7OaVjK7Mx9rJHVdiDNUvuB/IzaMj2Lt5Z5J2NQii
q4At9TWFoiEHyakDW96U1EPpJHTCyS9I5KMNWdu90PxCS+l1k0cU3eWW1u/zSMZIhSmLMnnatcz4
jhImMqUktKlnVt1lVX39bg3bAIvME0WII68t682gjUUvWn6hbLeXeD+JKKvyFKY9LbH3R9HbUcul
kEdaCzOGxNXlv/9yTlDwBVMCp0FOBa/aJebSfLe1fJdMdXrXI8Q5892+/VjgYi77t4VIDBlntbSQ
T6Y5rKySl9Mc84K0ga9FpsKZq7x9gKZMtiyDA/AbEqnVXVVzlKdNy1lS0lQSbswEObbCwUcrW+cM
auTkpVQFcRPlDMbhasfijOSNqQ7Rg2nB11SXFPrjWYB9srXi39zVciEeH7vP9VZd9FplTQ4ZQqYw
xTbNisqziQ3aqGV9jnS5PKDXX6DJ9osShLJgw1Hvv/4s4q6WSeUh0hJ0bBbQAjSmTSSJ6bKKrJtM
1n+8/xWqbz8LrrfwdmBcUnJaVwWoQSf1RPCTNydIvxB9LOgtpCNj607lSBenNLW7EEYbE9psBxEn
6tJA1dFLduGj64KKHzvoE9y2NeTPRJMQkcnsST/YaWqjcsn3s1ua+Mh1NoPs0JGiKN/fj1mL+KQm
ILDdFmUo23AQKoIu3r+7t6YMyls6CF4DXQYz5boGIeaJJg5CIm8Uhflg1uP4QCbd6FYdJDd+cO8H
jlXszVg7qnjUrwJM32d+w9v9yHKAwFoHuvQnjvD1Cw0nY9C1ecDROZjDvi+WzSpesG1cZ4VLaUQ9
WKUAk0ZO2CX9oHOa9rfH8+UR4CXi/tmXsA17fX0L0cvAzkvy9MReZm1O2R7cUP2bqknB1aRg4XTD
XjU29WChHBrMH/SkpT1RVrSA9TnaUizrv8m4Qdn+at3OCBU0CIVcZR4hevdFpkmXsVOd28a93Ujx
sx38c0sNhT7OalMjB4ZCFoxFsGjFLE96aeI5AakfIEe7nVSRAac0WX1mTn5z2luqoQr+Yt7WIphc
Db4Usz7BBQEdX3MyPoqSTr01Lfji0iJQinCcQxdFkxdL+G/f/1JPTWZ4HCjLIfyEfrGanVFXCDZK
aegnigLrKFYt38mEfdSMPD2zbXhbLAPJolChovjLiMAg+fqLkEI1yulyM8WkaocW055vc71QDtaQ
zJ5uUkeIEjXcTZKe3tvJQHvMSUk7KurMf/+m35aHF0QOulIWDG3Rly7v45c1sFIIc1eo6XsNzuEL
Yp/tL3IuqtllzphJACvBexNr2/lOH9udJ82puIShv0tbs3xpB2CCTEPWJQl1cuYPOnoaq6VF2JEC
cyXRBN2F7HnO/ei3+7/lRy+iWj7Mt4/PUeZECZeKucYG6tLRpk9BOMrXRj0/BpaZbIcJTZxwZt3P
yqy6EsSsXjS2ke3OPLxlBKxWCk7duJDhi9OYWdc8i8ZS4H5mAWNW0P3NyeJ1c3tMt0adak+xbFYP
ukr1Dx5z66ds3DbNklDy/q848d3+nFyZXZbtsLk6Sva006ui5ihZOQMmHSktPmUy23CpTtqP/+JS
AAaQR/PkOV69/ljquoVjKVpCaPUaBIBuZfu4iXRfEFLw++s9ImtWYByJy6liNQ+A0ylzE2q6h/US
wX43a4HXxH32XYoJ13r/tt6C7BkElHqwNqC75SmuJmhAaotXQBae086I9TUcalfVrKdfm07pcCHQ
Tp2cOjmgU2PSQ0FLJ19vHgomoesq0bsbBTERRWXiLc/8tFMvl60Bam8Oe8i+l//+y/BMtIqXO5AN
zkQBb9QkM7BIO8Ltyd8Ozjzyt7BpDpPL/gPH4mIaWR+rSCyfQkuNAz+tJ4IicGmkUOuGpQCiIFPt
pnA/ylLpdzmRvXVIQEkRVeMuWdCz1LeRIMlGp0BsIpKyVNsc2bIMTX9SSYeWOqUna7npro1onK/U
UEGNIgU09atW21OEgnYCandTNeSqE4ckzrlDT2wCGKP8ozP1golcfbtBo3ESm1AzmgFl0sZJrEtq
Fw5I2UFDPgfKm6hvjR5X3xioQobwzDBdvqHVXEFDAOcC45THuz6xB1E2ODoEIC9vsm6LKLDfV5DY
dmIcrwsDBdv73/TJyy0GcODTlDDXn3RN1PfM4Uzi6FccVSPNl2g29lpQfJACyZv3r3ZqQcNNxIUw
3C8lptXimc2y2gxyJnk43SJ0cqqzoTwRHpzFglZpSYlkZjK6D3Oflh8DIFaHsOlNSKSzdeZMslxp
9Zw1fLAkm8BsIOxjNZYrup3dVDSsDYS7HHsxim3GYD3zeE98TfhAmG7h4y6mPvX1uKRWLTmBIMW6
k7A/4K4LbqV4cI6ExpZeNhGd3PKj3amdlW2kdNKZaeHE1gyrFnukZeFR6Aq8vnyuSR0mCdJUtJJ0
vGwOnG0+KAu4OtR9ozJkSh+hdGbZPTEXURiFPLNMyVx4ddFWGVFBdRyXK0VYm6hF4Yb6y9qI4exU
pCzbjvVbXMpaSy+R0fKz/vXLvFerkuowEkOfybHcZ4rycQZau8OgcNNISnQkDa/cF/Zk+3o1jISK
ySGuWxLhK5oge504Wze0c7RnuaZslSnBISPgvARgUd7/8k88FAoRSAIp+rFbha/zaoKOGpA46mgG
fjQPyq6FiEDXMUi/dGz+zs3PJ7Y9yN3NxaEHVBEJyupaozNZXcoOVVbT4mAoXQ/nuDf2YalKLiwt
vEBRku6J7tZux3L8UhhRcqnBadt0Qs4+qOh8dpmB2y4DMbXrFQluTl1SaUoN8dJVdG8Gsp4vEJO2
t+8/pROzEfX0JQdn+d3yuqheF0LRtViHZ+1EPzS83p4GDn6D4jLekbY5/ouXwoGLUzXgXGgOq5cy
VxSqhlIl6mTMbWqRogQ8z0IakChPetLv3xsqFQdoOBrdN9C8vCkbacw7LlY08s7WR3akaWwfipza
v1dr7Xzmgm+7NqzRHCaZ5fCbMcetbo8SrJRBeaXJroXKrm81a2c1quwLQ+zmWrohGcL0rRhPeMCe
wi1NWb1p6l7xQb9Xx1jTCALE/rypBv3z+8/i1GjgBEU9VGHgYk1//YXGk1ZOAJgiHySyvY1n82Nd
qcLHFxScecUnJggkDQth1Fz8sj9BVb9MEBICpdkyFnOLDuwgbLMv4GyQaltFe+nkinlnWDQnHUtK
z3zKJ24RtxTVOwQ8bBrfONSxUQgh8sCXcgW7F1GHbtFENAk1woZ++2liGzSZBKkZLE2610+zDcHY
tSAC/aLP553RZwWwBIO9X5Of63WeWDWprS2KMzrLBvu015eaBH3XbLkrO1DEFSnP2lVR4Bl//4ZO
bRMW8CtJVRSEiK1Y7eqB8IRpZUwks4eRetEREeFKnYPdSUHTWAVZf0s98ZM15niHEiKen+KhzPhs
ZeVf/RJKsKAT2K2wjr++Ya1vJxXFOVVSZTYunaxn3ZzykeoMOxQPFGQBn4vT61Rk12ZsaxhjJoxL
M/6695/JiamReQPVDE+YRoK2eiRJPmZqrrGATFUhdlY5V76m2z9CUwsuYgXD3u9fjoMiOgLeMqWW
1Ta4DuS5rywATE1VSX5bsQ1n8gLGP4f2Y9LYf2k8/9/xpWyQqL0tQknA+W+e84zISTSFHvjmwBY7
IbXGQxI7bpVgPJdBeWpk8m0tDXTc6wDCXr/SvNKE3etU1jN4R7gSitqzssi4gyhy7jBx4lJ8OkhV
kCYi45JXm0zgZqZEIjoWHw0jVSCo1pEEkW7xW2i/X5ZaaHv2AlEGo7Um7lVR5Fg5Z1GfWMLmRlMz
89iH9nAZz9K5lLxTd7WsmGwrmW3YXb5+gFllZ7UZRomv4slEP98iTdNpYlVu0vfjmcntxIyzkAh0
nbYp5ae19EDrOxugfULqgiFXT3qrVRdNcFbDcWKfDgYB1AHNYPZO6/JWVEWdrEY1smxRZDuIgaFL
3KO1HWbcdnahUl2sAZkkyZg9hLWV/P7gJkiHbQG7kEWeu/okK77WkuwYeKlmOJBKPN91Iso+EMja
HooxFme+lVOtBHiUFLu53CL3XB76L6viSPMl1ZQq9snvqL8K3ua2Uvthmw4AxxJTqH665PN1Jl7n
mTiNHRbMyMPPaO6lNrc2Wt1j90Nnu0EwmT/EqAr2Sj1ck1FzYVEBAeIa1s+t4hCxrKnBbdiOikt2
TfT1/VnqxMdBRRK7PD5/ipLOanwpuYolOiOZb456eZumUv1ohMk5ut9b3vFCs+D8xERooRVYb6hx
l45ONyqxv4SjPNvImR/lhLC6RAICu1U5TQlojtKjRer9poj6xyY0M7robKXAWCZ+HQdaf2aCPjEI
KeIxq3DAowq+3tjEszGRCkzAeJpO8XccOcFlQIj4MbLzj+8/5BNbKOYVpkq2UAtNcTXc1c7qSTnF
suDktXnkHJUc2InIgLgVwnirrrsURhvv2ILo+/evfGLNWzKrKEtQaULXY73+TLsGBq6xhKjTAY5+
tIbRbIZJ6wO8FFWDtX9ozzzUU7dKoZ3KFneAcGB1q204m9U8kOuedLDYpxjHM7JU3Q2JvNkmcWXf
iR4sp6oHxd2/uNWFGcGeGHbEuhyRtA4JPAUPWUeVgs1xGh4be3qe5HHc2bljHd6/3Kmvh+IH/XME
34iX1jc6IfjSYwLec/y5n8YljVsZFVJX8Uv/eP9Sp14iW3xYMayBNA6Wn/LLXFPm6LFzsi9BHOfm
gcRv5SVv0+y2V+g9a2bqPL9/vbdzAtvSBVlDvZ3pzVp9NFE9Y4AEwO2bEVF0JbLta8Ck+u86AJBH
/XqV1YzNyRg/X4qeolZT5bHPcyqEcCpux0GON+/f0NsHyMTDZpulCY0UpcHXD1CR6qkJ0znHhxda
D6YqP0tzYe6d3DIu0rz/i5j03+7ETnRiF6HDQvFiwLPRXF1PHwylSuQg9+0kTLcFZ2Tq2KqJo4ht
rddmjcCZlYobkoM5Po4B9j+rTqL6t8ciPwN7C/AtqqqAVl7fdgnLt5WtktumLvNNlKOx78dkmW71
8oMxNh2kBEfCq8Xh7cyh8e3osH5G0i19I2B562Wlz3U6QTaXlukpEgEXKbvZDh2vjvXgnLRyeZqv
K1jLtZY0dBCraFlWw6PRyxptRpX7fLPat6kCKxSB//PrEgc3W+7wMqmrdAvlRvfkooE06eTlmXn2
1JBBjbactxbDyXqbSkJ2a5PMhi4cYAKCScr2Y4D8/f3v+OSHhXibbSNzHD3N9REGNTkaQ9SSUdWA
XQrM3k0B7tHTn/8vd+exZLeSZdl/6XGiDMohBj0BrgzBoIigmsBIPtIBOLRwiK+vBVZbNeNGNK9l
DTvNcpTvJW5AuB8/Z++1beJJ5/CwLHaxZySwHIM0QU2R2MnPv/+Ilys8ewUFDwIRDhl4LJ6/VcBG
0qAO7HKnax1GzsR5rkJqc/ZBJcSJOy9nvoxlZy6YfP9+5dc+YyC6W7gjZxzrpd5GrH7SsGIMKliw
4C2/CmgYOCAJDo1X3572f7/ets5dvlj4wzblHyUCw/Lnf2lerIErTa5n+us/k7W6EB3AwtzNKbbC
sWICO6ZDeiXT45WTOyMTRD5b55Eh0WUlW8sxbIsB8F/oMo3qE4oxtdlV3VKo+3G01HH1Cnn089IG
QogGve2KmqSIZP7n3/7z6bFtprDNB/cC7ltlsJftBLuOAfcff2vVv1lSx9sNCFx3BDETdObl/yeg
9P+9dm6vz8VNt1BukKAMUpckz4ubblRB4+kQfwJ9aXSdVWhAvXVXW35o/YQuBYnQtdmJMSbIzsdZ
0ngbTxBTxRDBJwPFUJoa+o+CS/TVJKcuavrJvqYve/VHIjGBT0Whw7N6/magKjNJb0UuvYoOrpjy
1xsQUwndjCG5svm/0qCn2Q3pmAqaNiRT0+fXEo3shYu9e1co3L0g2sZjNgnvO4CK7t6f1XL2244d
WmQaA3izHtRS2oesHdpPDMiyfePTk8Ue0xztaimghhZ5XMkxP7RuHl5Z9l9boLZRGK8u5BrBpvv8
xy5qKOkWYlYs/RQN+7CWX/T262YryU5BMk9sPkF5Fk1Q7OrQVofOc695v15Zi7czGbMaenkUaBc3
zBoSAsAAT2GnzqZIwveJaIxcWfARNb18UTfvE/OIzfTniIt3gPDtfkQ3H8aODbblXv5O2SyGxPiZ
58b6fXUb/01ftvozerAnI9uAQb5hAg/iqO7k4CXsfv5AkwjKELNclG+2Z4DwkNmQvUcZtwxxmwYY
8XLORe7eADn23mxGo0cdSv7F3hqTgHcv7EsZxPO4UnK3fLBjxPfjdftuyny1Q7/Y+LsktYuZpWOD
NulBmxOUkxxXvbd6A3CVZb7NEtV9S9XYdlGDvhrBgdJvulEuKzHeG5+KqT3+9KwwvPnouwwg99PE
ps4Q1wDGkIlpWqN67NQPm/0pIQFRWmgunbCs8aYtU56dirkxzN3or0itNGJM2ew9YtP8714m++C7
tJYBzsyQaBR6+4LG6wNcM5m8s5XoRBFNZGwYH5KMqegpWDLbPC2WhXeATibXgDni5YSmqKVu+8hM
k9kyIkGvlQwP2zVMpyO+tOzzz0YToESNbD9pq4+zQK37seYgyprq+336TS61WUR5mco3yzT42WfD
0lj/o3n0mvZkEBLoHgc3S6HzSN9VJY76wZrOSRCSphCnZSY/1g6dcI4CJWCeLZ3hMxGgbX2GjRyh
veiMyBzbYo3z0qrv20FJ52As9QiDJnRlsePjBKmjFjLuT7mpnfQOJYpRnUBamfW7YgCFsrNDlQno
OQIYD0a7ZECpSQpNlIx+92v2QulGE2wvKzaNsjJvjSlbf/j0PL84mk5sjGJlBWFs9tWjsCb00AC7
8g8AO5Z8L52RVMcUSsoSu6Ou2/tgZUZ10yzDAAjM1hBAXEGTbwHZMkUzvZ40yhuj++hYRevC53Ko
Kt3UbZ8yzIAfx7LonJg3tXywetNITkxwjPu8SgDszGMHb84GVVbvlFHoU9gvHd4MJlXv2350WlIr
JLU5ACXzNsAyWiMQrUwPKIiJWZhjS4v+OxdT5JccUY5OJpf26C6txsaaw1mIMtiW6B0taxgiZ0mF
3rNuQJJYu8n1YqdGyvkAnmTW911n8Xk2s3cMDW7nMNpf3TW3P4z83g4FObi/0O4XcUwTmlynvjVI
oyWJxv41ZFh6Kwdt88Go0hYDTdmqlGyfMXtQy6rTt2u50AvLVm/6WRCsKiNvJHwAs+Q62Tdk/IBv
qOYpGw9uZvl1HPZVBkBJW8172Ddmu6sqxRSvcTPXPy6z14YnUQq/IZrDAdMMis89DCVciwP31xyO
Nv4/lIND3qVxk/dwdqfeggXeGMXIgL6rpuyW40B3SNAarrtgQthIx7NO1bloxvYnknj5uDqDofeo
1abm3DgwkHc5k+NfRlaQ+psZy3Rb+6MbxjAMfXITrJU2BvR/BVEhyIPDaqmMqKeZKJ5C8WiMzhID
ecWUhKx+pQXUwkossEdun33Spl++DaBcPIKbBhqUKpm0j8ZiVN+HquwkXDTw4hHZDA2iERyADg+2
rm8L2VrWwR/o7xwn1F7rx8XypwE+kZ3a0eTWGcyUXLh7kh8XsjJKN+yB5q/DDwndfo6asVKfLFNv
kJLENoooRZrbgiCybBUv3RxkByPRjYhM6ly5V6EJmqET9fhZlAucjlYri7dVNgeUA7k8iHY2SXbv
hP9YBX1KZrVNYDPdNTJYSYTlioFoVngP3uoopE6Ne2d15fLLBmdkHZCQhF3UYvX50ZfCTs+GzNVP
OxMu8cZa6+9e6zfzKS/ICYnyQnNYLLF/fMsgwARxakx9CULDtEnsWlXS7oo0T8zIFlWSHntibr52
TARkVGdlAPDNLevvvk/yW2emNTAbbea3iRyCFEGS2/3AqKpJLpmIOoSSUtXV2WG3el+pRhVRUMwz
ESqhqn/p0Qy+uKMIzkAURvYSjjwgiQ2XhlPT901w7BazHID7VfN3jygaUr9qw36y+tl7I9MuWx7W
oa2G09DY+EfIOF7HnWMO5j+qL60S9Ekvb0qzx5mwkpxZxHPqzNaevUAnqB+94NayM684mOYMZp9j
U9/vHIaidYSmzv7ZrJb/iWCX8Y2/esRcVUGlnwZWCe5g6JW3qCYzVEKjbbzLQXvBxl1U9hDUGqKZ
2ZjBh6WXLiuXRErNMsRvMYTWfEqV6B50r5vvQWa5v5amVbeYnalW6XPWgOLK0f1Vjo7z6HQZf5cM
3N44ZARnvV/B9vix7VRQlfpurbLj2no84rWVjrHntw4seHJc3+KW7X7A2U8E9BYVNCeyp70TMdRh
GVc4kZbIYDY57YvJhgzRQrr4Err1MO5yKUBtu1WYLicm4ja26EJVN5UwszSWRuW7p1T4dRlLkcLq
EY0zZvtCs9WehLHY1lmTYMXDd/WQ7HyInqSVuckxnBZSwbrJeFs1VnMmKW5+mvxqvst89irWNB2m
e4RHQX+vqVHf1bNLGKKxlFl+SIKkdPdMrtDNAE5c7h1c6Q6u/Akc79Rz2Ismw6/U12wd/OQ4g/0D
jaNo27wPfJv60E3y8DY1DG+KVOLlD4KR0E+zh9jDv575t2YayK8uVPY18tGHemcT6Cm8OShQ5d71
ivUHJKOyvLUyypVztXbZumOyTC7csuYdnp9SSSBRbrfziU33925ebiLgqaa2tiv52BJK/3UwJ9PH
IsB6O2UWES59yyuPZYCPpMpleBqkpdE0F8H4ZsHCHc91xqfvFivswMab5rtQy9HY+Y0piVmzy9G+
q0dO0+96VbrzzrZmJYjtXtgxm37UdzahxP/YweDWX/x0tr5lKpycT33TNmQerX3R3Jtlm1T7YHXT
N0Hup8WRX0z+3cK0J4wHv54fwrFa2yObHPOXcGRlBerGO0uV6efhrkxr+w3rduoeCDObmOerMey+
GGtepMeCu2TdFWWLX0B5MsvPQqT1w5QO+ptvKvkPHeXm/dB1LoPNNe8/Y2KS5PT1+QxFpBXWu8oU
2Q5YAaCjog1cEv+q6afQqML32l7kiWIYXA/0n3TPQbOWO79COXJwnLl5cr0mo0I0UPDDcwwDktPd
FB9Dryf1NIa9OTwUnPtvfd7ZJeJGpGTeaM5gbIm+eRrDEK4Vzf2YOplIKJhA80drKhod58sUPlUB
bKbIm/z2q9Q49XHr462DTJaTaxAqvB8MW5T8VlcdeSEUQhjMGNFAQGPzmz/Uucd3nuUJtaTBegvn
NU/0Z1Ho8a20Clx5uWtP/wirmx4ZPgVtVIJsPCB67b/mXdaXO6K6mWRWvfoWdINxmyungl1YhvZM
/DS6v13XjlMbm0DMvhEDkNY7C0jjZ2Lp6m/AHHpYS2ObAJDK/fcl7tLk1laTfWvay+ycJTra6lCR
1F7eMJYZydFj3L0r89yu40avU3JrITyFI1z2bHmc2sI+6mxvdPbuWIsvwdSH6cni+2K/Vn75MQ1M
ImBkko7FwVu6Wh/C1qx+6aaDnVsnnAjZTm0ohzbBn+6pQ5NS7lLQqHmMZkvacZ7TLN9bPblekdc7
+OV77TIuU+Hg2LukKup3Jcg0aJ9WHujdOhOfeA/fnx3KHdS7rgQuBlFzJlgR3QKdh8FWyWERXUCh
gTrxwEgRiUFoFQuiy07GoWjEirKBEHvivsBAxtZiG2fOKd60nwbbKiITFbHaOUudLsAbJoTsiJPh
bQ46b53IttkeESbiMkR7novzAl3uYRWiqSMnn/FCZRo83R54TzGyFwMzpIBfKRcK5pDg3Obu6zT1
xWMCCKa8geW4PPQqGd9MysLxxBR/gSnVuy2zH091UWEkvR9N6A0fbEg49n70hOa3bP9Y5yyFeyPM
Zn3T1TPQO0UtarL2BFS5JuN+3kKcP0eNEtU+CD6m97NfQpS0wELfzrTLnFvuW0DyW+/jwWHs0xxJ
FBP1UVA7TgdjzArqh7QiotPPhvKB2allg0otXapQz+UAgqcNYyK79eeuQOS/WuxVkbRU+bF18vJe
Gx49G1kkxItb8wbuZfE9T7UqiF+o6yKIt6HtQbjKpPRHU0Xqa9V18HJHjb3Ulsb4uV01DmmYbXiZ
O2nAY2z6cHw32K35fcYewc7qTMZHgjtnmrjoP1WcemnTvmHkaBklCMB+/ig0KC5YrJPxqYAw8aNE
rNBxe6zZRrRpFQ80LMWMg8CBVU25SlEHZSJ/X5s+n57ttQsw6EVyjtbCkntwhKSTWl7TP/jaYk4a
JAYYUpEHBZn0sxMYUW7arrPLBtpaESK/RbCLrGqMKguHU0TrWY4HO5zUiY1V9+iu0+KJHtf6ISzK
Eq09N22O3KR0ntaQw/+drwqdMqBrivDct/PET5ksxIPDmjlg9GxttKCMMGuAyG/Z5tAs6E8McWd4
iVr5ep9KpSQEYYpJNjGVvJmzllQ9K1kh6E3T3C4ROs/1Iw1F0qMMFoSabA6VaXpnC0tmOOOqINNv
Je638Dc9JzGqgBt3oy1HovHqeaC3UpnzwehCShNfuuOT7OvUe6jaNK/YV8atsOpz+IGttVgObEoj
w3+FJYlkGTexjp6k+I00qkr+Jus32tj9jTnWv5HH/2KrA/Ahm2xHuot8N5TNDyZuIQHGPDh1+Jc/
z7gw2C924EEKMKzrFJxlUoX/A1sdrw+Ngi0pfRM3XMyp6KyXRqJQoNCmWMz7NhXTvUtjRkQ1sHSi
X4kUpPhktNndGV6WfkyKvJuODbKW9MpAZxvYXPRGfyvhwJLYtnAvxZ1zbiwJ4ahqR++puRknO6As
LKebqsauaTiJc1MPuohBLoxPsyOXa63pl5MWlDgg0YgM5zhCAsnz7t5Qd9bsI8SNwWiStTq6aErc
vrp3QmvalVlNW3j17A8E1J2WKahvrbkvr3UYX7ReeRiAOLkBzB+YL1+03bDlUYOjvNjRM2uBDNu1
JmfXgZZ2Cu2UxkjY9Mmdt3ImZxFxuo8WJyneaVGJEZQMVvCmGLSMW3uwftALUj8tDANXVBUvJgf8
SKJDsfMxkEaTctGCTPuwaAun63Y9R9K7EqxNpAcxHEoJVy3revSTIbigK6/HS3cN7c5NygHDDdE4
jcnnz4dUzjDxFMuDbnrvU+KM5U01il8pwOC7gfisaK04uhduCcecZedNmYdWRAhm9QaYgXlyiDKI
VDrWV+7Gy5EGvwsvBidxKhdmkRfz0C7otAvCpN2xVTd3hi9JHy1o8CiW97u5hhQhlNc8kNgo9iEB
V3u5qHU3qVKe/z7SeKlD2X4JU3sc7wi9HOeiP+2YmZV6yQrapxLhJ9FujMxlCHZKNsFNMDC/d5Tn
3Clnadh1M/JOq9bY+M5DNR4wKXY7E1Dytef2yuuCrn1jeMA73Kb8z5+bWVmdCmwDOpIiOOB+ZEE7
zmI032onLL4vojbe4zvmUFSQcHQaF7eCBKNUW+wS6F/23iMx/WYNktzf0YppK8S5PdRQNRCoGcGt
kD//fhtfrEPbXUTcQZQCawnS3Oe/1xIqnZpwanYTt3I+DyJJvLduEWbL281EaMUdGheP/7UK24io
uF7RohwhIvz9Z7zowPMzNtk5M1+LF/9yKSiLsGmRuTbM5xoqTauZituuaLKbtW/yY772yXLliq88
KD7njbiyefAxWj//w8cZgkTahA2nx1x86jvvCbh1eR9kOBPnVjeMXWRz/Lf/SqZgZHqivmYH2uJQ
/lR/LMQ8uarxMcaRQ93S+6Ei3ZpRnD+8dvrELmhfueJrXwnKD5u5n/CYO11iZch+c9eBWniX9Eua
3pQSGdvB8Xr6W04xb8TicbFuAbabQRRSn39KHU5lwvCa9xaE1OSWIIt1vK862/7295vxyuoPqRD1
NHmwYkNwPr8ZGVpbhK1tu7MYSLxbfGyAhvRZTlMijg5/v9YrrxcoKlCgDlaKl4PYkFaYwQIByS3v
9HuOdcsTxhfmN2UQHKu1Sa+Mt38Ppp5t72g1GJnhX2fHgFu6vX1/6HzcVKTBHG7LgMxMgOw1Dklq
MazzbtXlXTTNwSj2rP9wZxmKtLHPAYhYEVEYX8y0NB8chg/llUHXbxjWi1+1sTvQrbGpXdY/Zs+5
u6IJwbmUdu/elg2Y2syRq7EPOVMxd1g5IURV340EAlDu/gQAhLl6kHWegbszvT7uvDbtOBn5aPg5
OcOBW2coP4dMGVCosz7P31atWWRR53jLl7mQookGezbUnhorfDR70FnRvDTrbQGdhHXQ8oYzPqAw
Iw1EWHpPnkhzZdd68arxNHCM8zBAOoGhvaj7lqIlUmKB2FUyY46X2gbhUA7ghdepv6LrePGmcSmE
VkgRNz8HIpbnD77tzCIn2Lve2UE3fkmRVsftwjLqFYRfRyaL/JV17OWOvF2Rj1ugXWO/sS8Wlc4O
ZEnnjysO+bRn0K1ityAOIKgxFZaApHZGG5hRikiSg0QznqolSeLUJz/k90f2/zWZeLt3LMh/rCYv
cuPe1/LbFof1J4v4v/+1/+IP+/+BvmP7ojb3DsPqTUjzX/xh9z82mRqqK59aCVfeBv77vwH0AVoA
hPebI4d1ia25r8ch/d//SwT/gRCBnQmlgQcr+d+Iv3rpe6LCZ3DOJo9Knf9s38YfKxFWmWH115BI
tUwkt4ZqPDCbVrOX61DAuMnFnnDnfJcM3c8kr9W+x6MZY3TqD6rAgjm6dn67DI7cC7yaV97dFx8L
6hBUkNSCeG3xcVwUH5ohW4Fih4wYgAekLqXr3hmdp56z/Q1JOPLKoefl5WyUc5upAgPLBjF6fivq
ebHswWOArCnQsDlpL2bMjr7VSs1DCTP88Md78va/FtY/obzb/9+z5ZbMNayH2GkDJMn89/n1+pKA
PTP1ung0q/kgQKtFpk5Gsm6qa/rA1/40Hi/V0/awuaHPL7W0vnJpu/bxaq2szq5Oz8T6qoNdh1/t
QLRXiu+Xmnn+NEzLPjsJx0iWnufXS+lC1u4IWWtcqt6JKx2I+qCNzhWRbtrkYWmW1mR/cAl8aMTg
3qbkkj0Q8VMnER/MlpAGgcxEc4aoI0r8qlT7pvRI8ygT/U8eIHtJkmxALT7P1h33DztAQ2jMW4UX
W0V9ujJBNZdrDuWXZA/+LhBQ6DzpNKJ73u7zH19LUhuLZyqjAzSlhn3nm0OsyrW+GbOlPNd+r85d
M/1shnw+UbGaN81ke/SCNze8MQx7NRvhscVmdw6DxPxko9x5gw+23yHdzg5M4er931+x1577Jo6h
hhW8YpeuxixkutemRMplhmfvqZ+Mg9mP4ki2DA2jpCyuPPhXlhNWKm4SWjIGNtCJnt+gsEsdh/4g
CfGjKY9jpett5K02uD4dZkTUS9yQVRcU+SH13OlOtZ4Xu27y6DYa6xRvPzo0huIZYb9/vxUvCnrO
6JvRl8BB3EzupdrMXXAyjUNFfIN0J4pIfzzORap3U9dv3NMhOyk3v2rO277hi2+cxVXg/eEcxapy
cT8aioC56EUXh10AeMhQ/8jANA40X9ITlT5pbv5IP7ODAxPh2w/PAvLDw9//8pdSLf50Knwo9sAo
feFvh7w/3trJN6s62fTIbWFo2pTmEjNM7PZZi5QlI3UZ+fdk7vpUH+3RMnb5ai1XDhqvrHV0x9ix
YLDiFriUkg7anZupsbp4SQkiXty1JLu8+BWsVXqtin31UjDhtnBgF232xTfajr1akznsYmWb+lhA
Dd5VqTDOiUcGXNAvBKbZc34wSXl5LIbcZ2jpOV+rUGe7LoAZYWzx7XIpyjjPjPxxKjMLeuxA8k6o
xRF8SrurK6fbIwabjaic4Pd1BHQdarEWOw6v4sqL+/KMtnWXTFoZCPV5kMFFLw4tEq4iIohgGGpj
XzUOniJXuQi/fHVY+RpPqNeCt+nc1Yce0V2c1kt50AGCncrN9FsvL8UV38BrHxM4CLzgYMiQrl68
UW3imS05hKgsaJfsy9SFpzsE/sMQKpg5RjLB08IY9ff3+JXFjFrovy96CWsWbb2Wnpn2sRiVF2d1
3u5Cg4QSFw/WA1AK50o9sNXiz79dlgvKjxAnD66P34e4Pz4b05zySSr921y5nEVArmEL13s7qKzR
6DOhyhmJHhH2XXMOv7iy5yGIpfsq+GZQjV1UBopZTqkHj/xKmYJA6rvhEGS1G9Wpte7D1WKemwVu
pLqy+Pj3e/zi42GrCBy+HrZt8P2XbQ+ELUSS+OkYy9wf75nsqLOq1bJvs6G/8l6/eIdwSOGcwajB
jo5B8qJGGFOc7cjsea0ZqcfjRiXrTFHtkbd+W9dBn9J5uNpTfrEec1H03RheGPCgsL04fyXU2qPj
kmsXrMxJ2sEOf/QZRyJ/Galo7UGeckck71NG4lHfUvd1Rt5cea9euccMiNCRcrKg3rwUm5cMDL1e
GBRjPUhqWZfzDtxcBp5sbq5U0Nt3+OwV3v5c+sN8Ngh1CYB/vvIPrhZ5FiDzLMcWZGXtrQfkLjk6
CDW/XTM0WHNeWA+OKpkGeuZyZS1+9fIU70i82QVfeNIMK514GPUQL+yy9yg1VHMGhDaSh2ZLme7R
GoTVvjLV5MfmUmRHXETVNaXyi2VjuwdsvjxzMPjwr57fg8WAGevC7YpZs5KjRUTVoe8H4B5lSfxV
4xdX3uvflcTlTfc5aW/DCwDRl7i9bG6EYdh1T5EIV50tLmqhDuy1SSIjBF9JUGJZkxmEuB/R2KqP
tUk+RqmAkDg64YglCci1wpIKidAxZxi7s5jLlEK5sffLIvx75KxrnEwETP3963/ZLOBe+ZDB+DLw
ncDoen6vWFOZrht86rLr6PeUgQnwwfVGxi+dbNZPGRy98iBX3T2KoFp/hWO42LE3q6HeL1aTXKUS
v/a9ssnQKQtpSvGxPP9BRpKqaU7sPvblVJ7WtC5Q3icLuioNFLmejTfeVMwntCsr6sfO+tFyGL3y
QF9bqALOhFsXhfPw5SzM3zLxmkwOsT8ThokWGf1v6Pdnp3bdUz2A+hzDRP/8+6N4bZH486IXbRtp
jYs/tlxUuGV3K22jPYAbVxQhpGn9/VK/t5PLFxbXC5nam+vwBaOs9lVgVAM3eaqC6dDWQX7jLPhx
a5m3n6C5zpzw7fKwcOY79EVXv2Op+K7ZQm4MUjvfSduBUdsyTp5BjpE5twx3Rehk74FflDf07vOH
uvPmw99/9avvKs15esTUk5v37PmrwbMPMuWUQzwMgzzoRm54/7q42RxykLqx3+K993dBRRCjrkPr
nFacsIc29fd//yWvPSrc/QwnNvM9pfvzHyKAN3dM7AcElEZ2mhIVEpC5qP1Aa/v8P7gUeR5bP49V
1b94KxDNgY4Llj5uG2M4rH5VnNPFhFVrTeLK2v0b6HP5VkD8Ak1IS4Tu6MWn56EqyQcZcGCaxoxM
orDZZ1MS3qQiKfZzprxoTV2co+OAkhBfzJGXoYj13AbIi8v6bLSuPvsD3rCVkLsdICM/wgORXzlZ
vPJ1ctykUsNMAb3dvDhhYW9gbuLNQ4w/bN5DGSRJ20WHp/sku5WTv4Wqz9WVl48jNA/14u7wulNA
cNClDL5c5BvAfZNp0lFJ19YwdiwcrXxrG1UyxeBVkncu+kMk7tUUwnuojZZpNerOW50xoib+tZYE
wRQJcoxaqJ6w26xtKDR9MWEyGns/jaENEAWxhjh046xbnMdA9cN4IkYpfJda2rkJIIDcTcE8tuSi
2u2trnkTY7kg6jkMhlwLqPSKSMDMausPhmzS6tgKYkh3AlHtycob5xuoXGdA4GNSDIh+zt7AvERv
akqihdASG2ByVdqg1x8bRa5uNevPqukQFZoToLa7ruwZmNreaj5NAXOCKJmlIklVZ2lz5L1Kv20J
uTJGY5z/YqqSgnFXWdVEm8ODVGN+6a5Hc070JAYAEsHmcUlYegwOb+Vo3ZhV5b7j/QY/0tmlymIl
ZP9gkZ4ln1riCnTstY6XxMxOp0+49+z7LZP8PNlGoMkWGfNj15bfgYhMZ2DdB4t2frwISAzRaNMD
2BTTn0JzJK6LNgkQYSsN3PF20oH3lBs0EY7rsSrX9avMJA9k0twcVImqElEo0SFEem6Q4c5qXT9a
mUFro8pcmFXt0GFEmvU2TWaLTfClpWQwcouqvU87gCmb1H1cdJroRjOvPk++6CraMaPZRclgiA9Z
EjT/II1tMogWRQ5aWXBgrvtwelBhB/dJOL3F7c7sUR/MoauCyLImyQAh3SKczaBJb2RHUiycaose
VeARS9jKcRp2U1AOmHnYaZeYeGxsHnk7wk50kaJFeUIeopk56HWWMA3eDoWXgmXo2RYijYnsFxUy
Amnh40W0GtBfWVh6IQrIybubJieQkZ2O/o/SH+jaiUmgIS+YzvtRUbeglKvCnKbTOHYZdxC17A2w
yumz1SIojnxzNlXUmL33j9evlGicrTZCZ4KWoXY6/97KekG3xiQtPm+H9GR32dRGHdQ1JA7egEIf
eIt4mtt2n6AGS6Olcge8InNAj7GzUxT6FqHD1YNZNvaPGsF4cw5bDlrR4vbI0I3C+ID6q/q6yMpZ
d2qSwDbTIWlYtRI9vsEfsErSAZayjUM7WTUPcDAzyh42qeOQ+ssbjxfYxRAkrZlyTjTfCimzL4kO
rCdjCsDvY70JHkebXPK47TNR3dlzqp13naMxPExmUH8bpBxYQVA3fqUD4cReiQqBc8o4vlNzOt0m
mQzSQ+Z58JqVCtZ/Srebzsp8RE+vIXDWFhznZvIsMqhqC4GQTspPc5UFnwLyV9AoA515pGXhMnUL
Odsg2lr1t6x0iOFeh55IZwxhKEfnUjziifXnaA6TOtgtgl09wmrQ3+XzsEEZDUs8QVDOvJ3o5rH4
sozioacx+y5AUjtSxHq9e4Z9Iz3Qo+m4xPwSdgA/h+y2cyqnhP5h5/UHMaycn5uG1wmNa6/7g4di
48soG6+ihbM6j97aojptCW/GnzPxxTm1Udsokd0E2kSNptFbp/aGtWf5kS90tLtJ+xwr6x673Gqm
CCfRxGZo1klN545kPFhmYihAUpHX+6lp5hH5LdLvWPs6899gURgIR/BMSsnOn8Z7zzJE+SEo5TA+
EG78hN4gHWRsFp76WqQe3jpznFTxKIfFSnak0SNCLXs/1PtSBFt4iAcLJ8oGcpQPgddYRwmzD4CE
DYv6RMMUNgyGyeUdgGxC2e2hy06NmVoMZfzBIcpYa4KPgxnxYM6q1vBBGM5nq5PeY9IGRgBigFzv
COSHEDvHx36ww36yhlGCgu5uZif/WCLP/z7WncFwldbBU9kvGgdgom4d5Lw/EcVYn9OkgYyNK4+b
lKnmPpTZXQcy+FYVy03LJKpHLz3JXxUHhCVqijoNKKd0U0Q+mdlEavvB/FTqcUbeOeXvR77wr+jt
hQVRcdW36JsHTDcu60s0SNd8KgYyjm/bJkAPZPfFTySgLFPGKst3QSlQlXBS6d5a2ub9m5BIPsrK
8rvTkjk2OjhuIP1Up3vjynVinQm7cj2VmB6qA7rz3I83TeZt2BtBu0cVGy2SuDa07SQg/6tNw2ki
AGOMaViW5l23WtV3x0pzKw5KE9WPTkQzxnnXOj945nkdzy4ihEaZxQ2YH/m+ESZT+jDMty1ae+97
G9wjL4HJx9v2hVOxqgZAISvAgA4OHWcM3mbr2smDNALTirRZTNmBcWuhdzOp4ly3n81PdSeTR2tE
d7Gzs9U9sw9nZSwYqVdXav6XXmM64duZmJb01g2/VNRYphzJ+Go4mgebUtbedGqh0508I5jf4RaU
WGKc6cblkLxfJORey1OEsDW5NCISEKaPKpTBV3T/OTMlt7tfkaB+XRI8ylDK/Sudv1cqbNulYUOo
00YjuMRbTMyPfL5YjvArqowUXSDSPnLlsIuGVxgTL1tv3BfkWSjYKObDSw2EzJdOZ31BdridBEjk
gl8+sv7INMsvnPXNeCAp7pyX1/iTL8rJ/6TuvHbkRto0fUWcpTfAHiXTVpVU8u6EaLW66W3QX/08
Uf80tpLJTUJ9NlADgoCuCjIY5jOvoQFMwY+qG7k3tZpFYB86U5FPVUbiDZ0RghaZXh7Z2vfJzM/V
7AUbb3kTNL8Mh7gwqkhkfsu3LNMgcvUpFn4Ql917JzYTH3Pp+RxORfoUma3r4+yUbVUXZCh+FTMz
nAu+llaUxswuBX5nBSSvW9OCGScc4BzNiD/h8fyl7aro6xQqf0gmUcMxRsSLK4l6CLxEXKrJDg9q
w6YJqq55wMj9t60t5WMhp0fNA9U5b+kRV6M2Howqc487gvg8zp7+0NCZPCTt6H0ZIjfDKTex3iha
/ttilHJklhk4RWlxtRQyUpvCqc2hJokIUoqAkzIBBFHgm6qTu5EmrSwwCSWQ2weAGSnkdZKqqbEE
/o8CmYWBzD4q8JYZkOJiX6XHrN50DLvZso48V8gf0fUkR7KW1d3WCADCCOGznVWECrSGJldmH6fZ
/ft+TnyzYxlJo7bnAmMjJVuqL454d4u0oo5c1FX5EJrO2xzS4BmJRNroKFuUZ+RcuudZuMrn+yPf
lDflyCBqEIxVpbqf3GWvGgSuUxdp0lbCT4bGO7PbypM9ClADgOR29Ww7n40eTmQFsOmIz0368/7w
ay9O/YNWNEaOWA4uzgy3AfEbOgZnhmoNH9F3nz8E6OXDtph2ntsXxy50kCiPpy1R+5XTgzIHcq1s
FmyDlk3eLgN+GqWEA7gFgRnMS+evUhVkA9OU+FXoVr6edN2H+2+7soDRZ0EmhBtTpaklF9yryRZp
kpdVhtRl7xkI9sNbfrYJVY+FUqlANOx+o+p3q9wvez9y6SJiwx5dZvheNkyEOIKsvOzzw6Bljy4B
jJ/bwehTcMBrOJo6CK/B/Eh27ew86HL7plTHJzdC6RS+gwZP1oEV2rdz+KuxO/tiawC1xZyND9R3
5gM0bnGcQwKFUe2yp9J0f6AMZ53TyPnDMfPsYyaM+j/v9VswrDfxn00pyr/b/yt/7M+ympo4jNoX
HNH/+9f/Nht5DlCTo40dIVulwGokuvr//AOOugFufflLtEvg1uqv+A+Iy8VDnkITHRtg0Ognyiv6
HxCX9G5HN4cimUlFSNox/WMij1M8JwQOCeDIJP6AK/EfEJf3X4gtw07mAKTDJ7fvP4/67j+Xplj8
+zWW6LZJDM0ZBTAERuVz0Ci+3h5JSfyYCJU6vdk6T7YB2SmEHwk7Swk1grfGiXdZ5qnQAaKBdD8l
b+soheJNoXwCfT1ikpUoG2jH2xoiT8UdB30PJW9Y2ctbR8FIqwj10bdofPzQM9F3u2HquVbn0n0o
4wChEDFrMhWDrx/uzVhHN0NK4l9G1VCs3VQmYLFmVVGflaxIv1R2bLwbUWbAhY9KTnt8tQL+Z1pf
T+PNrcXz4oxKuwEJS7SnFodMT+G1aPuUSg7kl3eUAOKHDtPDfWcThNwf6haVIceisiqr/Hz95fE9
ZLYeWhkktCif2086tOhPikJLB8RT97MOVVN6piSnWq8oMigOB0VnVxuH3M2hyjOAZ9Kke4bOV2LD
vD5U7VBUfdmao18a8y88AJBfAaEKDTFJou9WkW55WqyMZ5j0IdmddANvEMbhJDAeBmgHvb8gj8CT
9y3yIoLah65h1RZsKQ/e3FRAbFFtJBJBJZIm8+KGrrsqoDpZTj4AuD86bwDHpwHszeo63+t5xsrK
6nmjRn+76LEtkC00sJtSZXgZkCiZIH8wtMGftBgecxpT+XGcuCRJhel0aDXxh2Kn1QEYSv7QzRlY
ajQ59t3sNpQzZHzbjDqxOSIJf6S9cCX2sPNL5Bw2Svw3s8ODkgIAdeQgIhNYnBmDQlShj+Xgz4EV
PqQT5TLHrJNDlCjO+6HLvJ03TcXGoDdL4GVQlh1XOeCcpXGb0EQb9lU1+KZSUgm2ow7GqUnBaMq/
KmHQn+5vs9vmlhwPIpkMsjG20BdLfEzhHaKJNfi5l4XnyupBmmd29WBGxow+TFNeqhnHLcPq5nPr
2cPD0DaVr1IqP42paZ9zg0JlAkX13LVwmErOpR8t8LJP+uhh6myA3FfTacuA6ia2AxUsDXdlbAk/
YxlipUObYjDcDJAgFfdYlJUUiyha32xg2VqUYXzUVix6HsLcmLCbI1COzHZ50QkGmbzop1BoDrwO
npzfZmih1E3dYGSNihUMjC0PwdWXJE2g48jFyj69Pn1yjFVMEQS979iN8haDYRXVkkQDfJ9Ux8Hz
lGOjo1OlIrG0dTHJpX2Visq3ZExL6ppjvbJ4SwSxCsWreEuE0kbaWUiR7pqx1t4UQI1/TkjVnxC7
jHf0/KZnRJtI0ewwfBgMtXjCCdbYgOitzYT83uQIhNNcltczoYuqbWw0EghuLQBHZWwYfzrsiD02
h+HZc0NTlrqbdl+aHuCj+1tk7cCSHFOVaJeE7QboFBb5WIix6Sl+VfkJBFZy0RurOeW2biOZrDa0
X5LiQ11Y4wGx35kGwAu9WAyn0sjr97D8poOXRvUJMnS56+0i/TjiQ7ZxY64cVyCiWJIqe5mO32In
q0pqeM2Y9n7u5PMpMAb7rBdoZbcJxV0P/pKv5HGzsR1WvoxOjk7aTGQFdnGxULBfhVZho50l0oYi
SdB0e3NKjV1twRBEiC/4ZThDeGnnZIuUtDYyyAfqMzIk0W5GzicNXrra+1inFxcU3OADRnoOVCmc
uCGi/hm7ILoQua0dNxaEXG6L3QH7jNIgV6b0T5Bf4lWulU610aLG2AM+EJJ1rldvc1PvexotReGX
fTc8gRTrd5VStQ/1aEPNGtzhBAfQ3t9/lLVv7lK0AIQOfukl6H79JLoeukEp6t4PnIiufjJllwyt
uYOlFuBXm8D0uzEuNqpjK0cg4Dfk/tiJHE9L+B3XBTVRZNxwT4vGY9DrzcNQifAR5/FoY6pXh5Ko
Tp34WNqdX8+0yjwj/sDWa3AZP8VJo75xhyb3Y7cLvt+fyltQPoLIsJUJhMDdkcwsDplWIAIAI7f3
lUTrnjslTUbQz11i+eNAU3UXm4iSQLMwkufJ1Dp7V+Mw/90L+/RDZnrBsEsQW3urDXVKXyUw9GmP
M3b2zlB0xfKLQY2chxbKordXssD85iEOif5bFv6oiX3JAOqxLGDahoq6cX6tRBSgisl+qGYDM1vy
KLRU0CzpvcFHa9B86oxWnITHNS80TzxiDLtlk/MSMiy2h4RgsDLA5Xrogl9/NFubaP/WdPAb7Ivw
9GvqUn0aFL2pDohFZxZaiRktvsYiydnN7ZB+F40y0qafRU4frMjz/H1ST9mwj6C+6X7nBPE7TMJz
b2fpRa778ax4Jq1xU/2YxlpfHEaUuIIzTYlY3c3d3H/Mem3YKs/K8/PmtUghDZJZUrXlroenSLs3
UEaqkWr8DDqhOXbRXHxz9PiTnU3hYUQt5z16PAoiVgRKM5bsAyIiHh02W4xOxSlQbkn3y7lcPhR7
A1V7RFFl3nA91xrpV4OsHeunmoAaed7PVi/1ja2xNgjUPzxguHoppi1ullzMsdaiPea3EQovsFfs
Q1MV6e/fX8iEU5bAeQinsmWKPleVGzN5hNtaP5/5/v0F8i3NfTWcznNeen4aed7G/fWSRi4nEM8D
MOzWi8fSIshPzKn1cnQQEalSxUOv283JjKZpH8xRd/FENQHKQEJlD7IIECKmFodw1KcDihwuPTNA
if79Y+g272WWJTWIqAtEH3H59RdV+1kYSUh65JWpA6a50hEdybRvIrBAHGiR8rUxsHRM6LAdyZC0
Ix8u2HiIm8qtfAaSbirGpAZQea6fIRGDhoCW9TIpLaCZwo7fJ5PeHVC1QVLIdEtpOGalT6qZxm+y
dlA21sLqA5B3QY8i5jKW+h6DEcZa4XFmSVsOnMNM5xFNY6XfYzEgyEu0DC11o8i+mrNq+LlWQ9G+
/x3W1jyLXbL0qZlRpb+egkL1Rmh80eg7RWF/Z/no+k5N7C0l75ULjiQPUyh8qLjAl5Ht7Hk15yCL
nkLDdLTDCj2rsTIeMjA13cZFsDYW/BZqtTC06KYswpaRaEGdunxEhnTM91Y0EqcJTW2ekrQRG/tq
dSzU3V8aN6SYi8u0APyL8aEn7wAlPgEQId3HfuVhgjO5sVhXvhS7hJuDOhosUmMRI3QD6IYK3RUf
1Q7vJCozeEyLptoIel7cSxcHBV1Pl/MPwAp7Q77xq6DPMIvWyKdh8AFHqQIVzVygE1XNT0OlOWjr
oh+107Bnfk4HEEnYb0yPNK8elckysPY2zAS4QRwfrFyPnnvkUM9zOWyRuG5BnyZBqYT7AeSmT2su
PvEUmzW3J/AudapihRK8ov6lG4r5Jh7C6e82CRCR0xJRoTjiIcy7p2edn9RaEfquFmW7peexsgpk
eQHgoTzXkau/nrMIRWbVKQCOUEOzobdNzn4MuvI06E60kSKuDAXkk4uZlJWW7bJ5mgyjniBU0fuF
XtonS7T2ZzD9xj700mxjqJXMw0IDyYSuzPHAGX39VjaiRl3TmT1QhtA8el3+C8Wr4a3i6OOzNafq
2a2zElBiaLy7fyat3Q0WoTCEBdtiTy1D1LhlHgPa+74YPB08HrLlU5mB9Uk89T0q3OoTyHm0Ye2M
ZCCkiqPmxvS7biUUxEjpUGLHTwM49GKJdU4cG4CvKQ3A5/ycJom3UxXDesIHNLncf9+VyJWNzXtS
s2df2/JDvNpyZm3ZldrrHaVPZXg7CdTt0EuL94KVvzck3PD+ePLRF1uc8RxGJEGX5Kbr8VJPF16F
uB63DsDBkPrlTunrz7YWGWf8mMZLgbziRoaz9k1JY/mmRHEoLCwh/LaiNiKLkR+bkITLdyFtRbEz
Jw9dWOTMJJipz79m/Ky9y/tKORtz3h51Ny2rw/23X7lzKXbSvmEfUfReim4A0tcS2GwdqmdsVsPO
tXeKK8TOrlLr0vUiP1AVco454pwPczqJ778/PGVItJEk4Ibg53ryWy3RaPWRfgFs63EtcKZLNofh
LolSZwfUIX4kuwbP59o+uqVb99Xap389+uK6txvLjUMzIpF2J/3SGSNqD0bYv0mcYtpDWiQJxBxr
4+ZaObNk/xSPB+j7oNUXg+qpagnqZr2PHqm5L9G2Oxoj1JeRgtrGMlsdCnGgl0KBxtVwPbuNGYZU
7Xg/CiPTGW2ayM8wy963yWZ55FYnBcgqCu4ETq4J4GAZ05R6WDTtaIIe621xmJsqeQSlSxLkBMah
D4YKgqvZ+lXj2MehMxETbrwIX7dZP+IB+Ks1024vKtpy6gw41w4atHWaInwDljNGBTOzTjIbISWY
7V9snPDs2IMCWNZV9nZWG0e08etdTM6+szsdFZFO3eTJycW4PCloByF+gSOrSRHkejrdcdZtDGaZ
zsGwfS2NxDMKOdRIEWV9n0VKTcFNKy92RTYvwLv7Xg4dc5rM6vdPYzAkHI98W2Z7Gfzgclu00F8B
aMZO7IduJt7kNA6OThPOX+9v0JUlxJ1D/AOhRPIdFqejMVCebXq189OkUT4YBax1WoE5Z2Td/za3
FLYIcBwiYsxtVPgy1/NL46jOC2vq/Not1CMwRm0HfNL51BWJcgSFVYH64iM3YxtvnIIr0SQjE0uS
U0NtXYpM6RONYsMC8Yq0hnJG89v2PSyPN3b+2qnvUpShcAnFkfN/sR/ripxpNtkjSq7nD3aTvnOc
Gj1WN0RPOVSCD0PvJcAecHoPK8QzaX96l3/xPQ1KtrBZKWMujRu9yTAFE8HFo3IQmGhz7xWXJH8c
nGn/L4YiOKPFTbfxhmcpQODUCIWySqHuniORoTY7p7ikwzPY+H4rBzkBsLScI6sCWbCYWFcNswgn
EW6xygkOcU+9rY308AS+o/NbKgi4K5Zb5t9rRx6j2gQrwBvIDRYJ8xzZah4VBl48HTyrOXfSg95i
yNAhoHoINODrbqnp586CYx+bI7BialUYYw7ZgzqU7akqzfpoiBxyuo3rgF1m5b7PwZEDwf8cgIY9
ijGxwAZA5AlEU/3CkC7fB1zm8ESq7OCEXXTIkLdFEBNt+VmpMJG7/w3XJ5Zk3JYJBt3C6y1ZN26Y
hJnGlhRhj1sEWKYuLb0HZBmSj1Xment7tNXz/UFvhRzlQUDqIGNNKbm1DAG1zHCqgkXa4E5xcQ0g
gMY4YmSWzNMbdZ6TU9+Bod7pQRc8wY7o8cy09F0XVwCDzdb6nJQVzAa1LL/df7K16ZCCGRSlDWrQ
y0xrTFrKZRFhm6GM7ikT7vjYhOS7oRl3+1qJDH/GSmFDGG3tcGJ1gUUwqPWR611/g7jVhV7SY/F7
q3TfhApduQ4hmNP9V1s76KUaBUqVnE/Amq9HGU29GoKAI9Csa3HQqqL4s84F+kZ1u5VUywhncY/S
6KLCIktdsNnlo7yK8LuAxYR6WecjVcotj6jxc1W036AMFG91JYTtPpk6SpN89mAosCHGtm6voET+
VKR59P1fvPdL4YtXp4km05FXD1P2Q9Snurx0LMSbMf742Wdm/4kuVvkv+qvcbBZIKSlhwNK+Hgq1
c530AsMatAvas6l4CBwXHSIcXmm/RWi3PmX6QJHPAuHSNyLdzTDF38RNabxvg3LLyG7lg5NekVVS
26ad5S6eZk48HG7mugPGP7U/NEgTu9Fq7ecxH7ewkS9lksUXR0NKQutpD2Blv9jQURJBjTP54pjy
IdULA2NfVdH4OTJnKjiYJiE02kTOvsT36dmB7fU+c4XyHfwBHJc5cI8p0d3FHL3iRBc42+f9pP50
CKCNfeTWYo++qnfpGjP4SHwrnrnLYV7EsFEaJ/ky0GX5F7sF7U8CXukbTDljsYSrDP3vePBaP46o
i2dexLmeBMmT3TdbDvJr3wkQnywWymN4iQ0ZpT+SUsO8gPFDP2qsgp9RV8WPtlM6Gyt05aSRCb4M
USSfdlkBbuIYQxeGoxnGjHnCzg9a0Oqf7u+4teo7EAqg5cRc5L5LHEc9DZmZdQ4OX9C9PpVlnaL3
J6wjupAwM+3Ku2RYAX+vxtZ9a1tKvMuJxSF58hPzKP4H+/n/tdxbm1/ST3Jpl3VB7+p6V5qT1QxT
aSBalc3OmRzlk6Yo0TmOhbZxma5UNqSoHaVEx0IyZBlLm2i11vXASKj7E8vWcDXjEP5SnanjpUs2
VX9u+SzsuBdQMqVBKoNLKP0UmaHu1Ewb/bMA0QRlPGZE9I8IXUE3cwER9g2WEIbZY/jQoG2NkgJO
e1Xd2O8io/xuYiN4TLtAeasQB5yzYkzezDm1+SlT441Lf+0zgAyj1Qb0X2as159B1EPTo/bGohia
+jlDD35f2zFyPXaXbJH75SddHkdwLkxyDbJWAFDXY2EcbFBq4EN0ThdFuzHLE5A9gO+ylOnoei4e
UfaNAdhQC1GiyKz9xhZY22mUW+izMLrDYrh+AtxtMmW2eYJ6qLvHILMUlE669FsNnur9rA4EMwZ+
lyLS670ewSmzY5qnrJP2kKldS/Ici0edZu73+w+2+lxocOqyHmNRyr9+LqTn7JmSFNooYzAdrRaX
CQVO1EZdYm3+6RGA4eL96fYsYg0j7hw7BpPrJ8jASRFndRfgN7CrJhhzLq4KT0GbxU/YJ3T7wOr/
Rc2L+IZGE/gJutVLfV8lHJUgKFESaqF4noqRUyftJ+NgzG17mZ12fmgtoz15iNHS7jeDjZV+qwdH
8sXskr+jxOVo5qLo1WBBkLQmIJZUm+fvY5+5h7Yqo0vZ6x5+eTlqSiNKebum8Eqc00R5lP3KvYPt
xiGYhp9iaucTh1mO897cbSSpt/uQzJD/KN8Ta3IsXq+AwrXLsoiiwS9R+/X5Iuo7YTfPsMrUjWD6
pdJ1vQ3pUrLjSUaJ8YEqXA81KdloJAis+TN36c6chYa9TB399MYoTCT1V3mnxajp7gIW0tFOo+AS
5NEbD4XYfWNXmR/ojvID853imY64/kAmMhwmirwH2dX4Vmm98iQiBVO42cPHSQ3KjXV8mw6wh4G1
Sr0NQDHLPAUUVGGkTtD5VhJgui7wmKIY5LjlDsMYuIOFa+1iMW+Kn8lCyHLiUB+nHYA7LdDhxVkp
NTQcs3FId700r3fl7E7YAAtbfIe/p9lY0oTJCf50/6NGOD3e2X0uul1qcHv+9pXGDEjZXo5uDQza
4knmXFTO6ABFisq+Pgk1698iClN90UFNfKJvp2wcnGurk1PTAyIObBXvwuslMztYNrkxxfohn0Ge
xXW6jxr2AJAse2ObrgzFGxEQgIikO7CEmnWOJ5wm43dnRA6YkWKagKe3vS+8TSXS1aGIbhDSIe+l
w3D9VkrSFnZtUmRTvegtXk2dBjBXKx5tXeog3j/hV4pQfCnOPpBsGpSIZRai906G2DJVizAa6Rkq
U4RBkdbq3+3am780SlYfcxzb/8IVZj6VqRiOqldMX+4/hbxhFytY46ZHmQRnEZr9i60fRV6swlki
Bay14RhE5tvEmAN8qAYn32vTkG7J5t5ebB6sEpk962iqAJ67nmKunNhopW+yA8To7Ryk+ONWnBn3
X2ulFcsw2BggpYZW3Y0sIZJaitWOJFWpyoEQpJXn4OjjoAJcRXV6DiA6v4+DYNrHdqMfnNodnqvQ
+0n8lmycrqsvbIOtoUJMorL8zFSk7EkvqRpYDAquJC7jE1gidQuvvLZ2SWalGjEqUFDDrydW7QwS
JSRC/NZoAKwL8PL5YER+TAH09zc/K5bfhk+ODGtlXeFVqp5WcOwG+pC+gYecT2ynPeR9/6fZFe4W
7GvlhEX1m3CUmhfVveXmV+AXUqKiwm66JByNKcpfZTG7e1xe00s5K/aT2Zofwn7QfiZxPH/1Glvf
2KhrH5AgiW0Cg5MTffG2Iy63radxuUQ42/vw4eajcPtkY05vQzEcdE1Y75KMRSdycaCiaZOXDTrr
vjtFMxfHEFx6jEoPRul2b9oaz1B6DVTD9SxDpNeLN4ZfWz3AqwHW4jFEk2FxDhhVY0RWT+sPB+fk
iOJ9vUcegyY74kWH+3tzdSgIKDDLsKYhBLtePQLHOWQnyh5Br4TqQD0l4IpSlfJHrWzEUKuTSooL
406XR5x8lFcLNWzBINQqANa8dXHZQg3lrM15ejLcsj5OBlrDWWsmRydPkcHL8DT57TdlxZisWoee
PeW86+HzqTULZSaTCcincOSN6oMy4lecD2KrPrxyjuPZAMmf9yQIWEr3D6jAYEFCpVaduShive1j
f6wt/CupWYYQ5s3xcv/lVorDQIOBlmgOcAT59/XbNTk2g6q8l4skxcYuwB4x9kvcxsSpU4ZBO8D6
q/+08alGx8HpECYyhsR5X+eOVmDKFzjPYxqgza60KZbC2CngHHf/EVfoNTwipSGAxUhwkU5dP2Iy
WqFiu5weZMz1UYHRVdO8T0xcBvIG7SOOluov2wKw5BNbI5qRjnU1HqYKIBI63YP9Js11qsz4UOJN
5FWuDoJGaIU/WpFzNMouTQ66I8TF1YAR7FtjTKuNNbSyhGW9CVIxzSrCn0UiqOXBiGVqQtUJEsHe
LpLED9EEOHh1+oxEcn4BL6ud+6nujrLbtLGBVvYqcg9w1x2K7ZDVFqOXjhUhAs8MVFEc7+B/KI9x
qP1UO1vbKK6vjUQqCHqL4BXvgMUpm8B/UmryTJaqW5wwVhZ7MF+Rb83jsHHWrWQLMt9lWumRQ/Rb
nAoGwV2EAAmxa1RPj1UTwnIsGxcnRmTCoDRO9JTrZktOQW72RaRlkM1xP3NnkqksRnWoY0v9Y6o8
YYyIkj5m37EqLDbQUSvLhVGQHCRi5jJZFtGGWNeS3gQdpWkdTptzqz9GIjX+8BK0pJXWjI5O2dr7
2AsxI1WF+eH+jnvpeC/fEhMksJuSfg9/9HrHxT3SWfkADWYKy1rFs4M95ETDWOx6gNLIpxFz7dhC
UeAjtZoEB6fDyfYQRGU74mzqiL8Sc5z+zig4/6gxMj+VnREf+yCILoPp5J9NM1GzPSdhewzTwRRH
Y4h0ZRdnkaByNnAIH+JS2NUR/RAtPs894j87U489Y+9YSnHIUsuofIVcMNg4bG7PQylVQkAriylU
k9TFCk4Ri2tt4i7EWbwvcdWfMEGTTXry5shTvGPq5ik9xAleYQ7iT5OHpj1O3/LYfl+04QUM4/v7
X+O2wCFXG/YNEm4qtRgWMWECnzCmLwzaI5ysR13J/8Rk7ZNItH5fhMhUg+cyzqVjjBe7Lr6GbJWj
02KZmtaI/QqjH/eTLuZT37rW4f6j3dxXL09GGV2DUYaEweLJUJefzYxrCklAz4N14ImjKVoMhYPJ
OfRdKjZuq5vj5WXfgRRiLCziHfk8ryKBnKJeFU3MRFw73qmq++GcBV3ut64+buQea0PBTaWsJlVZ
vRemy6uhSMUTGB50l2C4x/vWws5Zq5AYy9m3u/uzeEus57XAhEh0J6BA7WVNvhqrK3RLxKhxQ8d1
NZrBTf8rMMjZ8raf3sXRWL5NZwoTuDGKfVKCifHcKT3XI/tRLecJuUzH3ngmucOvTgD5SLjJSFgV
WJVlH8+whjJRzYEvO9vRIal1c+dWSX9yxyF8GjWEsfK6QfdyrMKNHbg28ToYmRfFTeZjuQERD0Bl
DMR8Aml212b67DsDNrtB1uTH+xO/tnyhpHuooIMeYZKulxOhipVY3oSuZyjQSfaMaT968bzLLSvb
o7mlb7RqV8ejRm5LbQdIt4vxKNIy6fRhfBWxgUOeQP+oTbPaZ4jSPXEYRht51+p4JKvMJfc/Yfr1
+xFVJeMwx2Ax63T40Ha1t4cbXV5QzCOlbqZiI85Y8S6h1u8A5wLSRaq1nFA8bWr6CzmhVlvF2jHO
nFHxp7ri+lIgGvpG51jPeWLn7t7wnI5LzVPC5xpfePWhzZ3qqxpBVt+1QytN4y3xB84uCE+6Kcp0
UnMml/+D/jEFlPDbqRMLHtMsThZokCTuiziYJHnU3Ij9nhJUHLzRTd4GMek9GXj27f6yuyXDMhY4
MyoJEu9C8+r6u4RDjOYn6rocm/CRA9VM3ibJWH3Lp34+Ol6IhGE3aT91d5ieoigqTwqac6fRHUNf
y5v4sbCc6smLNZOutzv/pYu4P9MKa7aIUbf1F/mghJ4qRSWwcUv9iGCC2pN4TIqKjuw+SRp712q5
faCnHz5gjZHiI15ghDpm5bnmQjokHhA9LKK3yDRrKxm3JJQO8I9yqBZcz1gUGhk01YYTsjO65zFI
2w6nuF6E2Lkn6b6NK2MjvLwJ9Hh1jj5owAblPUB01yPWYVqhBFhDhxel8glGtPY+ioKNOG/trMMy
CeSy1DiigXU9iCbzDSQ5W4QrY4jYse4h+50leyGSLWbz2gy+Gspa5Ove2M/z4KBvN3iT/SDq/GMi
EGSxUoX0aOz188Yal/tleYFw8lC9oystFayuX83t8t7JWxlHuc30NDddeYi0sTvndVWQsdnFEyI2
jV8RgZa70nHzc9qL2UclZgs4t/bm1EIAo5N80SZe7DY18OyAKgYStW49QHRvxY4KDX7XoWUfdLCw
G6fgLQmWpeNAv3tBGGk3gBxIqZY1GlznUT8a0cFqhfFep6KFTVMUNx+VAfMmDOTrMT4EZjuhGmqb
7HkEetvPmtJPzs5+EVbVqWLjwk0nFVxGgML0odB1LPzKrIIOHauZ9i6JBJA8K9PTSzJ0irnrjTz5
NZg6JtI98mT64f5nXVuw1AqBy2roeSCucf1VxYTmeYlNie85s45Mfu8c0RBWT16ipBsbcPWzUcpm
LBQZIYxeD+W4ReUUFm3FYsQcpOlz66cJrNkfwDDsB0PfStHXXk2S5QAtcMwgcHQ9XoRueIypOeNx
7vqF0hl+6wAdwjlqq2mwNhQSCMA4WR23Yggapg0UXmnOO1kQ+xFN6ycpMb4Toog3EvKVfIaBqDxQ
25H45iVKosdHtTenqPM7pA99MILEHKHa73NFqJi4441hThMKoW5YnipzQu9aVeoH4MHokVVIKFJp
zJDDNNIvv72SqEgQImBiYbM95Ry9inkb4aZxWRVURPS82tm11Z5T0Lw7RxvS478YSoJZYUTI/t7i
lHW0qcHGmJAnjsO/+7Y0jnrV9XT4hmRjpJVLAy0DugMUBizW7GKkKgWAn6jyYi+U8pBIjRHTqrYU
juRvWRytoGPpvuAyBox8WfngqvDQa+B9sigoL0ORVx+iuhm+2XWgfgmVPjyagAD2bdsbx7Ict+w+
V1Yvw3MJw7ihIrdsr00Y9YIiIqoEPxv7SoeBaYbfz9uxFNrn+1/upsYDTFOKKtH5AYlMgfJ6kYwz
lLgko5ykeTGix1gJnoy5745pOli+BT6Oav7w20VYOSgVWMIeKjBA568HTdqgmauOQUE5BU8dd8e+
Mwb9OAVQxHuwjRuZ5trnJMd0KC+/5FuLMxU58wnpJm7mzm7rw4Cn4QfUtDFOFSW5PdW8ws/6Jjlq
RoPduzIUv58lELHL0ir3IySaxSTPoyksSpBcV3XjHLJicC9elU7HyIqbHZjo/nD/o66tH9pO9PTI
rimILg72NInDMpatkLKbi0PqdOq5VIY/4SJsdWNum7ME89IbkuSHgo5hLs502aNphYMNkpWBzEd8
Wv+ampmu7kMoy74lGncvrDD65Cp59blwJ2hDrW7+uP++8n0W25XwTpJqmVxOocV6QjgqqBsZSY6N
Me7dBMk5FPrLN2VuzjCiLGOXlFZELyyvN/LNWxUJ+f74TVGQpZ6F8O/1Um6yrvCaDssGu2nLD+hX
R3hBFv2OvOuvwNa6izG7AHXGQkN0mCK+yLn1nETNj0nXlvvBmuYdGuDqTsvQ7MIbQNu3OfZBcZAG
CFuF9r6a1OYw9H1/wXexOgRtYG4sF/mMN9Mn4fIoi8g7TJ4Rry6Kyhjp8JTUAxA3Gg6KVeuX0DCC
XYFO/sUOLXWj/rBWjeG65A8BHCSdpWCd0bgRpXpKH3iNYJ4hlJLgrCmiCQhK2GnZXum7+UM2Cvdr
H6XkJF3ihQ9UuEttPygpfocmYph/925P8HJ/Ka1sHR6Nc4KgUsYoi++p1bEb6iqPFo0dUWxVWLjj
6d8pymylC7dgR5YOhwIdYuwbJGbjetoNyAndNGPrlaXxjCy/WWc4tZel/ZUqWLfDcNM82kQtpyJq
nUsVzCl0MTt8nnNDHAwFxd8Q5jIIhEJHAEtRjxV6KT5Ym+A04Tq/sdLXFgl3OzkU6CdUdRZ7zNFy
q6IMKuCODPWx7zptN6Givs+5Rz+ghToc73+I1fG44mXTjKhiGVVlFM/DyUWe1hlL+0fbjpXfKpl+
wZiAhg5OWhuLcu3DG6SjSIohVHSDLnfbqO6yFs/T3DGDnTkQuxkUxE56q/ybobhUcOeQhxU+q9cf
XpmdLLJqtI4TBBt9HBDjN+Pk/TI9NOl/fxIJ7V2UlUEfoAV1PRIGF9nQaJN0DLajsyWG4slzrW+K
LcK915LH3B9ubQ5BkUg9Ckou6JBdDxeHGIkJciJ/DK1uB0fNwzUnbnf2sFnDXIkD+VQSs0J8Jq0A
r4fqGs+agGxRsXdN4RPsa2eb1O9fLHoJ8UVLAcDcTZcGv4kgCjT6snqhG8+1ouk+4NZh51Slii0A
3h/3J3CtHASqyobjAKdF6jtdv5YXWyLJXHYZlLCC44fKaVy23kFptHg/p0N3nFoIpF2V01sdNBsP
nFycwsYxN55kbftJYiMSmIAC0P64fpDWbWAH6YQQmluAdp+L/A+9cprdSEtwX9eWONx/87XvyU5g
6zHR0uT+eryYpnwbx3zPOgu1Yxo6lt94nv3u/ihrC1QCEE1wrFTbluoYMamP5ra4CDazURyoEv6q
3LD+UIHS2Zi/tZBEdqLxjUHO11rikrn+m8GQvmZ2iwdt7In8ezA05ROFnJy6Wjw/eimaVgQs4cf7
77g6k2x6jk6J0Ft2NrHxc1z00mVtJNe+FmVcgcWB93V/lJWQmjReeteTHqG/I9fPq5gBK2D6GhXF
J1gyyhmcRvw9NorqVLnDeDAGgbYHqnRnNf9vzs5rx25kS9Ov0qjr5hl6A3QdYGj2TiOTcilzQ6ik
FMmgCwZdkE8/H3XODCoNMqcbqIsSUkruTQYj1vrXbxZ6YD1XL1R8Tz7Ig1f5r8s/tHdQRGr47ZFJ
2TrSTzYIDDcYt6gEsehLPP8nn6TPoAq4iR30YYdkETpkWwYrUzHESnurMM+s0TrdQxIliKVzEmec
1GkK95d0Z0++g3xHSnliNx9NJQ1RzTvfH4d2oxBwDjczdUvTS0qKyAPzf8kH5bF5DBXJ78uZh8IK
y/T7D1V4g1Bq4YJ9WzZvorLNz4Nj5q81BIC4qqMhKwzlEhDEDhb32p+vQhmFCaOmOm6W0L8WMw0j
QwTyePrwW+77xun5ZfeYqcJHpGqEw8vw40j1vf8R/WmCaRIW4LmMrbbLdXAWMqPavb4dtd94SbCZ
2ozpnQMsJW2jvFnFXPoc6k2dNQtxxvEwycFPJjGYUdyhpSOBq47GPtZam2s8DoFtZEeY1OdQLKuK
jXxx3Pj5b/HU6sXG+DeflYDFhwop7LCtTtjHksLJ76QbuJexqtrqqtoxjH/hYk+9qX+/2IM7Zmy2
QwwXe17ZlHOG7ZpVxqOX9+/DSXwLx318M017lNijtr7knVu/xC17ahUDZWBBQ3dEzPSDomCF9jiu
lPWJPQ078JjZXpjaMYjG2/oT1mXlC3v8U98Xgh5qMGqD4yy9v0KKvRXtZjAxr0RpXDt47ZqEn26b
iaR6W2Qy4Py5prM1l7ei8cIfenMRlj//gJ/ag6lJDlgexcYjvU5dlSXm0ApIsCnN610q74Pvty+J
yB+HG/Ay0HrC9Yb3dMy1739V3MYLkY8hKjP247OHQq3KqsYWPwu1NmNs8Fo4ce7nH9uurWCN5E2b
ViT43QV5OBDE56vZACEtGD+tWrevjc7Jp9Qa5bLFq+HscxySx/RNzpIMZzKWyEcg+Cv3YuF7uiTq
fjky0iyLeUo12hbODg15TKTTTcN/m2DFMjlsHcDjIF7yre9/1WCQ5GQfmmI9t/7bJcwl0nmzPk2T
+cLJ/cTLSYFwyCSZkTOlfLB+hn0IhloCFtWD58Zy6L0LirU8tgVc+ueXyW/E+0HnfQBCABcg8DSc
D66FQTMlUQhwEeVCdEkg5ZYTF97Ib5WwjXfMskXAhqXCOW47+HdpqzEWYURXuCZFaFvdEIq13CDG
8VnkHum6ceX5VRPvm7Be48OIGTlp53WV4kcK8qxGtb4bN27zSRYuoZbPf58nXr2j7sCB+Bhowm24
/5B22OTbKEDCXXgdp2rzZBYaNn6hdde/boawPG99KeHHVd32ySuwnX3++k+11MCJIJkHrwI6z/Fe
/q0qIQbaH6oSUEA5jfvGGFcvZSBUtrFXFmtskw954W7aemWRRJkgoxwvXFGYhOV2VULeXJ2ENfYW
C9mVsa/CPpvV7KRjN0UJIHv+wtM/Nt4HDx8bBjpNjndSex9SwEIDQIPsRk7bfCA2syanbhmBlukK
JSxbu/3meKD3z9+iJ1Y3FwWlZ8+gSHwoZVcBCVGu2mFJr0OT9vNsX7qzaSYRgorsf3ApGrTfR7UD
nH3/YQx4RNpjqMjwc4leCSUD5KXRdobn80uozVO38nhdD9Y5NssPAaU9DLXXNjSCC0EYwLqiSUZ0
cWc0V81Z4m16HbjlS+XZU7fy9y08buRh43H/++1r6Bf2kfsUzgPpeEJMJ1I7YFFU43Tx37+V3Ea0
x5wo+Mk/2OgbAoE8Xhr8y/HlOxdR55ynSK5pN3cv0S+fQnQZKSNXQh2F/OShkqCqzN4wjSOJqeI1
qFHIJ0y3ygw/UXKCG/xuvbmfMlFJnUYR/ABzrV8Cm56qRAFGoEf+tjJEvHD/3rqBNOWCZ3Syb+04
nMiYND6CZRSfdiWDKSbrmq1Oilw7CbG8+lc4kr6AEY2UEk7X1ISEzAXFdWBp5pk2zEGGOIryXeHu
9+n5Z/OYyukB4R0zTcjrvM0PmcerEXg9HQCptDtOP2ngk3/YeTPDxxl080uEPvyvLWJyRGqLML9g
DGJ+9kdn/GtavMMl1A23gXRBRtihv5h34BrzeNpWgXcepiv9G/JV2cHG3LRmcIDcnGLIIY5ihF2I
O7PGiu0qXCfxsWqLg03j2OqTdAlXTdBGLz+KPRp6ytp8sF/Yv55Y/8hCA/9Q3nMgP2wBe3ODi+SD
mEG6at7KISfm3siLV1Lu5guXempjPySeGAAdhgzEKdxfD9SXS+5ocJHRatoCvzuflsMwZuJVoMyn
vreqm9BV4pu3DN2FH8jm0rKnPq6N0SM2OF/PFonEZ8YDY2wROZsSXoythafDK9/wXupSjnPuwc6O
UPSoWOBCAPE+KFYkuFRQaWAjc9nK1CJ9My3tasu8aFbXfTcUt88vwSefBCzKQy1mHkfK/bsjTXoZ
jeFe4kSzD5+wlAnwzXS1AHW8UB092mkBZyCEU9se/SEgyoNLVcHmM2qBnU0yNsenq4qWzpi2knzb
xqzPitRRPyGoL//y/Jd8jI35MLmoyg7HYSDNhyJsrI4F/tUo4tA5j0scLusvjmz5Ye4749o3jPW8
bdtnT+XWNdxtpUgexcYJqwvjBTezo4q493iPDwJt+5Di04s+JJNuYz1Ju8d1Yix2+207a/sUDV3w
8fnv+wh34Co+IR6cZwAPjxExk6ab9cKQdF3Kd5UEV4FjgyvdEDAygsFKzY5D1djj/fz8lR8zGrg0
ieh0LhzbHv93/yEfxnh9b9AVbCq0vs92X97xCvkED2+jexIjcSaJQNhqxEvpVD/zVu236zQWUVxo
Gb3JhfI2sj1JpY+7MVfvn/94TyzBw+IWcIshMoXeA5QCIpOljQkDHCWmyEkGmVunYF2qtFgQuqpR
elRwRIW/0Ec/cVksYgGCYalyQD7sK4ODERcd9EWf+dznyZnFhW10fWLPdXubW8b6AdNYT71w1cez
MhBYRrkA+JgwHrq3+8/CXBhtskK4LNFgZ9dT5qtmgrHv5Kv2YrNv69QvKFWDde8uRVjAnXeXqI27
kAwWO9qiWGHQefH8I0CS+fgdOJw6fNxxoPQwOrz/scjr1n6XM8IvGyMi4WspViduqyM5XTpuuyXb
Eai+991MtjrFOJKh0EPa1IsQQ1Tl4Jl42ogyts4ooYNPnrf48/XwO8Cd8sfOT3kQNCIOgg7Hpb4b
xasx0IWbDUc2/NbsZYPp3hbkyRbNZM80/m7P3xc7Il++6dfASPwlBy8TeCS9Y8pGt9oE0/bRycM+
f2eGebSnSlnl93WC44i81p4JQN5nlMMEr1fjeAoXWjb8VCGVvyHdGj5ZH64ETnVRK8d0JB4qiI1N
rm5cUTvruAjs3LkYvVJ2FzrsVtnHUdPOVYYVbcAcJHS3W9JZlgu3Gsz5azf0ljr3ge5EFkR7z7yv
kmNA2WJFw1cvDFdBjI7n3K3WOEjCiab6HbbO0RI32qdUX/veRJelNi+MC6Gw8C+KjmwpYruDV0tv
qE8DZf2Hltb9Mxr7uUty15iRVBA+8jEwoehkXRu6uKo0lvF5FMQepJGxEHswoja4BTyvv6/AIyop
plFjLELQ0wcbNlGXjMPIU+aQgO1UeoScAj/kXpBW9Dn9ebF5DS6Jh1uHjKgJu062Co5W6u/sxpnl
NfWejYRrV2cPHhLJNEIAxFlqsPOrvnei286pdvtLodR8XkvhnsxCbhbBLcLFb6NaIdto2yn6rOpk
WKZ6mcTVMHcbXWXvLtka9et6VYZi+DwMFTnMmLCbR4lqfYDFM/a4hREZlmxrNVyvjFjt2Bkb8WEz
vK4ju1V5U5znXheloTaPU65FfZF0ZuiN8Z470DX6yd65lgwO09vAMbHTXvfo2+SuSp/N3su/bOVi
h2k95v5bbxisjoy7iOBsYzMhvWGo8zHsl/GnVdaVuKAHLH/5++DItyqaN5TsUKnyc+9JB5tQMQhx
BmsmzmCa7Op9Uwjj/a46S2dgdvUId3/qS6hk7qjiWdoeH6Yt5zHTSgniXBx3iGJRayObfa8K0hGd
H3THbdZv88bif8vBGkQ8uZhDL8WgPul+36fLqNytPt6wa66SWWI3G6/OGrxZxmpzY0gU81drrYwi
bYpmvNjs2jGuF3PAYVT7BR6A1oYTLwm/Yk6brqymrGhLKERe0VX9GX9aMWeV5CxPW2F7V92wgDPx
Xq5dEpWdlOm6zbhpzg08mngaR2u9bmBEy9OIL/Ab7LNBwLGJzdUH3oyAuCCMwq3YVCCLSUXq1Tst
96XJCPzr/4oYqH2RpNoEV4GTC/MCI5EtOgHPteXJMCOIso6edz/Tnmd/qx0R3La5177m3TJUMjMt
Xkl+s6K/LGVYH5TafRBiHHDbuB2qmWDa9mc0jPA0J08aPKQNzDjd8wITnrnwozvp4xp2ueX9KhL2
5qk7c4oURrI6s9yzHUNG8tHDfobkZWmnSgVh8qw5rHw+78TiYM5hhD227UZple9netAlFkuhYWs5
VeHHlt9OeTyzz2hElmM9prKYyDz2vR2ueNww5BJxkRvBh24VrEm/ULU6EXtPCBibd/5l9rRLecxa
PoXYOLyROfcKYERaVzNzdi/ZJttagcZHDQBGrdKdzYkdVQxauPGuZ6Iqy4DBhxNOpvuqiWyOI9Tf
ekXcZejvSxHlnybtBGUssaaAggOF8C/XIAH22nSG9VTgfWtnW75IK/Gxce6RrHkoDOulZsJazlPY
pNDSaeKQaKG1UvRF+NSvbgfF2Yu6X240DP1V4E39kIi2VE1GGx2opCFpyIgpY3D06GyFVLwwiugn
Ofb1mqnueLA9mOeeloUvaDP9qFKvzMEfdcKeuZOfUe7tjRMBsJ61w4se+3tVeBcSs6c8HnTdJ5ve
3TZx67Dav8h+rN7mVum22TzqUWRhG5CMwGC1gwoVGLs+Tpd2BXEpS5E4S8lvaQlVa4Hx8oJedts8
fdEo0RmXlZdDdChzZ3zD4vCC2GLK0SXzGPkXupgnmZIuaTCAafovpiWrIcXspgyzXYS5C4PEnnPM
PQdOE5hFQ5MQGIq2KoCqVB2jkiZ8E+5rHZwQ7+olVtbif63NPhrORt6RSmVIowqJDsFVJ24NfIFi
BzGUyCq/zq9Mp8Flww8at49zHIUHiDI90z7Yyi0FatXnVz7jPgu94sSX3qbF3M+uX4GjHUOu12rs
hyjBNs8njMCSbTaWef527v36L9mLxj5L9A1mokL+5Zl3ZQPADA13jiMmURvDcIPtvIScWF8WzUb7
7DhVK65oDitI/ZjBkbG4cxJndCG9iiWccC8+QgOMq9KGvFlvIPMX9azFR4f83896JkaFo6Nft7it
C0LDW00lF+bOfOZpLDew3lcO3W2ePunS8m95jSt1MVdGg22NabRjqupIpsY6DHtsUCvfScvf389e
tb1eBL8t3Szlfynr2fuBQmBmwyrUWJ4Fw5IomYa1nLJud/Z3E6D8ew5m87W/2o44DeFAqGPYlO7w
vsNyXJ9K6LQfo7K2hos6cnRw4vLdeTebKkoMpdVrhNuoRukoxmvLksuQbJK2PZvNEhfkslqNIlmi
6Eg+9qhkCW0Rc3e5OqH6auVa9qfdGVRx0WnHy7O2Lv3vPmkcCOJqD5sirK/6t5E3dV+8aq8/h2WF
mWFl5dtHSEyif2Vr0smzWjF2z2a75PDcArIhC70XeTqFm9PH5Y7pDcKWYUlJHrNOYdi7TYx3X2jH
ldMyD5/3PMoPgY68tet6/rAXaw9MGRW1i8NZXxMYaxeUI0aviLLbhHxPu+f+2qrWuArmiv5zX1li
cYeKmE0A/pyZBmDpebYYh6tuETFSoZjIjY9MinkHkWytZrzkZq1ej8Yw3jCbkku2TDQUJy8UpZdZ
i26+1DMyglMwRtN83lRQXulaY6zNiFEPiZb2gIMAU5IqiXZDLNkcDfKVuXqjRKkZeFUyhsHenMdc
22xxHo5VmMUrzMqWuaoHIis1qJb0jGhPpBOF570yKFllsdhF1u5W62Syyw28fIK8rWl8GJPEusfN
KR4sg0iP0R46nYSL9HjnIm9vsnIR863skQ0TZNXvNTzIwKgz31m8G8tvIpdDnbEjPv0kFfrdcIdX
v3d1RH77l31UsZjx2Vkw1OK5qziywKPPa2/Kr1Dv1jXbVcTLHK1tmUxWY/inEtnYGVBlaa5WXelr
IepRn0dn726cou6SDpMLKPGeOSSGPxAAlwvWj2Xv9qWd9yEDSL87dszR8H6JPTcZKRX71GQ1XBDO
rKYdoyttOLzfm1pxusv9YSoyczNZYzpYxo/j6Jq3Rs8UjCpLhyO/qsY/vg225cS+ZIrEwJ8vZAtB
VhyPBc42STh1pkw0pRSRucIi6L5RWCueRhkVa1rAQ/cy2U8yQKOKJdfJkv1yUrxkItkdY/05wQ/8
VfeqJGOyFcZrvzPKjqDjcs9Pw9yXPxdPYPE7bcOURqtGBHCcranmKL0WYz6vMUmVxfuea4dxQzbo
QCFjktOJYbq6I3a5+kvsnVcm+bKtZ212JVUJLl13rjWunGCcmFFam/gxUqa04vPerV0DDNqXQeKI
CLOQCgixjKfSyd/Vg9X/XKfNrGNTW+qzbWxUD7U1MtwivdhvYur0CcKdqvYoDgo4XllYOxSInOv9
LclvsjvzIru3edHPt3u37x8muejvq5vvd4eIll0aEyqZBv0YXTgj4mHGL/v20WSUxr7kbjv2+kY7
vxudUlxUhl/cwGuSJrghHioQqgq6xQYKlDh1xzUThuJREbuk84gYbrrKEzha/Co51eonb65s43LK
F4pLo8+xDcsHRrmhOZnbBVS/znilZbcPsWw2zzq1GDZ992o9zVcd29R5nfp8utZTV//K3Wo0M0ge
7jVE2HCKnWO94WHYrjQabT6jV1xEwXmCZbNgxyqETJewdYYs96qeHtvJydyEpUrK5qKtIW6LtVtT
LURjxR0+/F7SeqqMMmHJ+s3s41H9ptwCTrd+qRXqDKdkpxqaZigBhNWSXxllnfdJGO3EV9l7wMcY
5vFmW6bKzkiX2mjzu4FgYgvfh/kU5GTI0jAa+purounnEPT5q8VXRHDZ69Ru2PsPFlB96OaS1cB8
ZNl8OrE9LK13edO7IIZRI99NTgWkPrJeLsahU2sG6aP7ZpLQWacMFkMUND3aUDY1adUZWZ7+L561
gvThjm15iT1y/SMcTJNuSUKnTCLDlx7JA5bck3zr8z2z+i1KzMJyy/NgbOpnO3o2d2GH8stHQDB3
ahbJvM13+ju2/dw94edjjXiHbznvwdiFn2dk8FlrRMRPFDDKXltdZ9x5Zl7vF3s3V/ZJi3nvaXX7
9h22mPUAndOYvptTVDjI8ab9F3ixfY2md6WU2wLcwoO+Us6pXMzpR0Pqz13kWPpNRS/2zl37qEm6
xpK3dWg5nzgHojfV3E5kIwJCwYiJwgsWivtxslcbbwA3vPUQAq6cNQVuNk24Cwgl9tZd1kVZs3lX
AAsEdG/TmNbIo/FyDIlsjSc5ozbP3dx7i0U68Xyowecf2K2WdtzAb/xeycL8tsxO8LXLR9ePNakD
xCShACJwsPA+NPa8DASxQCQGffHX63ZsfQdohEBe86vG96fFM9orVNr3RbhmbeeaLuY3ovg0QO8d
kgb/yA+Ymu3fbFOBn0IG8L5iAs07BRq6Yl+4G+pmywXHAnk+jH5okou3bnEEGlLLEqKMrU31hqSF
kq1gKvo1YwE0KW2mWNNRkYeJ2I5BcEKIzXqH8rW5GXuRt6miHuhjK3fH+mznTLATL6DVfxWUpvlp
WqjWwCZypnqLNtkHQ41KzQs6I2nW3tNpT/um0nDHISsF8Te/+nvhvOv8pixxyVU74yDwMDBjI58v
RlqnPekGI/zMcCvAw5Hu4cQMY4+yuVk23qnI1eWpW9fuQo6DVok/VkpkzSytIrPQ7Kd2Pv1oNRlL
b+yQJigmh5rpkqicr44kOcrQudwoVQIxX4iGMda629Z0LsfZQXvtj43G3wwCy0HEoafWGFsvV5x6
9tlhwDa8HQPh6/NQTusrDd8zTzGKh5wU0JGmO/F+fDZ3uSok7Qbsk2qM21ZxVHWDRy8gqsiMtXRF
yh3qi7g3ytVJGyjdMu27LXjrNwbxxMofzY+Tbvli26Cmnzich+HlEpLvckW53L8ypQsC10Xm1J4n
vcq7jRSgV4qYuwlYF71M2vW7fu3UaL1O4RYFgI7LqmWqObMPS4Fh5yM4Mmpi/knQZFG+gBoQ0SNf
2d1hZ7q3+DefZDOHn+lk4UmaBDaKWLkuVUu17T5uU0JNW2JMY7We2nCnKcwxpVKx7XVFlXorScap
K+x2igvDyz9t/tb86oLWJAGI1XsukC2bF5Cjc/MEf8OarzFVoFOPStFa6TLkIVxvsfd+1nV8dcbg
mGtRKrvep7WU/XbGMAtGFBTt6LBd8eXPzafRSXSHti1FXkcDJbpp8GAb2f5d27vmtdpG85ddOWUR
WwvNK1tmxek2N2ZHSmO09hUZrFv0wWoJZb1ZjXAur6tR0oQ5IXELtVK+uBz6XnyPlqiOEtWZ7m3L
uA1TXRf7HwIZ9v2vShBqfbmCoJ4I8xq/6ryyeO+RQk+4Mzm0O4IK/Sof2FiZlxnbJ/Z+K/gtO3nV
FAW8Ax+RzJWxhFWXWYXvnv/TknBsLG/EXAjsSMSDp4SZyMpd/zVB+V/3PKzHf/4Xf/7RI8WoyK14
8Md/vpV33YdJ3d1Nr7/L/zr+6f/7q/+8/0f+5b9/c/p9+n7vD1k3VdP2br5T2/u7kRPl9zWLu/74
m/+/P/yPu9+/5eMm7/784/vPtuqgK02q+jH98e8fXf788w906nBaAP6xu0TTcLh5/Q00P67377/8
5nvL7/nfxc879eK/v/s+Tn/+Ef3DwYsQQQB78CHEPQRi693xE/8fhy2VibQSQg0uWwdVsOvVVP75
hxf946DTUTYjQGI4EADBI+j+/aPgH5jUYrcBJ+xwCudH//e+3PxrkPWvh8F9+vef/6Ob25u+6qbx
zz8eMwL4DZjdMu9jfR0DuPtY/2TNVo/L7kGzN8zLZevrZDTbLd3YDs+eaItvgoIsrsEhQQBK46Jr
KZj+dvOe+BCPRqp8Br4OyavEBh5OIvc/g9/anB4FDIiwq2AldA5mLV5lXpL/fgd39yWvikdMpuNy
yIcZ6x8khIckMExX/LWp5hEWs2G/C426+bU1svLjdUUN3jZD8xnjJjsGEmEEYWPk8sLc59G0iakb
i4IBi8e80384YwzJZIJmsY7JpI6WouzzEmqf25z22fUvGWusr0q/n9Ln7/JTV0VOQV8DhQtLngcs
fGdYqtYT6EV01I4XlUNmi2iaOcV+ur6A05hf7oZhv2DRgAKah3dvoMqX5XWyWWOHcctDc1VKxzYc
VAVvzConJxUkxECWIKhYxvPgqxmbc6d/r0qjMkEMS3s/K2ueP2LapaF0hMqYOICDujpZqNg+GLVv
fN82nX+gYcjJiPOYGKabmQ/UIOFA4NZmVciqNssrlhQHlco8y9mTPwfluPLE4GH6QUK61kzOlA9Z
dqnGd5uJWUWC17/7MwT9+7msbgRiNNQ7PIu9BMbgbBZv6MDTmUelxFDWAP/aQtgFhSXdhNP8AEuy
bruQDR4ijQy/2LKR3/2qbEx+Ry++2EihetSB7ujH4DT1e0YqzDGVnVc3bu6w+gUAUZjlivchC7Dk
fh3lti/jwJXRYSRUYrqwGowiYmHu6ueyKL950/iBcUKr1WDLHfkz59ge5Hmqm0r553WGTzg6tdOc
ymgPqwvwl6gFrO6CJTWpWvl6/TY2GRSkbk8DDodbpx8sDXopmu94m1gOnatopszSOe7G3jr34BH4
dLoXXr3NImlGB/mP3O0KiDZC/Hf2jWV8D4wd5Wk3GbhOekXVn+hmrIHYLDG9W3El8OJ5H6cfjsRo
Hf8T4sOyZd2aLS4K3Sy4a/dKxV7QWEvMENQPqQ0jbBwcsYvbqlLd8m4eQe3AdtygAZapDJcMKXcE
FfZb96+JmLAmMTE/e7sVjHxg4bX7BXTh/ZMDqXROcquZ3/divRnd2fMuNmNQPqO6vv9mc5ubpJ46
0cSudM33uKoRwWs6Ch2Ai41YjUG429zmoW04CZv4vqXjMqFjHP1KXqtSABAvlH7gKkx1Pw44wZUp
UwxwoglClExmQxG2y4ZTWjEJv/jgmYN079BM1l+LAm/TS3OFx4srZ4MGKdxCXcQe6TcQtPbZuGC0
1Ml4tYYC4GI3ql/4fB8GtK5bfg+Vb/Rne4iqILPChrHfYvqQqWpXhvar0ICRQGeply+0I6JnzC+X
C+Uae3UyrXIpzzSF1RYb0bZUR+3bTzdQi5Ycf4GamaqoATHOpTX0H9awXiVQLQZ+F2uVYy01A85g
OkW5dL2EeoarpOj14gGC3juIjyO1stqcj04bQKoLGpv5h5xHRjwIJbUFwjFIsCoAC1JFqhbhKEua
/Pad8UJzCseOvCrIYGgAGODLxBlgqMR5J8iqqChR7a9qIq/hIupE9yVaQ8JPt3mEEer5o6HjddH+
G/TZxg/XKmyiBLbCH+B15HqK8X1XfYZd3mreRLkZaDzCcp+RW+uEN25TVoQVMxccst0uq5ksyA2f
q6INwkvKVwbLJFGL90x4zPI0b5Oqs7n1MKvVDaUxTiWM9yp7AJyrI19d+UsV0Up0ZUAHdlD9WPzT
8o2kSefWKrfOTsepbYJkG1ukdaUm3DchmLEM06iosLhw8sN1f5pvKtJXgiG3MXfvDjRz80zHvLQ2
3Ia+CnPW8sKegvqGLm27mkxQBPxRirkHy9D+RQEFaAYTE3YBiL+hSmjcvG4SH9dJD3AoAMHcLVV+
WtagxtlrLhyRGtYU9hTeC9PgxunrL4ax4UZc5OjvIRxb9ZeuHH2d9Yahr/5zAB8CntLHsz5yxswe
4b+7zQwcRuDWD88fbQch4cEZA1sNyghMmsO0/AFhwRAuOjp1aFtAB0lq1CplRCCSwJLklJXD8FNM
oxmjzFpeoNM8YmcFyJQOp/TouC7Ss/uli9ua3qZQzCU+WsgMgnxwqaj6XpmL/VJi0xNVErMcqsgI
4wjosA/YWUZuC1m68GAjzgMCUrY900Hrn/HC+tDn2/bCyf3kN4MKdlSgnOoPvUjrNijZGILjns7d
qa9xUwib3DixWb9k+fPU4zvIUBiLMyIMvYOP8jdmt7C10UwtekRjBxZblFFkbL0VZs/OLZ2bfRYR
aIjjaeMFodsT1S9cI9PDBpXoKUIfHly5Q+zFWc+Vx7ZxltNC1fmlqCd9nrva/zxN0WxdCO2wkWIC
/Dawq0sHWc+v51fvcZH7q5cPwfsJvZSCkP/uf/163fbZbzlBmFFZOIL4+6nqype4v4+XD+0ET9P6
Xe87D40BF6uY98nSnFM4jZ1giRgpyjNKImxmyQbldj//rZ64Hn2Kd+i4UMtgU3P/W8Ht0lu9IH/A
Z/QbLWSm8E5Icc1jcNpPp+cv9phJ9buJoSmysZwkX+j4NH9bQsqUprImB8miN2DfjwYbb5Nui7Xr
DFCSMCU5m3LsKA+QKA1DW6SqiqZsWgonWa11eA27Y/r0wod6fAuOJu1IcaKlxBT1wYMdbOZ0xopk
AnFOT2oyDm/AQAzyS/9b3uZ2ZrfRdomV/XweRrXFfdGS2TFPE/PYrRgYi/o6cWwpz4O3BFAj9/GF
nuDxSw4R3GdNHL2k4z30420CAVaJBx3aCPGTg2B8beZenpa6dt89fzMeL3KuRLgKSBTcMjbq+w9o
HhrXqL0GpZjuEI0Af50rwoNeWHRPXMXGw4C+jmr3sVXzAF2tRQp1OIBHCg7aLq4M21EvXOWJu3Yk
9RA8znUQ+DzY9HvpWZNr6CXB3YkSunSWS98SX5x138/P37Unr4QqCp8Xtn37oQXlYtoVo7CVETxY
Xlx7RXCF47gRoxprLp+/1GOfXJpi1PZguTSmZMg4D55QGS5QVjBq3zyQVVPO0bVdFlYm59k71Tty
T2QkIVM9SXngEbl5AiwO4lnrJmk3CBlRUNEcqXK8GFdSl5//eE/dCdAZC4I4pkn4+N7/dEVABavb
aU1KaXaQOdw961e7uq5N/ZJlypOXYn+C4A1Tli3l/qWoZJcZNHZNWobZ2UzSTyzbWdyM+Aa/8P49
5j1z07ExQ5FhQ3d9ZGEY5uNUWBuUmsHZnQ9tA32tqJ2DfnUQ6piGppg83GijbM6M9CJ0efQ2adt3
/QtH4VNvDsRtJMeYReHA9eD+GnvNcyzwzNattV97VsORt0YvhQU9dWthnhyeAzixICC4f2vXLeoZ
jzYr1p1z+XPdneUbU2Sk3Uwi/gcvKcUE7yjKApdz6P6lLBv6G+KKNXEDjS+a0Q7wS/8Pd+exJDe2
XdFf0QcILQD3wk2BNJVZxTIsR3KCoIX3Hl+muX5MC9V6T0wTlUGFBgoNujvivSCBBC6uOWfvtVXD
DQR19D8fm6zgy2TAdMA5//BSet3YwI4FQRF+M21nYsTcEBcbza7x2/tXOveWIA68LSpot4/DFMxW
ZM6c1gyXuux2+FJIorepnr9/lXNviZ9B5RGQCduio7dUCh9zQIxApbJT/SpDy+BGtVFdzW3x54xU
2EQo4ZfUDdgNfAeHz07Jipg2XkgbAKruujRSyv92E9z4RhveD3Q+P2voP19NpDSempBT3CD28CaB
wO0Pf/RyI0vyB5w7EsCOledz6zSN2Skc9Vlrt+qsTVfV0I2Ux0pt/ceXItybBhyBOJgdrOUt/7ZZ
MeokzMg7wjAtELJUupmw65vQTEfDJTH3sqwe7C05lfx+qaPH29UAOntEk1Q8Wsl5of2UA1raplmi
/0zSGG05QuQ/DrFcLrq4wgV+lYU1cPj7tIgTl96kyF2mqt+XokAPRtQsauPpUgrPSS337VIg/jmj
LNjQo22Fnfs6UdsoANuW6CZOfzENHgPJhjbH5b4ekCUWdFNWRFoPN0krLzGwT44uy/XBSQmNOWaB
Xh3+VH8cRETgxezZZjpeT0mHokFkxh1qZ2Vb9rr5hT1w8jhazYWZ4OyLXawKnF3wIx1TDGtLQ6lt
OZPndEn/0sVW9VVPon7baIG1qlRr3iYEV10YuKdENH4uZn8ddwDemJO4k6FUSALzi8lDBcOPjk01
/jnbqEgq2hvEA+LGW/d6zVCmbLRD1RQCpxNmdNWqzbNlFfYmslnEZD92IKyr7E6g8Fx3mpNs5j5X
7tOQwOoMYZNnpvW46sYsvrHVov7+/gd4Gvq6/A6ssouLS1APP/os1BCgR+1ok0dj1FgjiXxuJrN4
blLZruZqNK5nhV66G4RpfuOjw41dZ9GWU1ogKSeP0O+/f0NnhhGleQYQZxfs4seOCxYQvbJrBGKm
6SNXMruW2KEpkw1lzaSm6BerlTcrVrunDNn9D+Yjmk2s/YCq1WUKPBzEhM70Cqpv1Ysbtd1aJpyA
IkRElmrWpXrJyQJGPPHvlzr6XqIWCEbqo10qg0HzsEYgU6G2e2EBO32cOAk5ztDkWaAnx4zNUgnM
sZ/8wdMBcK06Sdy9KwJXdzZppjYruMDDus0a5cLncfrjuCwbOU4gIIj4QA6fI8oODlkdBUPIUnJt
TbH/IUkIC35/rCxv43BKxx5HrwxcAv5MeTzlEQ0zT8M0jMjKfWMnRDC4xmiGm7GsXt+u9P+6k+uw
gX1bBv7tH13Rk+7th//49/rnvxTBv3wssubH1/T3Ru4///h/N295lyodYRWWMjD3fzRvjb/g3OOV
5Jy0cEdpXf6zeWuKv94oehaCuL9jKf7ZvDW1vxydc+lS6aELt6wX/7jN+7/f8XvN25PxhmbPVjES
0tKDJm0fjbfW7qhPTTElYoDOXkAfdx+XfXEBcHqy0nCVpcZJKhGtaD6rw1E9Booua/jOXo6g83ts
RV+wh6W3beQoH1LDyD0ZIjN5f4yfTtBvF6WoA7KIA/abRe23LdJgyz5sewifQYckeq0EvfhcADZZ
jaRIP1GbjtZpWaoCDeQUPVL9td3ZmfJbSYN9W0d9deGjO9lnLPdDn57PjveNG/fwIciRwFeDmEgP
/rqPSQEdIXladfwrsCHddH79E3lcceVnvdjidoourA9v1tuDj54zIjVfy8Igx4A0j7eM4FGK3G9n
T4lAIPkcA7YK2vSnXBbBj7jqxnVc2gWdKHXcRuaUP01tFexSfRxc08inW1FlNDz8INlJK8+uNJ8A
0RxZzqcxyPG3EaFx6Q0ug+/ojuFQoJoDasBzO95P16oetGisZw/UTOzZzYQ4nmPAlaDDGqGKstmU
FYm147fo22zE78gJdELPSVf04f3RtCwqx7fC8wPiytYFMuPR2RbHZMZjAlCUpcgWcZbOqyCW+R4p
I44IcHGr96/3dmg5uSDqewKd8RDzvg5Hi6Lbps/12JXGfrWz277XtzALUlgltETKVWwn/iKH9gck
sQoJcW6XdzHubib+r50RKvR4a2lHtGQj+wrrUq15k69M3/pYIRw9hyqM50TMynbklSrbrpb1Fw2/
4kOQjlmzmcGv7CZ8GfbaLFXlQqXION0GEsZmgu1ckGkLxfpoNGZpMGKSSTX6fT2yeESjOJb92Sic
Vf5ms6uEXuQrqx3jx/7NiFfNdXUt3ux5dRG2hYdJRXscwypT3cnv8PIRTvcalOY47OvC79dTJLH9
DYsDEOMYZkDa3Vbt5uwWXg1Gbr2eiLqIQeI4c74aMhl+wTSOvlUvY/ulGgIdqaswMYvkrdTqTVBr
frBHDN/pGyuBTuEOUq2HfWxbAREKuextMrn8BPFc2mtGvR4Tq4yuR9LQoQoMIpuIvUSV6m9QlOEn
scNhpPciNd/c5mpXx3vIANpnGSnRB1q5QtwVGC/Zc3SYUryiohpN3l8RwjfK6+45aBy7vArtRhs3
Y0ZI4krv2+651m0YS2CnZqj5WT4nqJ/jsUGjqk406AJywHok/z390U6AJva6oZhfRjK8JxcgqAX7
TIRIKYeo929x99i6FwUo9tbZhExtndf6QADCLPvXuLHn0rULsHhYsSYfakIJvNkFUlyOHjUvlGVx
aMbOLjfULnSFhqjqRkam/twGqT+6xtCnAa33eH7E8pI+J7QdQdc6Q3LVB4HSbpQxaCvPoMcyuwXZ
A78qknBTr+W8tGzFDHltd5NQvdzpSJIo2Tt9K9tSCE8jZi/yhD3OtwkYpPg+Ry7zOVAYBnvk/MMM
8stGSogove7X82gq0boy4nmvRX6lPrRWod2NpsNlS9HGVwmLw4OumKNPvq+FvrPFz+iVCGQT2vqV
5EcUfvMBFNeMNiay+1uJWJY8kSqb0g1n9RwfOtKYik6QLK6tbpAfe2qor0GFrXJFVGj9o5yQHLqd
5tcPSVaKV4WXwVohmrDZGEorfA8Pm4bxdArltIKOXidXhg3vfuV3TkTP2NfLj9pU9hhK0bjaqKUt
57scOjvZWUXY/8jGKfzQ2b2pekbJ+VIRqGK/ktmIS6Qh0xf7bEV7ddXGdUgHPUxiC7H6ZA5IFIAB
rSUd74dI0xt9zwBRq52ulBj39K5pHjLc3JTkndxhnjbHqFnbUSU/+j3KDxdWA0JU3GkywrA5wQdL
s7BQH7Kq7VSvV4Pi1tGrZse0M2YekCqEF1kd+nBFMZo0Ky01ksHFu1CMboPu8BN79unRxP2Sf5kC
h3pjjiBrm2XsA9ypkGG+M7QxV/cFFDexGdjk2thVeadXRZjGzZVvDtYHH2tw6NJE0NIPPva2Z2dk
Y+COWL+NRZ5fPVB/Q7ejiXySXo2Nf9qaoAtea4ucTldMxvQkx14+1F09fovmOPhsTYb1laXBllci
wZixSe06/YVBOc8QqlrpLw1jKkgWDHxuO3fNIyREslon3/G0NuDQnYQT7W4cZOonR2l7081Ejfsi
NfvZ3MgcP9SmLyvMoqHT8ZHnmImi0Y15YP16tMuMT90u8NL6mRL66zSaxv6znwTECMZ5Oey6yk/j
RcuJRS4VDtF/MuUptbE2Y0b3w+p7LjstvKepB3AaZIGVbI1x6Lc4kUblKlM6vLXhbI2ktsxlS3dV
FfM34eT9vBqQmszU/QtKQUmiDrMH+2O8rjJ2XOsS3YT+VGr5/AvxhkZVUC/EY1zIJufOcB4i2/O7
r9h8Wvg8WuS8IC3VcB8F0XiLpl/qrhXhh97UYTaiQGgULCClWQiLbzelX28PKMDuQqXE1Nipce3s
4mYgL2jqqpGo2mQIXJKe+lsFAjGAkGFWEB0bTZ+4TVV3vZcTdYLBH27ocmTF04ATtch/omgBR5Y5
idGuRa4rrFYR6xZh2APneQBFwU3b5+pniyMaplTkODWhaZaigD3AWt1QdfESZWgqXNbxeA+nQLyO
o4MfWVqK+SyTxJYbptt6+XZMrBeZTpvgudIn+SwRYecPlhlVuWeEc/tMfa9/TezOxtRYhcU9yza/
s+bB3eRmgCnSgXZYuk7eGo+wOeGuDFE8M31WhVWRbCpH23Ni1b5bANfJTms7ILpEgJjF1Tj1Xe/O
YacpjHRt1Kl4Czu7nbWgvRc+yKKNhtj71dIG8yvvRxhXeHpU/CdNnykbtU6QhDhWGe81gMiFJxpj
cYgHMflCJAMzxvt2bG9UMzD3I0kA42Ioyr7kpBejdE9HK0TvNKmhqzaFFaFSNif7uiqm4aYIgqrZ
ow+yZlDD/iw9ybbP9zpjxETSUolMNhH6YgxByJE2uur7z4MaEJMJxi7yNIXjjYvRaR4Iz2KxMal/
c/VJZ9oASuFLjPhYfL2uDmwbW4/AuJvWWBRLoCXNJiyCXsP9rWpbOq6VuVawsOkr/LexugpTST1n
ziVmH0FT4qFqfAUHdCWKdcokqnhdl4K6iJp51ldGbMf11TCYzJmRn4fDNRIima8zO+9bF0OJbri4
uMrP4YSVDHaIj4dDZQv+xLIbPPdzkiYeW5XWWAdRXn8thcHTtcOk+dykqkq4UkcJj309RmU6qOmE
NHTyhauLMbS3VVBX3xMOezW+PXvCFR7BoEAhFYoJ4VU/PBAxGvmuunjjXBJhksdutFDRYh0pQs+x
ETDgKKnTayXnS2QuaJCQ5QlIyH3t5026M7oqGtxexVyG/Auwmlc6irG3Fcsq96goc8xsrSyarY+p
5XECf9CxGbEagApm3Idrq+Yz3aS5xjDAMt0j1Qsd/5EzIqgC/J1ztdWKzNwJ0CrYKAM92ABGSdIr
NIhtdG3hmmBV72pUkAkuKL5yzHVANljAfyJQC9srdnLTrxyDVgbZyTHxY/UF05xhEgOsZYmmeXbd
F08Nco4njdBnucHI6ZSbBXaz7fBRB1u+giBhyVNqFq6uTDZln8HILEfdem2QDaowFJRmL3rJLOF0
utwOVRcxpChr2luSazuTmdLRN4OZ9pxrorAGE9LISFzpDniyzdgO9kelxrrpRuT2pisnrbrPoPIm
3Sv0IEvZzC3UBxxZUln5eOJh8L6RIaokN8o7fwFG4OeFHaHOfvMjKwFK5A2UBK9YMBMOJiXkE0VJ
avQbh0Jta/9T8zedYgFVBJhYGNRDizgvf2NZMIjgWmRvjIv3Dzknhypq+xyJwebAcaMVddRfi2K0
ZQo1E2+eACzyGRCZg9dzNQIO2LOfCS4cqs5djyMwhWf2Vkss2uGZyirZu6i9ZS/G7Apvde9sEc6b
H1Q7rzxGb3fhxK8vh5iDQxw/kOgnh3Yo4mUMkYcXBB1D73bUuaCuOFTb0tD6Ps/lSM6HoSjwHIo+
2kYIbYiBm8vmijcMkTWUCW9b07vCWTucv9dxodeCEnNSUdOWKeLDqAvzjYUH+xemzwJz7BDQmxSp
RZ85KpObIYrK/i392XEVGt/5heroaXGFX0Ypa4FTQhklrvHwl4kgaFgzM9uTRGmxsRjqTaabYEj9
qriz40w84czsv4oEI2JbtgaHulLfati/NsIYjO37A+mkvsTdEFKk25zPYVIdV59T0Zm20vW2p02i
oRVs0mWHEBghFJwLFrMKHJCqD86FU+yp9mu5LlMzpQkL08ExojObQE/ExnLd4kk60ChcpfRVrKyM
r03D3OgCI41e0MfgLIzy/FMnLtzCuRFGchFFHbJisT0cvYdS4TBfKdkS/UutWrbm8LHAwPzy/vM9
FXYgicJ3AhYfdZ1Ja/PwdVsq4ps5ZCBXrI03onCmtW6007jm/GzdJsoUrAJRCLo5pvltlrNKGKWw
d7VTt7exU6nfIrRNN2NATonjXFAZnlJyuTmOKiQLLv1f5I2HN4dyP8IlSJhEZmrhS9en1S4r7OIL
1ddr0y+yfTU43UoLc3PHRjlbj04BIoYY+h0dPrxxBHRhqM8+dqFtbnSzjfapXlwToYBwr6XdH0My
3MyhKJ+SsrpQVzpVndFCoqJEqxOdpI045fDmtc6eYpAgOoGti8+0ncPruSJMJsS0ArQFj9Zq8qdf
sd/iy44L1Pip0rWYPevXwmqK267EDnFB93DuddOBYNqx0IouYpnDm6rAEHGMiOHWjLSPAOCgovYr
bTukU7yNbKN86IiWuQ6lwwFZacoP2pTVu7hEvEo2Ykrmmhbpqzmc69hlbbt4f2dGPa123p9F53vp
3B7eX9IOKT7Dask/1Aj2gMflqoE25O7CeF8hPTDRiDXmTZWVzk5QX/1UZ73iSXOUFMsy834YWv+X
cIr4UnNqufLhjE+lHyAfgiuKztSADu8M/2RNRGQJdjQu5ptBViCXwoZl3OjmC5/+8lcdX4rKIBdZ
FBYnfE091DsjDzlhpPFgks2UTxuri7+xzYzW5A5fapOf+2UILHA8sWSzfh4tnqYyqCLiH+xMqljb
I1r/EpH8y4Rj+9L4W8bX8U9bFk6+C6h2znG1daL/GxSlqaNZK/JHNKfFaiyi7ptV50GBNbfMv0VB
pK2Sqgl/pnpq3Jh50F+QM52GBC8UZEJHaMDQukFkcfguJ2uKNAAWwrONxL7uwc98Mzt8/m5N6BSL
TIIHu5L1jdZLY1VUYL8QV1vfEr3/1pSK9mpTJuZ/GosHtZPqxuGrcieQaU/vT86nHwPyajYX7DIo
k7ONOrxN+skWvO9BgBmpgclDdXpkxHUXlthzo41jA90Ujn6LTv7wKgNRdEGZInWN4fl0rsmucJUI
VVnndjY/46y+2K84N+Cwe1H9R4zpoC49vKJaV3mfRxn9mTjvXuEllHsRyfYXx9Nu3XaNvTfCxr+P
jNr4XOZ6S2001HepmWBjz/rq1YfPiQAt9z+Dndfv33/oZ28OCjLaFGYidkCHN9eAH6rGISWh1Axt
BNBZeBUhDN4Cwr0Uh3bmUhqCSpR1UDd5BUcf3jgJoVidKT0/hqMrY/tRRxlx0wTjhYF0ZtpnM0dq
uGCLrNJ0OR5JUo97IqalZ43gc7JRKZ+IkytKLwbXFrmwnvV7WlhyWidV0IwgCWuQLEGDqs0NccnA
CbEIow66CrmOYaJJ9zQs1M2F6eHcA0H3RC8RqZxuvu26f2vs4ZpSGwBXAjGQUZHdRwMLpEOQcfo0
wee8/6LPLNDLANTAJAh6iUyAh2+a0BPMJg2pfIHUEpg2ajg9+lDUlOui1LrZjWxtDj/aySQnL4EB
8hnbTlu5tloOPyEo1l9myd/gqYAigkstveXaR/PkIk5cOKf8lzd2eG8cf2sVg77qZWGYrnuOMFez
L8FPBXq2wbCUgM/LIAcUDr2c2szubJlJbEngh10Nts1mmqFM/PkDQwPMEkG3FyGcOFoCw3x2ZkcN
uCkVpnQW1Cr+/rJ5oVYa7/wh1D+QmAMGfcrpfzp+Q5KdIbaWMvj7NOjTz9TgsgtE3tPeJzIy9oew
SAkfEPzn8EFFPrklPrZ//CDpsBdjmdBGI1czjdX62QAjtm9mLJ+6GlKApsTopdWQ0Nsw1HSTKoH+
ZalrXKUj6qicxPBHcDLJxrBG9SPMo3RP1TP++f5jXCaQo1erM6EjH8bOsTzGwzu25ZCGWYHKxSzn
ei3SfALPgt30wub53CIHENoxF5cB8NrjITTZflFNQYmaBhEhZrvBBPUisuhLncl8Ba+32jqjCK60
uiflnUL5FZqu7keNrZ+2SE48TWyzKFAI5CgoAzxewlhR0r+UHXFm/dElAicWoAXhf5wdMZiyJ6OV
sgttrfAJnVr1KvWIsxUzxDXUrO7Ct7WMiOPnv6QLIuE2pEBqfPj8tUkh/8LuNGiHhX0HnSpYd0Oa
7XVnKHetgOE+mn12YUt3pmCAy4VjHIJjnDagfQ+vOvBroKNLYIestl8xyYp9yab7qaRSvtXhQW6M
MPa/2tZgr0lEC5+cstBcFSfsPquNaG32aXpfa4MKIapTN30k2uvaxPjnzmJQb2UwQmluA5V0C1Ki
KJ6PzcYJEG5TktTtC+WPM8fj5dfQuqd3T46Jukzkv03UwELTxcyhUQNXqdCi3F6J0g/3hDThEp6i
6goLu75pZ3VetdSdSWTq5Mf3v6NTeTyfPqMbzZiB9oE6zOFNEEvVDUme8SLTjo4K1lPNYxMVrgsJ
QxVgsq+TMIqdNmkKwHF2yM6hD+et3vcw5N+/meVax4MKoQ3nKvYzIJuP7iXJQ7scEYIu4GxobUBK
TRcOH0KKgALGzu9N8zmP0MmoACNf+nCcLtzAuVnltxs4NvArjQW1pYKXq05yflTa8EXIZPj8P/iV
NqNXEHugMYUdPnF/rtnJ5D2DWBqdXBQT1lqFDli5ytTbO0k5Zs+XN3lyqAp4L2G2fv8GlqLH8WO2
JGJEpNFLOvfRCkSIuUanN+K9Unbdld2UgONrjE1XldpOlPmPqPVLIF9aemHEn9mZcDlGGvBxcg+O
dXVOG8+J1dia59SmuhdI8FxIZP0tKSfNhTd5dqpgnmBjsmzHYbsePmVoNUJBkqx7liy6n6wj5qqX
AZXwkKV07+NoYCOW9a3X5vDsmHLCBfpZr5VWotI0I+OWhol2YyrtGMEKTZqNpjbDDUJ7c0VwwuLi
JSlw3ym9sxudPHz2Y1wCRmQMrurT3PTef2dnHx2yKAohS1bV8aOLiygdwDIToFlBmgymcVrVKnDA
StXqC8Pj7JrH0k3emElLDP3b4aMrcXMWtOZ1sK7mOF73hqSzkzOSZ/p2pIjQ/Rp4dZUv29QdDLXt
Ma4LfV5x8i2++eaIdKxuiNXN0klX7qlwKN98OUFwstqwewlVQg4u7KrOLX8UrDGIMJkZFIoOb9mH
LjsEha95epC2m1KL0pWYw+YmstMfaHLnCxumc6sfpxsUTxw92FkefcJt5xcJXlmNxK4OOlkmXnqy
v678jrwcMOfWCvjwpRCbMzVlDvzU8lAKorKiKnb4G3OUSqLXmJxQIJbdnt0Oj9hORmaL2qmoNYoU
9BRSfLGa+hlKEz0sReyHJqHyo4S2pCuv6mFxabicGZoUAvD3spBQlXiTMv22jBn8XwWDUvVCZaQT
pAZ49za5TWUCCU7ePaAitJxNXVlgMFCfzMM2DCIggRySYp4UaSyfYi3TaTjqiBKBK+bgr/xBCy4N
7DOzOx7kxU3ABISB9egBAhtFo6ORTNzISltJlvRNmtrT5o+/VP52QKjIUEmmPg4bMmy/67Hw6yCc
TX0HEtx4ybruQY0rZfunV2ISZzDYCBcJzzx20YE4qesWQRdYkyHbRoEN1Acv5te46vPH9y91OuC5
FH0M3uVyxWOgT5hDq20EXiigy8HGjojLZkSBN1MGGtlI2zejMY0XnuTZiwpsDXSIoBcdp9ZUs7Qm
KyGShSWwhQZmKuGaIou9cZImuYEZOO6onesXVo7TqYQtF4UilPos0Ch/Dz+zlMqZ0Ct0XkbkkMDa
LqedUTW2URVlW7gNxYWZ/cx3jaAAdgQrB1p6Hu/hBYN8HrqEc6JXT9P8rMDe/6Bmg7ruwrZ1B7x8
j301N+ugKf0PWqsG67jWBfoca3pqiunSGn2qPKRujEt1ccQutdpjmlCInWOwaAagJW30yIXDIcov
Q6QDEgnisadzhHu1cjW9FXsa1OMXGPr6XTrX7NsMP6pbov7M6pdamPYXJZRhhUm46nvXyIbqVaPU
l2xCY5wIVeqV8UcFp9nZOIDN91DjarEXbao8vz94z+xx+UnUwnnGi7T4OP0Q7IdsBTBfaBXVoG5N
JBq0oqQOSs4Ju7xcT8o4bgwjNUKXyRWf+Cy66i61yuS1oCIkd+/f0OlERHGG0i2FpEXzflwdq3XY
gb4IDE8nWfROMeLooelg7bx/lTPni6XK8KbW19kEHZuoZ3MCg4XayoNOohUfAYH691NEDpkXcRDY
tCxXO9nFwFD6KUbshztmHbOoX/i1bz/ncL/5VhCnPLeYRaBAHA7wMqi6JIAMwamtR+pZ++ChVzFt
tOumUpBjEbE6Pjlq6T/YPjdn4NW5tfr0NW9x7NEAjzZBNY1bPZqn1/cf0enShcN86SqBMSf28FhB
Pavs3NQJ5s3cRvYX045zdIJh9KnQMVy9f6kz75xuPq5vG+0Ek/VRmbI1p04lSp6IkrIOv2tjqb2U
QXRhX3Lm93ARHjJuXApyx/sSkEizBDAH3cbE9pNIwAxZTytMc4LgwuLzNg8evdWDay338tuy7+jo
E+weJqMT4IpY4MprYZKkwOl6XkukjpQ5iCJA+OrvoewMgMTnn0QP5Q8lmZ3XKgE823gk37UkCOA5
KZQL7/bc8D+4waOJfJihU6oJT3xW4TFuuhotVDbnxRr+VQXXc6rKuxkpWbkp8phCZULA5qzk84X5
/dw7wY6C6YsGPAf9o9GvgnTOqBuT86xHte713NdemSvmSWWcL5Vlzv5oTnV4ZthdcI4+OkKTg6BC
DC25Wj0TQii7QY1psqTiXpKWJ7YOpNpk5US6UXpmm8zDlY7aExuXr/rZpQ7RMqaPhwjFf4Y8v5J+
5PFP9wM0jrUF+C00UOypydeFrOUldGzvgPoEd6Q8sFFvCAsAOJfizi3CFSnzl9glZ5Z0PnCcQgjp
jSV2/XCo9piMcgwBfHupjLY9uR632sDGPYT86en21F1IeTv7FhbrGMwZDvH48A8vKIMoinvCZ5Et
ZsZzL/VwbaMffS01FGLZ6HR3E4bs3DOn6ode9Bpgvb74+v6Ec6aoi9qDzjllS476tjz6QDMEnLXa
Mf4puPDvMTHVm1apjauOs/EWJrWDFtmKf8mRc4QPDPwqLeYOtlcQ3gUtpwhOIfk9VpJ829dCrpCO
QTuLCY3qBivbKP5wCaBz7lMhhI9dM7F/8qQgNhsGOIHZsNh6yO6Z0jj8fPaFuygytAvT17npGJ0G
74evZMFyHr4hwOB6lFIMp3s21F9iWjJ7WOfg+i68BHH6CdA0EtRkOVAvAIPD6/jWNKMEErY3oNC9
H500+qCTScbDNDOXjFwgvHpSrYIKtLXPoPzQaj7RjFWmXddKpn6JM1IW3r+nZfAdfZWCBY8aArIc
WB/Hg7MQU8bmh1tiIs43c8MWjd5gJjc5Skx4ZZOZzWtdLYOntkY+DD67tbQLN3Fum8kchUQcZ9/i
1Fse3G/LRzXDu1fh6Hmlz5DaT/hjyRSzjJY2cTcrH0Mlw/eiMWnfI8INb9Kk5N5Iz0aqakRt9ISG
ev45pWnxudEUHnBnkuXChGdZgZtAe0MorjYGqmViLnZKFQ7hmk1g/De+ct6QsGh9f//Bnhm+Bpt4
cjaZfAlQP9rIK1EkGqqVtjeOwlmVzoCsOlXnHwRRaZf6EqdTGtlx5JjRAmEDQyvp8PFFuj/AV418
L5Ys8Nf0wNoX3zCVR4GM/Nfs0/p32dnI20iNLA5rIjcelUkD7Ie7Y/zeRZbtr/QStTaUOscg0ssU
yV0HAvPHnz4U9rjcJg5OWpHc6uGNYjLSqrLXHESMGZNtBnEQvDKUFUSiq/cvdWbafdtPA2m2bMHc
dfSx0dUvx0hVYT6bgJ/Tuoq3QmMs92UyrfxqzHaWDnkisVt1rSHgJoEq7JILdyGWX3T4fS3Wfeoz
C6qEn3y000PJquccaB2PlnyvfdIjRY85Gdlj7bZiUF6cRnKa5RSlfqsaArcUaUwAsCl9h1499wzl
jHH0Se+Wp+boC6+RtQQVY0ncy51dztBV2sj3b2VXchDT58IIV+AO22ciJXBV4E5yDIhcmeq8qEPV
v0ztSCuvo0MGEr8gFZBRTJLYRN5b48Oeo7zZok18exl/5Gz+EH2vi6b41R4Cqd/8uP9Nq/4/SrL+
XnQ5EvCPP4Gn5r8bmKlF/DYuT7zPt0U9fJ1O/sDfbmeh/aWhhqekgSISA/1S/P8bVS3/MhGM6uwT
dbglKIkYVv+Fqrb4Q2zmUQHDomBbv/yh/xVUNb/jYOQCEkGjsJhJHTppiJgOv1Xf1EhnawsKuWOi
fjcVrbw3CdCqXUVHlOu2WZvdVKMzXFgkuf2jy5qLvplWLi5kByDU4WUBkE6qTjjcSqZK/lwamrkN
9bzZ/fYW7v/+AH/ncL+tKL9/l6z1C4abQyjkHayqR+sepUilysPAoK+Uda9aI5VHY1LqO0rrQEaX
QIEn0Q5W4FXq4j2m5iQf07ZsKrevmgxMbqi20TarIE+zZzXR9mnESDbrutOD7+rbEzLrFJ9hOo7t
0lyp0wSHYYTPMFcz7UNE7ma7IpKrmNdZU6jjxiKa9impCWJyJd3KElFzrwXIr5NihjhAqcSz2DGk
bi8Czach0XQ/VNitxEcORdewDhba1zic4yenC3Xp4YdMguuhyYfHsA77BccUqS+tHaHjRySWF64F
h9zBNjUkuhubBuIHHxfTI6lkg0Z+xEAZoGXeAHY+keGynTHQWVf0i1STdMFE29eNRZQUp3FquVmf
CFwnURrsOEpFxRp7bH2L1jVswF4bBS61oA2k9695WsKMo5m3UtNK3ucJFkfYz0NxncwjyU9xG/Kk
IjUmgwwRXTRemJGP10pePCVS2k2MbxVP7fH2H32q0CLgxjhPBAd8RcOxTYe6kjmWEdbHCyPtrTB5
NNL4gKgy47Hkcz3+jkJCUhMKl/oqncu8XeXoUq0bq0YTuDbYgtw1gQ7ttp2l8tHpW6VySTKIwi1t
BTPEdSpBFFYRca2rPJniT+gJwm9iDrDiqmY3DFcwIbVfyWS30UapFgOlYpe9q5a9/rFvABTzqgIL
80nTCEIGh3oX9BnZP4Pm4/BR/Jg+bpMqlN18cKc7AN6O5pKvNaYuwJgl01ErlJembzCOaZgGu1VV
tfU+yaoYq5U1dUSfpUH0haM0YYLvf6RnXpXDeVGj/0uBHmnh4VTgoJa0M8PSVtnQz7TwZQDDcFQw
LmXtVVQ62gXywls1/vhV0VGBa8tWFMTD0aSgJVZnpIhjV4EvrG9ZocSr0BCFh0VnuCVyhQwNYkOT
td1FwRMt8YDFOAV0ZkdO+RKIBAt2YtTPs1EPI4l+Zg1UW1WHdJtqafVJYBjGHUT6xGaw+VOONC7x
7U4anZytEezQLTco+qC4O3pkQW4B9idcdZXlhU2IX9BE11me4oTvRgIw3Kad/Ps0ynpzDXt1JiOH
TYJNwF/Gdwr/hog9UrQyLPMEEhr4cNtwdInnDqQbsL/w3RwMEh3Ssu+uzUDayMhKn2KlI2rSu2El
kI9lNwTbTjGhfuv3x8PxlpofRwlzKWZhkbc4Fh6OB7ORuSZrRMslP/0D+pp8nRhdfjUnBEO+f6mT
3SNSRVrTErkPB1B0iMsy9duJJOE26m6clRUCOqVbhck4+y4N64LdW9NUfJnKOPwwELp/QcwaXdum
pHiZCBrlFxbE03WYDTNrMF4ClsQT5FXRA3yqBYxezKAVhX+sb3OlLHOmjaOuTyDJtmV6qcX8tgAe
fgs4sGGmoJijGEq35/ABoFZKqowW7ZoaIh7jNpMI++O2LG8Fea6kKMNPh1Cf2Rh2rATdYk8mIJva
xCC7tKo5fXVYv0gwtZtZwy6ZWpNbOwVc1YSApTsB8d12MbDRiOz+k7jz6m1bCdf1LyLAXm5JSrId
lzhxEic3RJrZ65Ackr9+P/RVRAkS1sHZ5wQLKxcBNBxyylfeolR5dL8mUl2AnTH94BJNxm8jPvAU
olU9+2CkcWH4bpRDooGoPD5B1B7bfSG4tdAvMNJvGFQVhLQ1/Pido84YgOlOiix67CkKDj5kTl/R
hazqW1NRkAspFkdNn7N5SG+0MjKnnSzi5jaOtTT2yywrn8rG6q2AE3U50LfEMxM08wRyk3S0ubKs
T4452sYmcQwfGKyWZm4CrT7B1NHrwCTq5ej9Tfs2u2kXDS2ELIn2am5e69GeH49SnAsFhq7+mrL8
s7QnrgUqAmWxwygn3jvYgy4oznvwTi0065K5+M8CdaQQK5UM9ABiQavQ5/GI86THthbXxc4wp5Lt
mmiHWSTzBwU8zcuVjbstM76PZVNjAVtL0W0bP5ZagasacchOw5Iax6fUOAxmRocpp6nyrfFGdQhT
xZrusypqPoMSw92wpx6g+Ok46G9XnmY9Jo520drz5fQgWgfGRNX3eOZ9AlFZ77D+YK9q/S1GfPOj
bAoSMjx475tYqSE/5MufyUXNH3S2+KJDLNotvZ2GxqzF93WXtocqwnn2ypOtcc72yYAv82x0Uznp
NoepomF70uZWvsPtNcoPIq+1Zxd1IyQ+5t7K/CifcedrqatUgcT9G3VBrSh/LEoH81VpvMXGhC4C
b6JbipMFNPXSj2qSNu6NYyGs7LcFIuMfitlRuivVupNrALw1ii4mYEUYFuRPx+80mvDCMmSKWaMy
2zeNg/s4e1j9BI/sKqB5/a3NW6JHBVFqhZcSLm7Gsnth6yqSTCEWbeKLonbVTWbG5c8ZRsWjS+r+
I7EX+xYi+rIfhe7+SqvavFJAPrNf1/yQRcTnIobc7B4U3KYxRqiOLllspvtJNesXBMyzA2YLHloP
sbskVyKvk3Ixu4hJ64TIHBOQJTZnRIZQR640ZRQWadJYh16UmIgWqtkimOGm5ZfKKPunOFr9bApL
gT8smral6sZXQ8C+nHRfeiMoqxXeboSgMtfGr84t1Rip8yVbBsjpbaNmX8aqxI78ytpeo5zNV6O9
yK2NBw7Iui1OF2uAeT1xnLDuI6RT0qUuy8COukH6EgL1ECxd40if+8UcQ5PySe2rKnAaErTS/i3M
GCc1R5UGHpWe1Mcrj+esL2/zeARnHE/8KJyxLT3EbOI57ZrRCbkf6f/IrpuVMMcv/ElSyMMIidX4
0QJVtvqJSOUDsiQIubQLCPYDCOJM9xOppBnkdE/cT9mIPbk1tmUXWsLFCl7REhCaad81j7g6pxjm
oVvyV5mQzYCAZtRTCFXZKgPAx9oI2FAUhS+wbx++GHE3oQKJrfaLrSYYvnKli/G7RFkieUjx9d5H
qZXlj5FdyJdB9Ppvs3SLN69RE9VHbwWWet/oKJcMTWmAp1FXURjoPQhQFbHlPs2at3yO9HH6Wxk8
2IMVJ+Q1o6P0rJcxU7l7YWgC8+wMOm8sle6jmffR9yVzxk8CGyDkdxdrvBGZTfqKN3z5PW0U+09u
TOKvZlWRulPVRDirP3jxE2JPAx5FVFxtTmxQS8Y4pWAx47uKk5GSIRnqRMn0Gqe5+ck2h+EahPXM
zrW590CKryWeE7n3GO1jk2qJEnKMiYc0MpTAUirbzxNR3SIWo//nqJXcG0lxumyobXIybsL/vhmz
KqWgH46R1X3uJPqvcPH7fTJDo186cySMnx1jTwoqflu9M+yxl7kmOr2eR5vlTdn7XXWaiRPV8O//
xBdEM2am2J0SUkYw9wXiED4OQtatPmEthmXKn2lOk0+awHsWSlpy5R2chMu8gvWiBXPF5Wa883b+
Gd2tFiRIdOrZnaRlgBdwHUaVtvzurfqAG818ayipvHJCszPOzBlxQBveC/qmJ+el1SmKx6mhhEns
9QjVm6ODOMZQtckUdktBykRqNWA6KAs0h7WspOFTqmb3MmZl6eD9iW7IYa5U5UOOTza+lqtQVFja
Lmrr6pKaLwq1aRj/y6T+qhESVgFbzULcWMtqfIzLLWcAPsAqReMyx14RDQf7hpcLrjdCR+9TjjNp
AsLEw+azLV38bb1CXaGu5YJ+S6vn6Pi0iSZeNIuCk49AiPskY0V8qVvX/IuFavncY+H+UeRpBEXF
zTzd77OpQOoD+bDnoh6bBFrKsvyxOD1xHLVkTklaSX4NhTGjowMy0QgHmJaDj/oNMCpEYXRUMoal
eAAkwL3mQtnHrgDwrh6aWNhSmvaWxbsbZSJ/0AtSFN9ANOJHJF30RFI97ynaJLX8pbbRgMIdMPFP
81xNgz+JbFmtQZvh0yI0hAAmXLY+1Xnae77eivRHY5sA22kFgYUckMt9cCbpqr4NcLX1kSFDT1gM
bRbYqrp08DqAO/qyqAaKZbgnOb6O6U4atL0N6B16makENmak93hpdkOQW47ymkZp8qe1UB0A2K3a
j/lcNa/WKCVS5Wrd/1XHaSUX2RgHdZFqvWngDarAM83y45z09heMT72PnTm0n4XiyK+zZ+Bqa/YR
eNssyZEQ5OY3XV/qCgJHZaPE32ZNzys/GxUPR0GrV9Zu0wyMfEzr7luCJ7TYpz0NwKBHCEmgplG5
L1llo9SKcrPyAPq8Rb9pIerCirPGxa3E8/rOtmdVvcnqMnvKHQt4H4JR2i0eTDWewPlaq4xpbA0/
L1/gp+cmfCjbIQJZc3BjGzW7KZUtzascoKtZsuNmtP15qOdHKzEpbdFKu5KBne5eDTsAhOTJwygK
bllYCGzhWa2UXMjlCqDUjOWjxXX7LDQ0iv7r1NQ16QIIAPbdoyx4fDiWY5FbdZpzPOWd+xVEcv7o
IroV0N5uD9TnvCuR3OnUaC9QfqSLTz+BQP94PG00Bqe2cDavGw9HobKr7qo4Loh0MJi4PLXTmsl7
K4OYUadtQcdrEzTqaazge595UJ869Bbh9lkP1QRXQ2aztnPS3vyymDGuxBVeVR+IasUznrOgby4/
x5kbwH03wgGkCohyqwZp1Ka1mNmI+ps+zd6NgOJDBztXBEWbpB+jndYPOIGVULmuyeufGxr2AEwe
FpFxArhBwUwrDa/D0WXOyztZ2sNeUPu7nQDh3i3l3N4Ai86v5ENnMjlwEtQPqI/RU93mQ0onpFVP
BUtq0g3w1PQQuPiWDG12r7VWr92ms5/KcUA5zevTK3ff6V7FjmudKw/AQ2zlavXaXtvytRLGjmP+
BvEpSRTx9cSmDTW8oRHN98ufl/zj9LKlMwVBidxrbe1u1rSuzmWaL20U1rG9GlV2i/ozzgch/aFb
uvlm9OYJtVOriKvQm9xI22sJbIFngCsoAHpmTeEufwfGIRvzcyHlEgGW8YoHDmA9wCu8MbFgnRdk
wQqpG2kQYwf50Ym67Fc1QHXCDaxsHgo4EEoIeD1+TYn265004w4omZycbl9jJvQKz2qZ8FeYuOmA
Xgm4fwTJDyVROiKwSw2gFPOKVZod4ZQA2aVs9sFhWCjw4QT7YXSoyOwAkVFm9dKov9Nag76tGOKC
k1lmKkaKGjp/Symp06WUe35jZh/hh5jq8oesbJf+WYQEq2T6QOznhPsOClr903FGyGy2PmglHt+F
Re/bGLjeJsQrsXFvXFGHNr7mX5Zkbp8qCLPrE7hRFpjGkkNjVnTlpfDyJvaTasraAHnCiEbCkCg/
uUH6GpTZXGL3OS1oXHZzvkDuV3FLpImR9H9rOVqfOjwv3ghk09qXbRzHn1MMObNQJlHz5s6ImGF2
SZ86LGpDfkZoJFd209TMbSCFZrZ+meTYb5Z9ksBqRrYSY2khu/i+kSpqiZHXrE6rg7iR1AgpVVAq
JB1EXbI4LKMj/no4PKe+Wk/qt4qWCeVLcwZhXRNd4PMMVsVHzgbm64iDFD271mjabxNE19+cPBn+
Jnkh8K5NpgaOFDELidXc0QMk0uh8farNP5w66IXm2D/Kg1rXZfFkzCjkQXoQdhxGfcOvlFg5mvf0
fxbtVoszEPV9FENEKPV6kb7p1Xm7U/uYaivtRxdbTT1lzlbcjj8k3jXVQYAjwhdyGpzXKcUd3i9S
xePOJwRHjcw0UEBB68J8Ho1umW5sqSC+GHfRFOJNOf1Wk8n6HXvsJh+BLO+N4Mxy7lzUAWuESwYn
vSlm1WrvUso8im8jE/NmLMskKETgE4BqajKCz10jfYT1xgKxWHP+Pupi+tBYapU+JGDnh6BOzOxb
71bmb22JGg//b4QFcX+daPN5bd0NN5iZWlgYuNDsQgflPqgpjbXEO5T2FJRG8bEMzahTmZeQMZZj
NFqXoLU1xQqsOJIi7IpktEIvr6oXnqSoQx0f2AJBu2UybjW1N9MPXUblfN9QsfnvCYemg+DAEIN+
PV4Cm9NozrwO4ggMRXxSKY+0PfouQUOfNYZhM2e3Ak24Q16La9ftuVMQig4JFsQj50TJJy4ca3Ln
tTRFBEW3LkGU1EFL7VD3NZ09i2aBg6HZs1qOINnNmkL95YP4TGiBVLjmvZc4iTA2tTGnV7NeETl7
OrWqO2ustYcY0UE/9ZIfl0c6vVZJ6hBR5E4lnUS86TiIQRNLxLgK4cpZJmviMVbtToPj9Uexlu5g
NZaxH+fYuhJHnM6PKFRDsYoGkLYiJ49HrVuBAz0IslCipXjL1TBTOkCgZHFRsr08wdMrnKGoBVnI
MjkqZc3joebJKNR2pGClIxT5kNvxFOoV1Z6+B4fllLxRAm97eBVZceU2PTNJcPguwkXQ2h2Itscj
ZyiVaFmn8mptqT2qtSAfSEz368ILvZKZn0D/aTmQHCM5Bp8GAbttG8CqxlgdzN4LlR7xgu/NnKrh
MCIoQI+66P86XQYgN60cewk68uSQsCKSO567TwLUkxV0ZNCxxWp2teW8RSi4u5J3nHkZqze85dJA
hcW2BWs5NTIHoBOjUOaZfNC1fLmpCqUPTUROr3zxM0saNSJE2EDZEC9ul3SSWX02LmYUOh1KkHiN
5WFeYxjbtlJ5REtw3PEPvXFlSZ+eGUh+UUqGIkYKQk/9+GvPhl0sK1k/NOh3xYcVnHaT4amtkU8r
JorbrlLf0u7VOGX1Xn12OjW9Jk5w7iWvlH0Yk0SNJwEjzYISwoMahZDgyreKYsp3dcYR2i9pFD5f
3ldn3jKNcFTDLIzQWdyb+XaU/UzMrd0wAeCPQunkIdydcFhne82cCmadqF+tPmqvBMVnxqW8zFmF
RS1nx9ZOoYlhyU4z7n2dl9U7tG6yN1TA44oqUMw3jiVujH26/Pdkj3tIJYdd2+Mg0zaVt8mOFBsi
7irPDcPl4MwsW2ItWA4AFPsraIkzZxYzXGlqfEQQ9ZvBKtVBzIyNAkuoG3ZupSLto4DF3I3xXPyZ
5968Rb3QMX3b61AMv/xhzyyiVcgL/iF5x1pBOV7ITj4mGgAMKICzG3+uRjHcUt1XH5RCeFeGOvMt
SdNXOwoTZwFOyuOhctfNwT+B1tGWGQ44tvbKLipc8siSQjKatGru7MxMRFdOiNMprvRK2MvUc2kU
bAUhWqsqXMugTasJw3lz1Lb+prpudouXhHVz+W2edimPh9pM0ZBtn2HuSEc4JrcPijJTKO8Avrqy
LdbfOa4MQ4+Ds8z7pCp+woalTDnoajbnOxy5sVp3XfFU0fG6h2cDuA2Q2f7yvE7I6xZ8PGSxIEnj
JQOyfHO7DWRamd7lxc4Dig2QJSu9FN0WLppm5yxm8whFUX5uvcSb9m499M85VcNvNNe6Q0TjByN4
RVNwoKJmlAAYyyD6lzKqYT0WGbrpEe3by0+sn662lUhOZ8gxLYCJW6sHUp6MZB9uazJ2aQW8NC6+
JLJJ+ic8FgaasxCK0RJHv6ffQXJP3gYHhSJcNUoU+kevqPJDrCfOqwqAB+n9OpOUfRG1/tEVDf0O
IxfR57E0kh+qLtrnCawQEm1IfqAmXJTjlxKGoBPi3+GmPkKSpU790Jt1v9F7CgmX53pmgVPExtKC
xYfU0Oro82+fQHNKg1wIeQBzglqaA5V+nNz8ZxSZ+svlkc5EHgB5VvKNt5rKwIc6HirDM710FHwZ
DArGe1kKbY8Jl/uxdzMDzU19+Virrfw0kDI9mjUwltxKI0F+18yBk2vVDjuJEsxr5NDMufxsZz44
rAcomYSYQAS3xJylGQuvSXFyTbSuOqDZvuy9ZkG3fcyWJ60n8kyRKb6yzE74emwMeC4rROKd1bxF
SbgpJM8JzelQQ+vcohmQ6w+pWixt2FRyUv280lozQO9EM/ZFPuvOi4WK7R8dbVPvAZdIPGg7T8It
jGaJ7j9wNucVbxpI0eVgx97h8js6DVtIrjg61iKmCmBFP/58QLTieKipcQiH6obZz0g7dy3+qaE6
RinadkY2+lo1GGJn4qrwSG7o/b38CGeOSB6BuiJYbP57X2H/tJW44l3UoGMwm0tS7rtKGf/CsV2+
XR7lzAEJLxlUqrfmk7h+Hk+0nQWYgiVCbydeihaujabslnzGmMYZeoXAgWz/8oinW2OFuCH3QCkN
bA5aZMdDlkgN122XWjt1mOuYzLkpXnAbbh9ASEd7pU60jwnooIM1N92tR8Gt890YqS/kgp3us0xi
eGRLmh9SjT7W5Wc7+exwJihnApGkmYlO6GbXttmgjm1nWzt3EZSOBmL/1wXR0HinCgOF1XpqXfyg
ezN+mxRTQmEpbfArlx/iZH/yEECFV84W25Nk9/j9zHEP96ge3V09VRIYXLncAqcGrNMj4VeOyOXE
EDp3lwc1zkwdPjiXFzAGyqpbdE6vx1JBvSPaDcKE8iFMJN33xK3V4uvGmNc7r7IzY48zjPFJz6Pk
L2hL8dtOSvlLiqih2ma47ds8LVCXAQ96EdJ7LgWvZS6in3qtomGmtIvd+lNfyDdHApHnvEfMfx9n
0fgsR7N7JohNgYpns0zCqgTZHNic0Qc3nbLSLyZj+mXZWa3uVkvlj8WoQh1fVBkvt2jXOQhJx7Pl
azl2WIHBcyYfiZRH6w7ZbcO+Er+c+UaeAUkNrs8qf3GS1mD/0DZG1+1SB3uBCn3dp9424j2yiB/I
35I9GbV3bWGcnAicoNSeVw47eS23y2ZhCEQu2roRuxbR2puaqrH0m8kBV3J5LZy2VdaIaeWK42BL
cP++Vv45egZpN02jIWyX4oL4MNB3CZTJig9m1pm7Fjn2MPPEfOMlHYQCa8BRN5m0r5cf4twbJgCm
vs8O4BDcTBaImNG6jtntOk1NKfik847zQAbTLIxdbpvtDZDipLwy9ZMUg50HHx/8K+8XsYbNqBo4
IUCbk9hhWmPcVgtklFJV0lsbVtMugb5wmDvxEyqqevdfp7viygBs0IVELHh7PSZKq1cY4Ykd8G/v
u043KciHuTX82cvKJYwEJK5OyxTzyr18cv4z4XVBcSDzx9tWBbolKx0raoFia13+OCGbfBiNXL0d
eyigssyGX5fneSKGQUwM+JTOjW2g3kcEcryIO1OJ+nLBgijF9wMVqaxEErrERW0FTbhvTgwLw866
0gl6zWhFUDj9/NjKie58qkMovvLBT2k56/OgQEdhE+ECa6tsVStOMnGniJ0yz3WVhl3UGXjktOUQ
h0amYJCETjYImh4WibeTSbbisavSxPABbmwbYHklPqhdPRZ3bmsYOdJTjpC+w+2ATPhoFwqeL3BD
D10h6WbrypL8XQrwRHeAvbMnSaT4QzGB+hNi6wq1p6JT/S6mmhu2k0o4nNepudyLYcm+KwNIDF+m
zjiGGMuLL7kuZ8fPTJWHKobUfkqGInph2RivBqbFPR5ebfJVVfIJGq1YEH3LTQ159SnGIErUQAwP
yGMkrzAurMdFlvMcarSvbrxFNXIguuA1d1AyjCi02qKe/kQdNcKdBMp70OlNVKkPbpiuX5bjBfXS
eSI9OEXaagEOuglmiakxt7dEx/FeS3GPwh2kzr5UUqP+DwloMW5gFQAOGo2+1Q/5ODg3NHRVFwRJ
Ob/NXte1O0QkgM9dXoTrGjvKCvnmKKU5HODUBsHsHK/BBvcyXaZNveuQvLsBtOQEqpktNxbV+iv3
KrWB08Go8FGoJ/2kIbZV3kCaChMCFF93OTlj/zoqZvW9cCtNo7mwYuUUqTi/SFExshumdPpOdGTo
nyuh4CRBaKT+ziwxjeAdCzSu6mXs3tC+iZTQVZVl/jBEcf8lp6DqIOcPNvGuUNRJv5dVVQIm77Km
hgXkjC9e39Va2KHJYoaZuqCbr/V59TkrVCMJmhaEkj9NpKXhCCLviydsyMMrAt/92DVA3jHZsY0y
jAD8dGGrotLnDw7snXEQzRCMKgQsTNaSQmCXUgCAMuVgWfdWl3TtDQmv9zRVefunSKsFeybMulS/
AO74rKEX4WCiosdxIHsT+KHlDcrnmpNA3TlxUt/T50QekxxAtHdOu5R9YBSUl4KJdYdNgFXWP3K8
uEC29DZam26ZINhkYeNz49UiHvf5RCeaM8eKCWsTDS8pUIYYhtFvleFcAAoJ7ZK8cB8NJZfbsrQO
xeFKVjdpaSPfB/FH+5M66NG9mvGIeOrUq5SFKSert/Zoo0A6T1bW+EAVAcPkSqL8IZxp9B32QfHD
WPTuN4mUr8tvaqn5iEMGPgwmKJwBBSBrjp7nuMVwSuIsjHoc/kHfwd+bIz0cI/0r4Oa7n6c86qdD
MmcCIz+srXq/wA4SbhV9MOuuMSQGZUXME+G/JWDvDzEC/C8sbZE/dWjdPBexoxW7OYLeEPaZt9Ak
nBpzL1AMHMNZE4p88LQ4/4qQbGoegCo0Fnbq9hw6sqvMgBhQyECNTJwT9ZzqnK8VmMUdPEtBt2RW
Z5EdBL6oSRA1c0ToyB/r0Hm0og5eky9w67QSnnOZmt0bPcfM3UPDbLsAuwTrZ5pP3kTlW6PFGSXG
8hhjJvVJtKr62gHiQENkjDN8InUvfbWUOotDaxLiJdcmyEVaPvBQIqLXFMB5mx+Bt8S/bNgTse8N
UUkBRozxn9gZId7zv0b6NVQqD39Bra+fRVx0xbMx2AsOL9kIlrrvciPMCjm/DulgvVw+ds6cBCvB
BXoLsBhibP342DFaHPhsXQw7Kozyk/Si5HaOqj8uhLtnagjXMEZnYpm1lLc2CWn1cNkeDxdbbTVj
IDXsqkjPY58uB7ncpLQ59Yd82AGqaffwPYvbCsTaFYGA7djQhJkj5x79Brzk30nq/0SQhjbG1UDH
eO+Vav2xwto0HIxZ9TWzXD21BIZSAn1Xr+7cKwfu9mx3KEKTNhEgUy0CY7U52xOlqtwZ9PhebfL8
KxY/MrDQH0bEw22vXCMnsQw1bHREyQPW1g0NrU20aPXQOjFscmApOd6NRc3n0ZyjBclJodwUowWc
O6sHdy8zo9/VFrbCHqqmX4tKFV/+29Jan2R952tWTavL2aTxVIwcTCNHZx+rWXJT69OLm43p8yxi
KE+laV0pq558Xm+1sWcpvztco+9yvLSKrDJkbNgTtMKp/UT19X4eNfM1l3l5QyAbfUT0tPs1OLpy
81/nCQJylexAz4G+2FbLi5cNtSZb1H071NYHkdUVDiZd/+TkMV6ZaID+9+E0UgFMlFxK31sxuhSE
AAbzjbbvaTz4NRcV/mi4Jw0SN2McxpTfl8c7ybxWyg53Dsq8IOjAN61HyD/7Jl31wGxl0fYqGrUf
TU9mT0Nsp4c68XD9nFGO8iPPjm/NLC9fZ+wWA6GaNHguP8YJLXV9DGQILXINqjRwl48fI24Uq4TK
q+4F9NTqiwA0ZD+qTaa9tvPYcIBJK5Eh1pC9CXancveQeebmXgXzjuRWYSxfdYdNv2sjQ1uQk1Gl
hcRP2mIhOJNO+6Jq7T7AigVBd+A3sJNwDiE6noYMuODlyZyuVZvCFhVuXiplz22LlbIB3pdCavt6
sOc5mGfH+TIPsnnKFTu6MRQ8N1NqsWFhT9e0t9b9/2+cCRidQIW7BB7lat++OYH/l+zbNx/r/419
++aYle7/sn37tlywvup/7ds3J5J5zr49gdA7+/93bds3L9/6/2/bvn6ZzaKktMMO51jmet4SzLJa
TAAD1SnozN65R7UXr1UaOpTXlVgLoJDjPlEUnkokn8h9Z+Z2iAKAs3P0THmh5w3Tqs+UK5v0pG/G
90MIi4IA2BB0qrbXtqbUJQRgfQqsvpc/9EKMwPbn0fsql9pFVjhSMG9cNC0OE2VYYuRzdRBiZaMO
t5NqKBbOwmsLcVEV9UmhJ/W1sVPj44To3ehXVlpd03Tbhhnr87K1wcDRRVktcI5PyBF0Z9WP+RxU
Tio+AhJL7wYA9SGEtPhKRHNyKbyPZfKtKJij4bgll8nChr9ctDOaIEv/oitO9aIoRfwQF+Pwq41V
0zcmyHmt3qRIiTq4ww/YRFw+Rdf5bFcNzE1KY+8hxlba0Y5Fgx0ngI3aWP4oWoqyVYecRtBlWfLd
qnL12qTXiGUz4DsgBi4dd5Blb4LlTtXxj3EzXDiXAddqMSfIsrnqjdEiCcdF4YK3rXPnNjJK/VBO
3Mf5NM0tZehIPv/nua+lcXIzBJUAoK2l838u5dGjO1nH7bJq5ffMuF/CODOrO1UVM33QxbgSdbx3
l7Zzx6GMUEADcIwuxPGACnXniPGWoKcudquDL50eAVyjf4eMIDh3bEXB8BaKmFp/qIbMDmLVMH8O
FqwL34QIQ4XUyDpy00iZf40ZLoR+NST0ox1jUQ4T3sRYpna436CZYj7HBd7e+yVu+lvL7i35H2M2
lu8qQsLipXSNyM7m9cWzQOCrnuZgSirFF9LOH2fXEeCTdS1Y8si8okJ65irA/NJGmW+98E/0XtsB
9gagtjlonfzn4El1DxEaY762LenXFBwSRXvN7e3kOKCPSji6aigRfVNeOv5i7RJ3BcVZLFkGEzOy
pUTHw81jihD6NfL+yfTWoVyQBfA5qF5tZXXbeEHCU3EZShfKPVBvCYKtmnfcdjZ1+dreLbXor7zT
s/MjmVobdivdbf33f7ZAhN4Idkb4dppG2v50sT4JRaeCqFjRcZd320nQxPzordD8MmAW8hmPh+oy
lv9EQTV08L5+zYAmBDaOEO2VGPekDclWpszAQqG9qq+N3uNxGsgg4C3GOiyjaLmzRDX7k8eLDfMl
jV6MKK8CEufmBz4y41OizfGtAaMuQDiRlDrqHes3FrXmHtst+8obODlr0e2hWEj3YdWtI4M/frJO
b6WOwn8douDlfSbpm3Yx5Dt/7maq8xTHrgilnvm4yMWjj2eBTTNYw8fjUXat7bSeYeXVjkMRSUvC
GdpGEON0/X8wNRbt+/TYottTHePjeYF7V4VIuGDrnPWtL2KUp/paFIdmxuD88mI6NzXycyAH2BNx
/GxOUmRl88KaHO5laLufkxKiY+U07YfBca9Rb7cNVNYTZoh8MDRwkLbcIn9cHUKHuSx1CLKL/rkE
awhQbTJ+rT5B9wLg/iOFz1HZtyhu79S8769cG9tEZ30ApsmRt+KjYWwff8a6R1IyqlDSsZ12emgw
NX6qurK9WXnej8s8pXeSTkDie+VU7i+/5tPwbR0bk1cSLY/ttK01kcvWUP2iimnjx72D2pyNBxc2
SheUI9YUrUrudUclAodzhL5V5xCZpUSZI6Pa+ZYvVbt3NICaDy2mRF/aGYSlLxYl+RHTpaP1PVbe
lVvpzDF69MSbiklcVkrckduH8BDEZ/xuxluZVNneKUwRYprofh7Nsr3yns4NimUmG20FIFGTO/5E
yN1OGbkwtjpelL7NXUe5VsuLL24p5NOU9sM+HmWxu/JxzpyoGMjoCBm9S8C6m/NkmMsFt8CyDhMY
88n31KOHH6iij7IPVkUbOYwyWKZh043mbZGI/IdY0EHdwTKdpo8SiCW9yL6F9mlgBB777thmny8/
4rmly/sg1CH7Z5duPkZdZNNiJ6u+ryydPWTPaefSVLjVRG+9jcOkP6qtWe7dBvPayyOvb/wo1GLh
uoDpaPxBIOfDHH8RLUtxOJiLBjKZ0dPyUrGA50NYX11kXZEPaH9eHu/MTFfNHb4/YoMrwON4vBbu
V5F4nBIix34P8E0G5bSOAhjb6q6ckj+1amSvNPCugUrPTBRFY/D2lCEsFK02J6FnV2lmUYzF8g9a
pmb25e1Q5EOoK4p5iMEmX7lfzyw6SPEoTgAlBUu6dWgDhttGdRTzYgn49P3g4oZ7C4jQuHJ5vWc/
my+I4AbBF6UdOBPbIkuTY3nionWKsTCdD3ReM/swDpG4l52Q+2yalEOrNMgbJxp6TbIa+gcbbcOE
klOJ4VhHXU1qenYlZziz0/HlWVNE/mJJb75zNnt0YQaccU3sQB8HHRdoBbzFTdVF4pNnSeO+y+ov
l9fWuVdONIBAJywSosPNLpJLXugV8HlkEEQVFnFhPzhK0l5J1U8W0koigAXJ73OgkAEfr+CsMbHd
pbsdDHGWPWpamDm+kiUq8M1RG64cDGcGQzWdOI0ePZ94SxZB47+WWDC4fNYqDaoRuh6Wp244TYN6
N0T6NcbIufE4gVaEKDBeULzHk3MaXejq6KD5hbZPQIDnHQDA2w8qoJcAA8/hyi10RoeacMEF44L4
G5ibrSroQoPC0SfUsLmuvSlQisT5vSzIne4E+gOoV8gOUXpraQD86HFu+IkJOBKlTuj6O+rR0y6r
9c7YKWgZrPryNI2tdEiqPUIAyRu2CAj36jJGi9MAB+U3aZPfyzRtxgOEerQ4ldhpqv3ldXiy9iEq
kgi5LEUK59iAH79EA9xmVTUIp7mWoiJNQUdRBku7VLsK7N9BoxO6NyxpHS4PexLrMSzBDxUKWk4c
kJsTrqCP5yoD+tca6ttd0E42LLi+MhbiaOndXh7sZK+tg8HUou2Nfjsa+8dzLGcVzJnFYOZKdrtx
MwfYs6im+BoY69xAIKBRIISFBjF48zIbheS9VUovGKtIBmZvy091bZVfL0/n3LpH6G/VE+Ec5TUe
T0fataEW8wxfW3f6T5pcNfaGog6WJlVv+xZR6MvjnflWkIKg5AAo4qza5stdMoxSDGUUlFVOvXGo
RH3fg5bR/Fqvu1+XBzuzHjk/eHfva9Lb4ubkrI9pBrMLFWxNPGjG/IbdJpq3TT7celVR3hcs2Ssb
+8wLXcFzUMnhWpHIbc7iOXcckhsLbSp31B/RmUWDZ5m4BCB3/1pGfbiy596bx0fXIP1OTHZAmtPu
8BBDOP6Ck4VAfU3RN1hqJT3ICP2piMgiaIeSAC8HNRkXgPz7DnTk1DlIiBKLHGzZjTeT613D0Z2d
PsHc+jgc3OpmPWUk7PWgJ1HgIBdzKHFnB+JAYbeEKEAsn16Z/fpz28mvMRyFJpIPCk3Hk3cAiRdL
wimqVJGl3xFnO4+5J8f7DGGMX4u5qDetMFyA7dpgXBn73OpCgwdcOxcVRafNlzYHG/0dB630DGVf
XLua4h7xugIAayc+D2VGpz+VCDleXtPvLbjtlFec8BrPAcDcyoUKfZKQ6YooqLrYmj8ADs6H78Bp
wGQNtTKJOsgsYwaH4nr/w9l57ThudO36iggwh1NSoVsdJnVPOiEmuZhzKl79/7D3wR5Rgoj5DmwY
GNslFourVnhD9sFtXTSCxkHrfilzi1gD6tMOSvhJXORH11nou/oUuh/DUB+bIKb6KY5xxHjb9zrR
1QG4fS/fsbcRdONwivSfc65GL8nQFbTXext8kjnYIDRMtEb2lV0CHgF/4RUPqTI1mZ/MhZocOt1t
4w+FYwx32KiWo9+0ef5qhxaAMWm4YbbBF7v6TZBik1UuHUhuo/NjIdUwbssEoxGYtLax4PDa/+yw
zE/1iKxwq8/598kDDid6r7rX5qSF1++NnzIFCDH6YbLawpdf+SyY1EOvIr2g7FhbNGi9K5O+nfQg
Dov+y1yPGFsiejg8INFsLagcITbS44uuBN0tlZDAjUgqijXl+RbURVWXo4dxZze1ZtDP9oRFM0h2
mVct9Halo8ucVHWR+SQhDf292NiiGl95aEoOsmCyc9RC1to6KWikZhA1fpzsyl1lCMmSLVJte1BM
/XOfy3SrKLi8XhbvOAIhXXQ8Ky9AnUD2GS5XBlKX5fw4mnXuA5nOdp7Vb3V+L58O5CitZhahkrwA
0OqR3lPZqEaAhjl1lVrIg9MnPxHNi/c66lO729/9tSdbUIsoRHJxMh44f5+2MiJRzl+BxNNv76Lp
fazcrPyMcrX85zuaso3clPNKzwI66/lSctAbjMJtpORTB6zVVMb9z74vbOfAmMrMNrK3y4PKapiW
MADkumCYu1rNkTF1RWSQNKZ00Msk+4kALqjfNMEuYo7RBdx1qYLciZZW5U89G5WtS+sy1YLzCANu
GVjAGF/XT15jOshOj0YwVY36MGez8YlD02886LUDs/BHMS7nm7TWYnWjBQG+ygTKLBOaX74t0c5O
DVXZF3SdXmePoHv7yFzAlLiEVTiJmrHMKSElL7/or+a92tTFUMS5gf6l55YHbdL7fde3sJjAC74H
vqAqQWanOTptA/baDDooO4rwm8hq/f3t33Lt+EIy1MG3EBPQ1j7/Ka3shnoaMyPo7Aj2bplHdzFk
5eOC0t3Y5ytLIXO8NARw/mPDVxn6JA1DcXrbDMJEy96ZifuJSjx8bMX0cvuZ3iDr51cxdc7S+6Ru
RP9PX8VYYAnwcaBGBM7UFB9ptVUvIflPRUYgY3iGSAu9j2DGyX1ai3byp7hxULRpoRn7kd3C6omc
oscPui5t37IlAE2tDlGIuf07r23I0hxA84E5JlfC+d676Iq32aAYAYNViAVJYZaHKRE5iuq2vqlj
u9yt603hzDHFoBvO/btaLbHqtO/a3ghyQOyG5ZeV1uNy52pz9NFNpSmDNBHNNyS7mAG4ajX+yV0G
krPJfxeo5liKrc9geeHrX8RBQGwBgjwto9UvYn7VqHmTqJAskb7um9H43YPLPsCmUX51KaYSvmsu
GnmgIWLg0YV6kHPXbgTwy3QRatkSuknXgTys1auiYvZmTxVAucdBDv5EGXk/F1XyJhyO8wI6Fdk3
prL5xgTv2ildMiFQeyh+GITY89cfh2aqhE6uBmGRjSfV7JIHVB2bVws5jBNdUOhXOSqJUT2TAmZY
l38fVLW8y6Z4OBZNm30SfVp+H0s1O1lorv25fTivxF5oyJxO2h2UhWsAo2uOWZSXqRrYFbwjIyuQ
nUK+KdrApV5iKXD9YkYB4YMOGVT+1SGQbliiwgYZrap1G2I2VKeg6aRb+GKq6iOqR9NLReWmkyt4
6rtktpLDnERiIzW9cgkwkII45i08Py6C85cx2sh1OnGjkozl0YuexvUXU4/jz/ji2A8TeNWNw3/t
1HHfAALm2uGaXd2u2iLBUbmg1a2mdN8VriP2/ZjlJ90bq/vOwI1kYs55f/udXj1yFnX3Ir6B1ds6
DRt5mmqmYgpsrrwfyxzsVKHM/FKZbXEs3DmLYT+E4X9oPjZfc+YCuPzZC96f+lx9NsVkS78Tag5K
wO0+jDmuEBtf47X3YNF3oxeBxjGd+fP3UM6Mm7g74MUoGEv3svLetySoGbKpXf3BMedm45xfW5DD
x+QL7Txi46okiVOvRxw514JBLwUSBLWMP6DfCep8yu24DvRhQOLz9nu49m2BQKQGWBRJACydP6TS
Ompl1ji3q+hdfYKd+Bma9fjt9iJXbhdS4P+/yCq8pEWEgxhzrwBVVKSpNGah2t7zRJH7Di7W/8s2
ApCFHciklW7j+SOFc8OtX8BnGu3IyPcUgf245/zLwBzRZB/aKN/ffr7l969uD/o4qCRY5D8kh8vz
/5VEKbgQKUWFum0b6/l91UPDndLWOvTQN+7hw/ym5VGdMOPYcsS+trEod+rgIRhYQtU7X9jrEkxA
WlcLQASrJ9DoFpYXzfDsNm27cVCuPiPfwVIsEpes1UFJAEkoNpE/aD0xNd+0HEsm5L7RIGGwXBgo
erZSHIQBhynQtUn8qwAJiSr5gkOs4IMEZbI6QwlWWGOE2nigw5o6CDnBD8Qy5n2tovp/+3Vewj9Y
C/1KWH+LCyfKzefbWjErK2H16MFs29P0YA/JOL1Dww29W9MZ2WRkbQAzF2raKE/pZPbqfdPiVJpn
UldA+BvKz9CUWnfEsaT/HKkNJiK3f+K1UIFRM6Qt5ulU7qtQAYgJwbEyhBYksu5Q4TCxM+aofYTj
8huDhXkjQbh2RZCZA3QjbSY/Wn1SuD+VqTUtwrAZ3rQyNz4PEP/ucOnOju5YO7vQjLq72494rTSh
R8jYgxdBnemtnrFwrNgYNEJTMTd98cVFtPlkNl497QGmVuA+E9zO5DArvd/HhWKcxjZFUlKJgCki
dqdHW1Yl184FhSggSyp6qt83v6O/vnOAB1rJ6VMDdFNL5agKCz9gRQx1+jWrKsc7NLWD+1hXGTPK
pwIxTp+sPmF7hsz8mmi5PlCbg4/21akQM7B3TWwd3isBnTjALYKECWx9e7Vrna7kVMutShuv1mjZ
IOCIIKA83H45VwIP/3dUzZF2RxBoLYbAWLUfUP6B+00xcT+Vs/U57/sPiGgpx39dicC60COZ/puk
Vatb2MOcrenEIoSsjvkxFm7tdzTKfySI2H66vdTlKWcpZlK8xmXF9V0YAWAwWuzzgtzhwndjBXNS
Qg7i5tAPEDcdD5Dsp42dvLooyMBlzgeAbs2nr2fTkRiy2QHXEpYImk0jnh6Ae/DSNn2Mc3O692pV
34jml/GDxGVRviOcL5ory6/66yRnsUANs3agQ8aefscdXAbZpFrHuEY0xcGOL7i9tVdya5NWmPEG
EEShcm3+jQ3Y2Kf0d4JGyvk1yiuG7IC9sk9DPbf4SFXhk9apYp80uvEUTo58aUu5dV1ecFcW7CD9
cDh2TOUWRMn5Y0fQjUcnKmwyrEpzUujSOiZoIpmGAhUlC8tS+LPGSfTO9L0rI/1dNiMMy2wIHpGv
J3b9n1ra7nerSKruycrH+ouGhmB6iKwJT592UKbfde1iX+dlpnuKTasxTlBMlNfbu7ncP+f5Bo9B
x5TtBDR7MYnWImniF4zejaPVo3q0cy12oYzqJT35CIomSO9pOvSEsHSf9kaMrQ89CnMjhb+MNLQL
aP/R2lAZs79l+H+doUa3WzU0hIWQf5O+A7gWf2j7vts4qZeRZqmHHayaAM/Rnlj+/K9VZljJlYIO
VKBOo1Z+rIcqU3bmovdRoearblw6V1ejC0bVBeP/woAawnufCtszAw96e3NicjQmT7Ou0QBz7HZy
Nj6La8vRhNJQnkKDzFoH61mdFlIXnhdzF7vfbTcp8ICM4q+ljlLK7TNz5W3p9DVot6CtSRxdtbw6
W/aqJjFbt6sm+oXmofa5EvFGnnAlrLAIO2dyMJizr8IK4GMXVCWLzCreLoceLe4DTb3I9eepwZko
dyft++3nuhZZztZcfdNINifCHQon8IRrn0A1RHvDzqdDZ+jiI51N8WmWmptAUh6nYzJF6gOCUeOX
27/iyos8+xGrjNEKm9kc3kS87X7epwgToMZTNV80D2HLf18KDV3mp8AZqExXS4EdbHN6im4Af6XR
g4FNPylzTYBSpnmrN3Al0oB/Bn5HxrPUiKvNrRgaVl5WgZtQhsw4VlFmvDetdjaOnpbX6c6LdasK
7C6dxzvdHiHUAqsN841B1bXdpSHM0eXpmBatjpUaCrNhLs3ZTVv7N0TP/AdF+zT4iaGPWxXxtTPM
B0L5DWaXvshqsYGxPWaAKYtlENmH2SieEc9W9lGqYhLuyn6DL3vt4RZeMkCHRRNuPQ43RRwnmGg7
QFMcRdsZyojAuob3awgEcCh/3D49b02s1d3Be+TyQPIWjux6L3NhAc7v+UQp1/m7OY54vdVdjGmJ
nmX6p3iOJepLNuHch01THNGpp/VSAMDMuiH6oIQIA9z+Tdd2AK0k8sjFKZQOyCrEW5YiotlyIPGY
/WsumiGoGKZDy7a0jY/nWhREXoat5jSjObcqZFxvRliSHmgQJ2PzPaGrfqqKudhStFvOyGqTafsv
41WqSChrqzMUOnIG5gQyJrIW1cLF3/G3qNOUdqJiGH6j5Or3BImYjRh/5WsFgAdsgRJt6amtcn+z
NHBbAngYjJXpFoe5jepDRF5pHop2noUvpY3lvK5W4qVrpgzdl7FztI0fcS3JIlzgWbtwsRci9vnr
rOep7NEPwBQ+TJzwhGy6Nu8aB9iwj1+l8jFCwiwOJtsRKH2ATBE+EhzziGV0F7+oWPz9kVlWfgNj
ywb2yOPEgdk7jvARcTDawFVbCGYOfjn3So1V4p5UCAWHpAHi+e+fJtZzNj4shD/0EPXzJ1Hi2GiH
GiDXNBnejvE/wieZOv+2k1rbaD5ffgPWcv+DzF8QMeRT50u1ozGVQ9hFOyYD3aMT6+OuZfLOVYIT
z+3P7TLAsZRLZIMs70BQXB1OrXPSSooG5ODQ18fUnqSPzmBxTHFW/QBSYwsEc/nN0UVdkm26pcBC
1wAchZrKA3mrBIVnK3QQMIdy+2QL5HS5gZibMcRcPCTphS1G9H/nidjeFlnbQRJRDL2gVZxy49Oi
ejaqzvvnY8FSdAHg4S8l1Bqg5k2DW+vexGC0BNHSVH0PiCXMgtY1ysPtd3X1qZaF2D6wGmt4fjgY
aM54EppTaIeHLC9rtMeFuterZitBXMcsvlVUMUCgAPNjxL7mjkm9m1TkXPL9XBQR+rPRTN2TdXdF
rdP36Sb9a5YY80awWJ/Fhe4AsoMqggofbOYqv7Bq5AFJEMu94ubYYZWVtU8BIh5cc9I/R/UmDvTK
Q7Ie8nhQp5hdr5FwfW9OfSFQdyrovxwr20CKkMx4byRtd++Eg43mbr5liXPRyVqeEvoPMGUme8sR
PT+biqY2qtEh3Kp0SueQnlrjf9Ks8Y520lFJca0q0pOsIAj5qjF0cD4oUus77Jjsr21qjs3/sOsA
yl00DhdiwzrlaNXcLqQdN3tH8aLPFOCIj2DKt+vidt435bQlbrM+xTz/wmiBkUYBxyle1R5pOxRK
4pg9x7ZMPtY1PiV44niPGOHEx9sfzFv0+vvqZa1FAmSpqOhQUcad73VcRc5o9Mm4VyvVuMMsJLuv
+Hd3IZnHfrDybp/VsXLoukRDJlzQN820+hOqRABoE2YtflnY8lDb+mj4tePCmJINgjE6hOONtOei
cll+KpBEurhLZxsV2POf2r/18Hpz2Edtm33G3lq8wzpbvphVPIObH8X4rS4jdR8phvXJw5vgLu3D
bmvD1knD8ivYpzd3QmYX68MQLorqENWHPdK5aXoERSzyl1wYqtxnWK+1uzqV9adIa2G/gJXV1L1W
pflrb8zaFzFUurGrsYN7HvFR/JUACT7NiTk6fq1laMYi3DF8AVgcfjJDbX65/a6vfMy0H5nMURoQ
hdfzspImFqi9Gfkcb3Ieegzm9t0QDw9qRQskwWrzNM/p1qxnfZuxXVRD5DYgeKm+1tulCFzL3A6N
ecdN2p1uFc3nshLGphLuGpHwtg7DbphAdOguwP/YmSQ2YRPHpbI3JFwVt/jWtLp4dtvRxP7Okc1d
XlfdIYvMujosunmPoRYW/8MeAwxZEO08M9XX+Rn1cpQnLRdZl9rDccQcVe2hmaNmR28qeSSr/K0h
qPWPCQq4J1ITQJBv6Ezadedr4p3CbDBjzbhIsvusj+TPeA5JBhFhjPZZFG5BAq8E6Dd1iYX7BAID
C7HzFZPMtvtcnRGvmeKMrrmszWMUzWW/Y0uj9xp87dCfUx3nrLKzYoRqzUh7rhGA/g60Vvtz+1xf
CQzM4ulEcyMCuacQPf85iHvmIWI6494VUfRDCkKEMXb5HaUhvkltr++KQh2eklRdPO+9GE9hU3y7
/SMu0vjlLYDuW4pEGv3emmvteUPTSsUa971mtNq+mvHdDPS88B6kZ6eQNhqFH+K2ba34jtk0H+pZ
ytwvpWt+cISlS1/vxBCC1Giab6E91dk+0SplYpitNd+kEorIt4e0uU/jPhvvhiaNUyQoI729v/0k
l/LixFg48XQOFr1u8t7z7RzQB40Z0ox7fIBzzDfm9i530cyH7muwd1KbCLFNcp8iJrwHIa8ZWIph
keljY4wEsRpnftXF5b3TVvkpjtRqrw5GtdF5vAzDsDBRCiPZI6wgJ3H+I6tuyroo76c94iEtyutZ
5HdFieMUbnYfMfCc3g8Fc8YcW7K9PiTNxnd+dXkURJa+MvindemIfG0yAfWWezsauskfEqOZfOn0
TviYO6XiBm2jzRLrucwa/cKcMGnDFS5Utsqg5ds+v76hKZMt8KYgP9EYPd+G2XKzpV067LmFKvep
LQDYPMZa32vvMImjUyoQrX8P/RTHHiWKlGdLH+Hpd3HunbyiK9I7hv4GCgvl2Es/Nd1h3mfazKSw
lvUU+4OG2KTvKYXXBNMyH7k3QmvEVQk1vPreVGLlR2FAUWC4W5ORToWZ44IXlgBVtFFJ7uo8ZXyX
DRFvYeoHDeK9FT2IMesRGYkb7MUTUYs7fXba8FCM0u0CxxPJfZMVCZrJkRp6fplGc3saOrv94XZT
9bkJB/OjsKM0fR1BYt1TXDDlsiVpMSh+szpK6FSPzmAXoNXRQNvooF5mZzDSsQmm7IRLB8n/fMsH
2SEsO5h86LaMHwuTxk9Wthxyvdxif110nwgqZMLgB4Cb0CRYc+7HBd820IkF/aHXjICWlnSyq3BS
6v0wMfUGqQojyp81RdToYjJuzvAin2bnl9Y2tXpf2H0bvXAUN/vjl5UIHHWmYaA3FkXpNQcW17C+
blu92/dzrHyzIvjqmIXWP8eh/QIseUs97kqe6gA2MyntVGY4F1i/oQ7VvisW6VdhKDWugyLmwIaj
6iS7EpxfD9tcLY1T2HVVvvO4D5rdkJeZdpjGdsj3HmyKAQL9gEFdCdJF8avZaF4IqO3wfgin8P2A
EeO/QswXHwCNLixf5oL/XmNrHC8ebWzUU9S/Q2Tck64f6PKP40PVRqG9ux24Lw8m6SgCkQRvclQS
kPOD2XK3CKnP5V7TaudED6HZu05ePggILRtLXblyueRIgpcAuOBLVoWo11C5WQ7dsdKKhkfEpKov
CgSbg5nZovI7lr0bSTMPXJoCI/o4eqWH7G7UZZcJLYPRRUFlIQstWKLzB3ZCT8ewwpv3Ftn1L7xd
nBc4KIruN1Hl7BVM8wY8Ga3S2bh7LghDyzQUQU6NYvxNT2l1Q0YlopxhnVD8TRg+n3qhqs9NO6cp
Q85JrQ5R01bJMUIl9VsSDcY3MOPJi6UxoT6q2ej+wXchel+lpHIHK8WvgTsemzQ/6at68rMmBss+
OFLiIhkSyBUDZXwfCywRAleSXeXLObcgDZcmppF22Fu/TKVzv5aNFEgPoO8yn+JcnT42U4w2mWv3
FehMftkfu2kdcLLh0A8+msEivW9bJ3q9fQwvzwZHHkjAUi/jfXoBVWxoUOBb7Zr7IaJobYSnI1ur
Vo2GyGQUh3sjl8Wd6uLOrI1mdUriXo0eTHxyvt7+IRfHg7fEC6KJBl/HgUF7fjwwRotMXcTzflHr
TX1sPKv7pmu1cp9CJ3f8blSALQyKrW58HcvhP7uUl2E5tIeFWbI0iVbnUhYWYjfYD+4nfYyK0xTq
DdcahrZ4bfZW+lpFdiICzOq0EefHSW4890UcYHkYURimwZoH7LT8+V8j4FQokxalLYVnlnHhutaE
V3iiHWYXgdrbW3zlSWmALfhrulIgU1fpB3bx+BUVzbwXLsLAyJFgUeELexr3UTPaj9KkKpEe5rJe
FG4N9t54wattBoDiIcaxVLW0+86fM45VCjpRaXuLntgi6T+WaGZ7Wf0I0quA2I6rQ7FT3NC6y+Ih
VxjeFGgqFw46a3dcNBb6zjl6YPdDKHC0VuUsd+hu68k+msxw8O0mMz8p/Hx3J6M56Xa6k4SH3NFK
ddeppS73bjnqFcPosno369L6HheRCUlBq8V/VTikXlCzL9iyNPmWSO0FHpgQhODS0vxe9v+C42ON
WmX0oQUu1O3H6qQqmvZ7Mpyoee4jQd/dy8tSHELLmX9CEp31p07AEw8Yck3Vvqmlc8zbxhSL0/N8
h+RbEwYNHeHiX0M0PxPEKEw1iiMXANT5O+qruAilsWh4txEDDSNuZozKWtednph52ONRDD3+mK4+
h1uYv8vkibWRLAOnS/7EnGx1OEe0iojSnb6HgaPMqJXG7uswdPK/XuuJi2mMNLVroqldM+d/ppnb
VoE12Ok3E3NixBPxqrj9tVyJjFjMMi5zwBUAyVyz+V1DlImrcmINNP4/lsUg72duCn3nFIl3R+FY
njoyhh0khvSDN8z6bm7J8jbeyQUuj7MDcnkB4C5NRuZt5y9FSxuXzZDqPsV7TzlVqopCFUi+odqB
oAl/VY6gPW9aOGgORWOld1GHTIav4gdeMnyKuveEtNbxjTo31aDBtmGLknuRXSJVCMILUTY8Rxeo
/fkv1Hs7dvPSQdYKIPtziVMu4pCJ9rFH+eA1y6rs5+03c2U9ExkhMhqyNBLMpdz7O2RizIbZ2gAL
sDbDIhBmGz4kipJ+c8QQSd8p6G5tvIXL0ImbHg2r5T0wfVyHzrG04khMqblvei0M2taLU1/N06bx
DYmHapJIPAKScD6gPg2x9J+fl6J5ge+9zbXWcwR4QZXlxpa5r3rUDzuzC3+01NAZmUWGzMQU67Ox
cfgvbyUN0M7CpmeaDl5odSsNszcaZi2s/YQW/Qm0aF/syqxRHho7BhL2z89HixPowwJrZ1Syfp+l
jl/GlLOY29OXbkvFHzJkPmWc/8anpfpHCgqsDG56EABoW+tQ55d3/dfx8RwxaX1ciwM8ceWjN2qM
cRVTtnD/QusUYTa1dXrWuc3big7kUEpurnhntWJRCqKnBdORkG0/Oq7dHeKuLj+oQ6KCLddLpmv9
lpMbnXYe5O8rd1kWTuki6oIKMxis8wcd0CN34Lm5+zpGSIos1qsO2VRPX7Uebyq/8jrjt6mGSgI/
sqQ5k+ItcfJwZ+jQDg4RZRHU1e+RAED7arBbQ8VrokzvCz2JPrT8B5TxhQFCRgKO/1hHRvHJxrYj
8VU17X+jclGMh7AUi7N7EbU/uljtv+RTN8Fvsmbb8YmdvQiE0qoZzmIxPq0lXcjn2S3rP3OeOTCT
kN89jFi/qKc2mfqTXtSOSl8tjr5HEPjh1rnVIH21LZ0q8ORIj75UGlIHtxXMYZVqHvBpsRyTf26H
HwKfzWbxsRDDbsk2+F/hRvmHU9KjxzGTXAdxiSOGLPGCDiKzK/+kUYOZTEIUrf0mlFOyT6OEB28a
JTR32Acp7z38GKJ9KJ3kUVoDwOcR0d17T+Vd7xF58/LAVozkFwUC/JaCgxb6k2c3ryFZX7kPEa/F
UM+SWu87I1qa/tgb6ZOixjiulsYY9TslA0Hux22OyVerNUL3Zau08/McClRie8idVAmmgQKqoFX5
2PBnH8IcRIbv6YMigqkolmwvjxHSpdwwPoBW7ezDUFbDH7t1ScamxGy/ltgk/OmGkuqFotfFZqoT
5Vc9b2ThG6OsHzA7R90BC5nR9e1Ei/6jqNCKXTLZlR70/eRJnB5hb/oyN+dqV1Mz90GCv8cXB3Se
uEuQQrgLdWcsAqlhLuWTZVQYuzUq9T1RReIvVJZdEXDLL2P7MItOTEaEwWqMDP089RTrs8SoAg+W
gdmMn8UT/H1PICvmJ3rfoVTZazZaV57SOKgeDGAaKyuXv2c1hD89ylmYuALE2VOPg+JLD5ztvyQM
rd8u3i1ZgLMpLTc7jaeFAzdEj3Rx0++JlfLlavkIx6anOLZ9Pa/sX6W0YnWPworzWJde8pON82pM
TGPi8u3weNHiXfBTWEgzSYZBzCW0ahX0ywAjGb38gPYRcr+atFuYYtFAtRKD9fXoQock8bReq//U
SUwRV5HMfwHuEM7ObMf8PchngbZlVbp3VbU4xkWuO9u+HApd2fi1l7EORBC18FJMUe+vh9BW2uax
EVbVgQGgFpQ11nkxTm0/+iz+MkTmVx5Sfbm9QW9my+eBjjCuL+W9Q8+JAuc80JWuQmypmuqg2qjQ
+kYZlndTWqsociQtRTrKnnYR6JR6+d5UENPiPeVwbAq9a62glXqNOKNwshcEmwp9ocDZ4Tu7Hmzk
ZCbCo8tkF5suJ3NfY6z78p09aXVFnWEzQXRxiHofY9zYPRnSm5ljTGWza2E2zR/7MjLid3pkSIx3
TQCEUxTjfJsrUw+KNEw/x64p/oheWF8sHHNiXLK9SZ5SPat+zIyj+l2EwDaAILejsasOEfMbNxHF
c6xM3c98HoRyoLFAo19NtO4Ff0YzOxZs8Uc7W/oVHtje9j5sCwewpjUOJwvM4xj0jF+/9eNAB81J
xvjJMzEb43PMi/9QhUPQbED2BTU1gTQqQJ2SviEGvHBECwjzyjhHdPGcrAdWXy/Kc3zFw9dq0qZx
Fxlp39xrjd1H2FRCd6fV6WWv3QxY9jji7QTBQQvzrRr+8tAhNkeezNyfvjoX6PkBsGBVFyOT2mVS
qB5mLWeU1TIStzodWJoK1DGbzOYfcySuV7ZhmZUu42WgBueLmq3WgsZx44NqlNXRbZksuFKReHSq
07fbJ3w5wOcHHKgmHVz0XMhcYBueL9UIkWYiUnFXrBuFgY1pDY9KZdcbCOfLbURFCBg1TA3QP3y8
58u4DItmO+vEwQDFoO0VkYbvFtzOIrAGdmaQdfyu0ewtCMmVPMWlKIadzJsj11yVnbCjFWY3cXTo
MM/Zq2LW7pDlNJ5pxLTPehiBiLu9nRfed7w6F+PXBZRGn9dc+9c4Ri0LYRohrnO60/7s56n7Rvet
avZerCTeg1uL6C43ClX40IbLr90QtiT8WgNfoqvDMPvstDY+YznDm+e08PTuziq9ug6GEM20nS5a
pQraTtNeNS/Xu6BlnvgrBnBRHopqSukJAkFwYWhUluGHsULDSxaIwSh8GoMPn0S+oz1sNr4X6kZx
cKWlPkZpNbjMpTITMDQWysquVvPiQO4/J36eh0OJtRjGUly/KsrMRpIZr72iUzFHWdd/seH5h35Z
K46yY5ZYMTBUh65jDChSfZ9NwqyDRFbVp95Ch+GIFKg3H2IvQt9Jk5X2E0ZGE/lTtnBKEpk4OH+F
RtzuVLPWRgqgAq1hNBXEQ5PaGtSwNrILHy3e4jnUxDTsEORDi7ws8jnZM/oY5ZEL0/vdeExG/Nli
ChLMwkt/STUrnrLKUzcVBy9P96LTy7wfk1fq1fVH5NTWFGrqkB5mI9KtgIiRvMAxUwJgw0O1z6xM
D5o+JKJGpXbfzr0SeH2K9lxWulZCg2lUZzYw7v6AfpVHR1bjV9C98X3exfKTEZrOg+c2SBvYahnv
Jjm7vtcgd1IIUQSNbU7PmbAKucubEBPdcgsj+IYIOQ8S3ILMFCDHMfJixHj+9Tb5bLjd4CUHI9Gj
aJcK3aDCUM3WD+0aT7Nhqh1/zofsjnhp6L422dZriTNdcUTCeUIlBS/O7x1S/9XjYDR6/jwtVwKo
LdJ8KrKhtJ6wak9RGFRzch1DSiwx9DTH0Zz3NZBOq2FRvvMG0T15USrHnVsZiQzyyXExEhaK86dr
MuV9DqH3NzSGasu+5zKQQBc2yZGY4jBbWfeQJtzWncKU6cGayuIkkZ3zE0EHuUCO4EhfT2zcAJdh
mfUQK1nYNLgWrKEMKBY3w1DV6UFHWUN7ykmH2ycvy+bj7Xi1rsZJAAmLtKhZjA7QWjvX0sQ4F5zB
w5Bo3lPiNOUhU5v2nWx0ufvnpZhOI0APxoV27VpLEsc52nPWlB1aGKJHC8msvdna7nv6MFvWJxct
YR4LuPrSyKHnz0B8dd0gYopXvBvHBwi2ffWAnFp0Ekz/vedxmJi72MRUCosOG0w36W2quAwxc7iS
lsQ2fbaTO487MHsOE2CjO9XqjPdemvVE4R4o3I6T0kSnrqsbd9coGt5R9oCosu4hxe1qfTjt6OP0
n2vLXPzm85nJjmQg3QUqLIJXWbaGjfcyjc/HsLVjZ+PsXJ5Vmw/nbSgLWpMB4PnXWislNnhVlx8U
VZkKmC5e730KHUV5ULKGClxxh9HaeLlvFf95iFjAIrqGszASHMyqzxeN80xT23EsDomSep6PyLR+
bJPWesh7BYo9tP67PMZarBR2/8dUBLZRjRs3gWcU1p2XaZmPYkP51BSz3vt0Xyn2vDzDsFBT+8LX
UZC4u30cL2O2jQnZ4pmLhgHz61VMiwwztufBzQ68O+c4dobpk4XuqtpiJOw0+UPnRP/qcEOVZcHV
AGUJDpq9Wq0ZVm6ak+I2h1E6AJGz1LJecfwCEVYxCrv9fEvidv5C8DnHCxjGk0vQ1lcvxMTK2xrK
tjwgfevtySj3XpkdcjexyLZy77kUKnpBoaF+u73uRURhDsyTIcRjoY5F5/38IEA7rNNqGutDI91X
+gsJXX0zNQ9yMOqPt5e6OOgsxbR3EWKnu0ecPF9KgRWXMOOqDnMk0z9G3ppHmkn5T2b/dGccMW/w
qS769sC6UBlhzgS5i5HmuldrEpKRiCirQydLsJ1h3i5Q5AlKYFuPx9zS8DmNoo4/58I4MXIsDjl2
hhtq0dd+BkxEVGf+n4zcGnSUZ0PVO3nUHKIkVn4l2sK0QCBkDxN3GumRjeaDiXUTomvSxTtOBQ6F
Gk+18clf7v5C8EC3A74Oyc8aHiYZ9qizNfcHNdPkU994iALDR71HEnxU+RUKqL/b7/viSHOcKQo8
HcwxgWYtaKTBec7DOG4PaK/Od5lOYxMP2+SYi2l+svBg2BV9MQeM6LJ/pC7A94BI9wb1oQcA+vj8
pA29YTb/x9l57cZtRGH4iQiwl1uSW7SSbMt2XHJDuLL3zqfPN7rycoklHARBAhjJ7AynnPKXpera
Y2z2qYJxtdpfSoPkmgAo2aMj3dxMYjBdZW+DVBVl3evBOLPSXC9me7RbTfsGvEA5ty0q87UOu8WB
UvYwDfMefe/22DIoQE4diRK0Cdb43GaA9hnriGLYFHB8nKKiA9J26jmr0m7nfdoaSpAi6ZVQXgSn
ez2/Il0I5lWnPWpyZLp9P3xT4374rLdW+O7+htnYomxNiLsIJhG8vWI1/6jHa3WT5dWoEkRGknWZ
x6l7SXr5e5RESEwgH7BngHO7QcEmiUeQG1dDpnd1IRn9JGGt3gFtkMbshxWkkRDrtU3XNmj9uuqU
aw0cmybzpdmwP/ztZDWQFga6JhxI/hIh5R+TjZLW6UAcEqIqmX2KOPaftHLKLxI3xTucyv/HcJx6
qEOOAH7d6K7qIB0HBTvapV30Z31p8fqp6V0ZoZV+HYd6T6Dj9lRQDuAzvoroCFrI9fRERDdElcn0
Wng2Zm9OF7noA7/u+8pVYL09FpO2B6USH+zqERX61nBshPg/KL91KJUTfUzADnk3+9k8IuaWu/OI
in3a1JVHNc4gjxMMJr3Mnsxq2LOpuz0pQl4boT8EfIQXrthvf3zSCg6TXeltBjpIRSqggoAZsMF8
hybKzm2+tbyOUA0ndBYprPjzP4YKG0sdqdtlx3FShqciJf8Kstx8zqPc/l5k9giQcnR2LvSb1jwA
PsAAhF/0W+mHr5FbgHCsRVqM7GiGY/kSJoU5nTBWodq9WOqDsWiT32FmSgNDn7LnOEt6t8od47uN
e5+32In87e/OEGwbClRCxAQLK87yapMlPR55SZRKnqpmhO6JY8yHWApm5Kett7ms/74/3E39/XU8
S9SKKKGTG62uepmKDWESmu1LCuzT7Wpotm4XQPygWUkmTDNJ7oTGY4SXI05kjdO7XWfIX20qzsAo
LG3uXKdtjBpAbdKPb9CHG9UTARewG3cpa7AtOz9ZtNz/PBLiJ2MGQA2e9BSC1qqkFqAK0HcarbAp
KM0PZjNNH9Iynty6B/nMTxv80LHKs5loF5Wqz3MYU5m9/xvWp/L1J1DQ40a3oLCs5cGj2Rh1pIIo
r4wmCPhS2I1EtXpMmrxE06hSHyw4tAfqiclT1uKMdX/4G8zN6/i26Jxw1dP8XJ0VK8LMHk1/uoGp
LfS8sVryEvpvP1VNordMcbp18zApv0az0ryP9CU+csKHnzQvGyxLtP5kUPw6ltkwBIfEAbF7/weu
z/Lr70M5mVAVEZAbWcpXfaVEtiSvqh37oKdBCiRYiUAhRf0J5+DZV9q82Rl0/faJQVH51XlsyblJ
8q8vkCwGaNzS1vKRzDA+B1VZQjZuBl+trM6fZXN56ON49hJpiHbi4fUt+TqycBtCLhp47bpWUuPs
2Fh1Rl1KUQrXSlTLd/LAvmhGsaeEszGUUBkVHDmB+VxHoFKkxsWss7I4VkK8t8YUhMZUjpM/lk2+
t882jhqDQbcH4QV4xlntM6hgMX/DAA5Va7a/xlXZ+WhO9r7cz3JyyNQs/I0FuhMcR51HkKDNcNxo
Kvbehq1Zi4wHaxpmD9D3+tM6ypICocQ0ELxrHHqOMtFSDqLAemxtIz/d37xbg1HJBg4DaBrJldVg
ZWspQd/noe9kvQVmWAaQ4w4QOZBWp4K+J2G7NZy4yjjLwmxgDWAeSlWuywbrndoZ0TWWsvJLLuOv
INGd//z3MxMcFagGLCTE5OtlbJquDx1UjD1JR4Ak0638nLQxvf6J9tL/GAotR/GoCruIVb4StGPF
U6oFXjglDj3tRQu9NhnyX1Ji7hGgt1aQoBNSLP71LKL48z8iBxxKuxz2SeDpOiA+v8AdtDlRvwV/
ndt5N+yciq3heDFB8oHSUtkn18OlWs0HG6XAU0FoPkfmmHplRnMVmQMt3FnGrfcZdDefiiIRRd/1
SxOrOKz3bRx4iY4szSPvYfcpMEzpg1Ypxe8lSOvWRYhIf4PuiIXsGcUskKKKXXnpuEw/ehozATdg
ONEpJpgAjWJq6dueDvvP+x9885cSQHBKkenjr9WxAbc5R9hJi2OTV5jSZjbGmlJQdYektvT34OZ7
xQ2XqHpb1XI0+zPp3kHqlcGNg7Z/Y8Sk0DHsMm5o8NEHQObL2UKTZk8dduPtFjoqQuYCqX1kFK4/
X9hq+GnMBsz80JIOrZNaT8TejtvIo3ag0KP7JC0QyeqhNdysHfckRtYpIY8FuRGgfQ48K7UuwYVx
Pjp6QrO5aPP+2PTScK5bnsVgmt7gASSd73+XzeGE27JJrYYZr67wxpgR4XK4OuFCXVQjKzzYh4RI
bTaelOnvHZ7F7MRANCAp+60f4XyR1XaUgTgnXRcfG8SQDhjYRA8QfVWv1tKqAONh9B+XIas+h5ZT
PETtYD40w2LtVEzEMVyFiZTkqD6idQZI7MYko1WHnkK35GmDulwEsYZSmN7uLO/GbgIzyb1N6MxB
XRvOEvtIThiokd+Dzz6nSxS+k8CzkPPmlZfTbTx2/Gh37hblSEP1bxEpbCbyfSIe8Vahd7razIUm
9bY2o6AMslk55nQZ4a4ptls0ke4btSGT+Ed7nJuNCxAjLsB+4m5n4NWgnTIJi3Z0SGolsA5I/ac+
QFjrEIz7999GBAL6luQMwXlOy1r3p+ESdziJka8szRJ7CPman/R6nC6NLkcH1UmnJ32KF5d6KFjz
McWjpgvjPfPejRlDGKcZhtUJjidrNa24depSnczQj5dROXUlASUqONn3nkBt78YXYepq3+rCIpm6
JvUiqm/X91MM1sxCnjWiBJaVDxWioB8bU+pORZxm5yFv6y9Z2jniYS3gQOLG+KA3FbY/mRF862v8
LacO76CdhGfjFoHaKkRrxU8C0Hr9oxp4DLqWoIYrOfFvrUUqWAsj+2DmQ3IqnXbaCeW31ps6IHBk
igFY/IhT98eLvtQ6cvaVSqd5KtDxHMFccT/XOBpF6Fz+j7lReaTHCRwdztpqMASyWrpUPYOVrUzm
OjlPTpbYD2WBWaLXaN2edspW+obUDZRNA8FC7qZVHAYgX8oN7Jn9UYuU09Bp1snCohCpi+AEmuIt
hgamQC9lD1CWDLeCUfC2bQbFb+OhviSa1h2GsAoO9ah/vf9abC08eQxAMwQqCUlXj3gCQ2K2Uy32
S7m0j8lifm5qFT2zPgh3PrGY43qbUxglWgNSh6LLKltDIkpeLINLBLmTt2bU5d87GDwUFMruySkU
88WwsG51LCl799dTpMYktDNEqAgJ4npvBZKpB0FQhL5UKPVhmhZagm2Mhao2/I9IEVkO+LIobRIv
rjMJNKSdvqvq0C+HYjkZsEAfzQgXqrQt9pxgN1476oNoINDzgue1lmKbA9p+uZiVHSrBsxaF2nNZ
LtHfp0Y0BmhacgkKNvBqe4A6j7LamEO/iIcQlE3TO/UhGeG5trG8J/m2cedwLPn8rCDF83Xoi57O
rI4xkQsyZMaTkw+8aHMBFTyukTjwA0nvdnb/1ojEDIKJQiuZOtz11kiLKVcLjWt+rsvgZFVL7YO4
+R2ZWviICPSeh8/WcCR9WCSLDwYt6Xq4JpSXobaM0G/rWvK7WtEP3EOdGy2R/U/a2nsSOxuHG5IF
aAZq5bAC9VVOtuDMHrSlHvrmSJSbBlRgzBlqLBim/5HUUiyGXSETCJKyr1ayqAFLD7rAH9XV4sdB
2XhWHhsvAY+T/9fnmT3yypnhysKf8XoVraXDP6vQMr/X1MUNg146yyGN5giM0N/XeSgvMZiAqwBX
XA1Vx7FjFYue+fNYt281NTcvMEvHp2SRxp1HaeNbwc4ySWrxduFtWt1SeY1ajRnFqa9GFSawaRdV
nl43Re2mwzDtLKH43au7WNjnCB4OZjKEkddLqA29vVioHPqpIdefkCiuH9tw16xa/F9uRgFUSlUb
bZwbUzVw2r1QPk39Fre+05zY9OVrCxLEYoP8xSLUtdAH8NJ0yj9EjfW3SExCZfRQeOEJKLhM1gDQ
ms9ZOcmY+rMZjScsCF76IM4/1v3UPZRTEuzslVsLa7pvVNURJCD7ohm2euAmhOUyTakTP80bgguz
C3Rqw2Yw+lPg5M8d9cSz1BXWodfj+i1gveJDC4HoKSx0PfbKvNa+6Qa0j/unZeNTU80DQAZTlYLe
+vVTCtVptLxM/CUeZATmJbyConTPl2jjcRfdcXGrwbW80UQJZoKoHmwEn3pGwQMfFvC9KkkJzJwl
NU/TaJmP5khEY09WvVcI3jg71NG4DEiNqAavQwvsfWb0btPMz7I5+VVYUvgUjrV5ie1ip6C2NU/w
H2DyKCRARVpdc2pvDQUfGjndojEv5CXpA7GAfKBmrx1GGoNPgdElJ4IA/Xz/O268Hby/9G0EyBcu
pFiDPyJkxDTkykiYI430+HdnGO1hnLUBMhPSfOceBYmdC2lrqlScKe8wA7Dh4s//GLCLFrNeRuwq
0l4ejoh4Dm6bxHidIXhzTJPafgmGpXJVPSxf/sdUwUfRAEVvECTR9cgkOzG26iyyjoqZm5bz+E9r
z//O8jSd7MLZA69t7R7KBkh6kluTT64nOsMz15MJr9fBKL5MjRF6lJvB4EWd+vvvZyZogYQaIsKx
V+9JVTSzUyxy5qtjYWIYVijfii7L3w0KcpiamTn/3h/v9vBTZaM8AwCMgj4P2PVKQnlu2iGV4HjE
S+oB4SnftMOi7yDtbxfwepRVmAFkNi3KDGvZRs2Uf4aioLamFFB1R1oG9yd0ewq4Ygh3RY8ceP+6
EqFIzdxG2SI8ACLrg6nK/0pLaZ4dLEges2LY4yvfvmAMJ5AVZG/wCNalQ300lDqVw8K3RUe+JElt
3VQ1qzfytDTYeEOQco1R5G4TvBeeM4SFdo7h5owdagO04xE7eEVm/XEMqwBskYy7uw+/y0bGrtCr
j8bU9pdAc6RTht24tJOobX1O4YAsei/oq6yj1KHQ6bPYjCjTTTukVaycFjtyaEDpe76220OhW8bN
zSd95UL9MblWrxrqO3Xh4yTe0WemX/Gssoa9mwWGs6NYtXUYABuJZAbgHonT9WEAitzZoTMW/qjj
Xkg/qHDhl8V7YYB4Aq6jHgsUsIjjuL1o261OQ9o4MkbsbeHHdatTmzIHNzMHk/Y0pPpEm5zjPKvZ
oVK7+WRHAd3+QA1+3T8mt3c3rwB9PAAkFCqJfq6nKltpZJe2mvtDOTgQHsmkCnR9H2C/Jl6gT/MD
m3725TkfdoqwW9tV6AARXJF0ANe7HhmC6mIFFXdBl9rzGyOZf2eGOuQobiWmB8JiPNyfqXgL1quN
qS0dJ4GDAv93PV6SYTgRyownW8vPUVn0HlnQsXiaos7y+oIeZR910Q7pemt5haDwK6oWDbbVoCVO
03XWxYXv6HSF2oBwCn9b3LNzI33ueyU9pbETf1KkPvz7+q8FxtUAZg6FSpRjr+dbxOjbqQFUNqnq
I0+TivbNHAFC6mZUYbPCKD3TTOadNPlGddERjzGddrohbCnqodejSoVdmYNjlD7F2SlFHlrKdC/O
TO1froiwO4QASIoHCYZw5zZWAGYJ6k8DCWaYtO9VO6p7StViG60+O3AQEJnCbhLw2XoZCAL7RFZK
fzEaxa1Ta7nYDg1B+EnBzpu9OXkHXhXhvZARWPtxGFXYGnqblD4iv6NfJTmUpwiicuUSyfKgGvHw
VI7R8hlhHKIwEsbhZTbC/lTribNzN98AcfkSorfDy4f6DOL4q4nPiB5TRssTP7ei1Au6Jf8K8K18
MylBfLZhzhJ12/mDgZ20XyJ/dISrs2cRtHGRigwHoWCKXCJuut4NShdoiyTxG0ALjG6YDdC+2vJ8
/2BvzRSgFgO9kkUApV2Pwm2ZS0FKmh8S/MnPdWSMz7o9OxDlm5R1Jk6OStcgEG2eJDOOPgVZ0oyn
itpBtPMGb4QBtJpRGxULj7HNatGnRJphpIWpvyhtdelH1T6ncKgvRYnet6QF2qXsBmRLNEwRJown
d66b282OzLwQXDBtQgDKOdcrMcc6BN0B7toy5xhbgD32Jk2K3KGXGv/+qt9ep68OQXReUHODv7gK
vfHJrlDuknnsTTSERlOpPg1VOiMOMOUPUpcZn/XJROLg/qgb35p6DnbGaMOQsvOv1zPsykaZLJou
XqF06rnFqMlPcRd9xolr9CFxcLUtpvoBiPp5Hu3yUZnafOc33HxjFtYUbTVeTsAga9yllKHs3Gmw
/2YlBlaWxij8Y+5aZphfDZLlKvZivI/KOe4o1DdTcaD8uqdpdbP6/Aba1LQuSUNIaFcfepQERhBs
D36yRnhBb608WXqNKFQiWS9jnzmuM++yNm5e7NdB6cvqQOUpmazSn1ZpEX+tKkS1pbLCuDrqz0GF
Ang755+lMBhOO99aTOLq6hbjwSQATeGAqliH8NhtDpqJZK4nZbnzqczM6tI4UXtBVH32NaNfzqhc
jhcCButd0yfBC4QL49x3Tv9UTrL2bx12s7Hz8W8edFFPBFhHi17ELWtQJNdJWmpyI9iRkn0sUDGB
Ql90nt5kk2s4aOimFshbdYDvcX85bs62GBkp2df6DMH6aucb0AucHoSA12VOeKibuvGRRU082Dp7
GMbNSYoCLYEZsf26gpDTIUZcKBg8y2ykNzGoABdnRuXc5Amq1I4jHRuhHSDT7d2JiTdHZkiRzxPl
r13EHXMpJKdikrYxILjTTLXyXIAa+y40I0+lYjcvoOUbhJtzWduJ+rcWWHzbVz42k149I2pbdY1Z
Mjbxy9B4ZaxpP3qIx9ah1J10r9O3cYLFAyETmYFDoBx4fZHhkzsV7YQtjp1X+WkZIoCYMQyeD+PY
jqdSy+sXa+5B49/fRZvDEpuQedCmp1xxPawspZrTTCkqowhjngJtNM9qMcEaSZb44LRz5El53Oxs
3Y2vqvL+i9419Hpkx68HxUwDUofZDV6bNgm8rqb3oauieYTHFhYxQ/BTs8bwoVuS4Xh/uhvfVBUF
DYE4IUld35O0yJUBO5jBUwu5eMC+NX1ra2P2S6kUdWfrbtyO1HJ5D7EiEh0i8VP+yFAR1Nc6ot3B
IwREynJAxMdvm6p9yiDoPCOG1Pxzf25bnxIWP4Vf4lsBbL0eUFVDzM3begB2H+mHMJmzh0xzMEeW
C1SJm0D3+ikudmhmWwv6inagBMYNsb6TuY9tBU+WASRWNB2DQW0uY9WGj9h3Rv/j29GJxXIJ6D/N
m1VJSmY5TQ7i4DV1j0to0sjP9tjkXmz3wdf7S/m6VqunhuIXuTiVWlqla4lq9FBSnu5w8KRE6d/2
UpqAmuVNMTwcCtH+izVqDcdZV3rTrSUn+OqEQ/o+051ghGud9NiJ1SlMt0CDmlwHU/ZOk1TJ8IpR
jqxLl7WWg6BRoH9xCMmfkyIL/63h8k2oJdBlcGfKwH8NJqMeSxDKiUP5m4dqdZ0h5FrJ0eBwlfaJ
/tRrXXtqnSGFbem0j8DC97r2Nyxbul/km1S/QHZz0tdYS1OZw0WrCTkb0BS224aQVH9RNMsMN8mC
Mbws3YhYHSspJPvyPH9J6jlDPKVTJ5SUrCB+Zw8BAt2GWuDTTAm2mz9P2TRhSmxgQuEu/TJ8yAZl
3ImaN04uOBJhiMf55SZerRRt2MyMAmnySNgwEDWcOPzZ9EbdvbVQgghdjJljaydREPfsasOJfU2N
nlyRmF38pj9uC6W3ER9tFSQcq7l6CR3ne6eW6s623hpEmIDwYUDdUWu5HiRvl1jpWpWQIcp6NyqQ
hmmqIj3cPzwb9xBVT/Btrx48xhpotlSVHcudRCyqDMuZTzo86AtKwaMczuclh8yeRs6ezNvGPaTR
wKEcKGhBpAPXU0t0FM7zhTgMMcLi9zAv0XIMJEuj35BTz/n7GQKigwLEPiH6XVVx5GFpNRQVRq+q
4qwGu6dXL50SSZ8bDbBmIkOatpvQ3GlubLya1JPBtNNQRqR3jfZK2hGxWOgk3lTKXeeFhRm/JLPa
H4Z+zFWwtEb6JOtp/JwhErzzTbeWV0j2wdAgPKHfeL28oPVipXC4PERX8NA3sxye6Hm0i3B3k8ad
R2Vrn7JBmSqf85aeUcjOBGYpmjyrKMyvfHNVRdnJ3Ks4bk0KqRD4gNBlOXar47A4Tt0Y9OO9aihn
WF1V+zhMlXbBOdnaM9ncGgvtIrpSYNToCYiP+8f5nnid5bkH5ozgQu7DfSbcaRW5eUoQc98JrzbH
ogrNw0Wsg3zM9VgFXGxwjQgXNooUnxDOJjWl03uZZSXZOQkbX4p0jEub7q3AXq6OXT8uI8xbToIm
L86prfTgMS2aamc/bFzIFBBhx8KqFLA78Sv+WDxNLzr0t0d2Xx3RyRgrxaJ7aHQ54gtRWV9mvF12
gv/b2h3SSOCBiVDRyKQWvlpESic1TxJi7PJcxQjfRZL8C8qU/hyP4fy7SwLwFUrSVqAsHJTQ/TQO
85NcS60KG67s9rSaNr6pyH4hmoiblcDyegmiPARoVSRc3ZRR3GSa0V9H//U0IkS0M/WNoQSlm4mj
mUmhcPVNk3FSE+ocg1eopXky2s78p0e/Dqpcmu0MtXGlGUJxnM4mhx3IxfWsTMpufYM7lgeEXz86
ff6zU4zxjWSp01tjSeWzXWelFyMf9O7+Db41R95bkNiIrwizkeuB445lDDTmaBhz9AYjIlQ9l3is
MuRstflvu5yCp846ijoJ5/+VDvHH9u0tPCb7Gdm7wmrTf9IkQaoQu68nYLrJw/15bZwUjiMTEt7B
4NNW97ReI34oDyqyeqk0vplbRT2+okdbdrivNeMeLm3jrWc8lCa42LhB1z6gqaO2TqUYPe8CLhEh
FTJXGup/TCXSzlbmTA8FeufH+3MUJ28VKnGt8e2ECAA2XavX15TQ/EEbvfdmQ09zN6RH2Lo6hkVv
QgyakbzThvxzxn9rumFVlx9VOy2rw/3fsLF/qLYBHeGkQOpci2j1TqBA3WOdQyPNf0S6lL6fZWd+
Nu0u3gvct9ZYgPGgDAoy6zqRNBtUj0M9Iq+zZ/Wh1ybjAEUKaygLFS3ITuQkoFd2LvatRf5z0NVG
6pREWUKTBKgyi8FLF2t+yJYQlnGUWm7gJPEjPpI/c5JfrwAq8PcvGI1Q+q10rvHrukllU7SHIjE6
Tu26X47IpuCdKrkYO7Y7u2nrS8L6oCtB1szTsnqYkZMX/iOs7hQN81kpyLsyWCh+l5jKzlA3fjBk
RCClSb4EEIf+x+rWKdWwaLoJLzV8ftrD0lTJ4yKpyWOD9cG/pYURreskdf2+7lXPSPpzX+Vm7eZ6
E8NhyIyTCN6JoBfzZ4sCfkLO3RvfEE/Yq2iLj7s+YVDxBONI8DnX0hD2tKgmMO4B+flC+mlNEQT7
IpXr920F/RsjaeXDXx8n2BJcWXwIlmYdRoAZL7oU6VoPZlqM3nLWPufUlI9WEy6f/8dQcJsENImW
jLPa2NpIva8Z5N5Lk0Z6rxUpOKh0zrm36kHbSSQ3njceF5D7rKIQ+FrFELQL6rww5t6r7UIQ7mg4
tpzzj32RSEdURatzBZjSbaYu3rmfNuIyRiYqI6MEPrmG76hzS8HbQF4100zpHKSFiXhVpOxcErfd
F0AR1BQE3IP2IrHm9TOKNeEoLTobWsrV/GI26TvLwoNttEPpoIdS8H5EiM+dZPhOYaUXrmQVzs6L
t3F+6WvhMuWw0qKCev0TnFnTWxaC10Dm1OqhreOeQYoLbvBvReE4vhQNKZ3gEQOBe+2E0IYyNKnE
Zpc6s32O2iz1NdjGR26VvwYniKFo08MiIvyEgXg9K1sOs2ihKeg5lRUc4oFyURep4SmMut7ryJ/d
LCz3qDS3vMzXUQFGy8h4kGCuIr8lMuU8KrTeG/pQPS65lR7CWFve2KWinmkeW/MRi5j6mNqJlrpm
mZWAcYPhKcAg6KipyXgapHEofAvF8kMGjsMvQBcEO7tOzH11O4nAXHSc+AcH63pt6sYOkzBTOFVt
OLztYwSz+7R0LvACkw9VZjvoEpvy+f61sfEeCkFA3nSLrwEi4HpQHZ0EoFRss6afhgf4Js3XNFnm
Z3lZktPQ56nhqkEfPCUNMgJS1GOZev8HbM2aUyZQ66h53WANpwTRNzsi6tGkyT5lrT094lKEOL0e
934tRZq3qNKelNTWNSL2AUoF1KTYi9ezjju1VUvK8/j+lPYzkudo3+ODd7o/ta0jTM+dMrK4SahP
Xo8y6Wo1BgGXlV7X7UGpiuJHnbe/gqTudhLJGw0XcYSFvQIdj9d/XWWSPVL1KJ2NvVe1Abqk2ii9
rYrui2l2xRtVQna3nXXVR6Nz9gKAlpdBLltfamodlZk8+vo/5i0wgqJQRv9lFXqUwxgNqSqeByPo
jlonfR8yffhIA6Tc6UVsbB6eIOSWQCDQRlubMxdtqhKbB52XOiVivm3RS8K/oNXdOHWWt8LT8KUL
yj0w2caHFSh6as0adRxGvv6wS+L0Q7nUvTdRnvtXCWrbnYzOfDvl0y77fWuK+KqAWKXeLDQ7r8dC
Jgturc6XXXpZP1ZVNP2DmAmFCXU0e0FytXyrLtrAHbu2K/BDCOxjGlv4QU5OcXL0cka3ukgSHMD0
3nlwYjpQfighRzca9fQ/tjzwOoJBga0ncxez+SMlrDKlqeLR6bw4ogibOVHsZ0mQPJlDs8eN2voI
SDuLKtdrk351hidpLnuprliYGtJcPFXBd2RG40fTKq2dbbZxXYgcV0QEbGqEuq9n1cSxlIcMR9eE
FXPQhj4oQad+vH9sbqIqyIawAFk2sgOah6svHcvo5yBe2nuwAqKXuBqnA8wY/Ddqa3Hh/g6IXfE0
t+W8V/e9JWowNJhTZEVAYSPluHoFRPhelhLnaG5s5VuvltGvIBjNmfSz1Y91BzgEmo8W/4QwtXxi
p4WOG06VgzYr7PoDtiDIt7IJm/f3l+Rm84vfRSlTEyaKUOpXC2/ZuTJJHTcJUi8OCsZVoBytcYj9
EC8kt2kroaOp0Ju6P+zN9wb2IrJ/RNLJaHiVrr83mnEdRlgsh5kH6eeisCPFHSW9+uu3T4wDhpry
KZ0/JG2ux5FxxEK93mScSU5OmY5VM6iaKda8sRbCnXNZRq4k9cP3+/Pb2GnsZ8BF4takorJ6mFLC
vHzoGHcJIxxx2wbFwbjU3TJSloOzKA4II5xi0ybPPt0f+XZlKZVoNMe5zYBuqav7oZ5kQ4+tiPpC
YvXPuA7MH1DcbnciqZs8DyoKMSaIeO4HUQq7Xtc+gsTLe9kitxI6XtIO+hlM4rdl6YZzNHV7aeXt
LhXEDN53NJzBS60nBS7bofUdtHRs8yLzgDO0xxQD6XOiGcF7LHrVSyPt+hzd3H9MEg6NePJ5FZBw
u55kXg2T2RpS6y28gsewRHkTd5vYi9NpT/NzcyhuJIJTYJY3CUKnD0YS20nn9RRXv0flFPyckkx5
m1AT/Hx/g2yuJckdx556AtHT9awkJRpZ6rKjX6jJ1j+5GiKCaYaxUyDznY4WZessPoGCwE/4/sib
kyQv4TOKmv+6Ej1LKFXqCA55plwHp8rU00c7z62TVll76L7b8wcxDJAuZ545IhF2PUneKkOS1LIl
FgvsU6UPaXxymmU4aVpt/7JCiOfuPBvWs15E5r/3p3mb27Jv8JoTG5XyJtfbavAygVkocebCpsEM
NLdlSOa62df0VcJq+Rzr5pgfw2VoPhp2sfxGuHqmbJNBZvtw/6dsXAaib0T47Yhs/uZbY5E0CvM6
DxeTHDDCHASekhW2tvNlt8YReFECRcFFX6NFQ/ywrB6QHIiVvHkMVak+zioKtvdns3Xp/DmK+BV/
hD5WZiZDFTOKNfWppyjwCuw2qEO37KruSGV1+HV/wNugny9JI4MoS3CnIGtdj1haqS0VpDLoHefq
R5DHOtZAODi8KTp7+TpwB1/wvVcoVNij9qCac/eUOVr8HpJ8frEird1r5mwuAR0B+mWWQEGttlY5
SXacannn4enVfjKlMrvMqaV8hclr+TZEnW7ny26dWWIgkh9B3gXTcr0CRt/lTbfEnRekUnweg9Tx
g2pODx0WGQ/3V3tzKBH9QWDhdlrTDJbOWkbTnluCEKk7LlaRPUSzjB6kMhrn+0NtXQ/CRB48FxcE
kc/1rMxc6pMutFuvl63M8g3U8X91CHCiGl/rIkmHoyI3sXyUFy053R97Y5oEuXQ84EIT7K5FFJZk
njVUyzoP76HyuZ9r+SUcrczF/mbPUJ2KxsbJRKScUIDgUziJr+JOvaUTWTexKBwXHE1pSm3oKbUp
6E6pVr5vIqyfjtjLq8upUXo0k8DQOH5jN1Ln6pGVxkel7LoPUmpK3/CrCD6UTRCYLmK5ueLPclCP
PhZoiuOCYZ7n06wYmMPFmRXLp6o3qp91o+nVsWn67odZFEIhbIFz7rZD3L7MMv1YLzYr/addT+lP
pZuS8gwCQ89ohVbTO5r5femWqS6C9ETLfgg69KfCbhrTN7PK/jK21tCe5qVMvgj2QulZOLGZruME
6fsYf5rRbfBGfAe5r40S1+p0+RmBOKc6oxE2mCLkHBs3kZfm5zA0ZvYmMy3pOJtBVh6JWsFTgbJC
hHbK4gYvqz7D7EqDH3CMnMWOz2gS4k6X2NjDIaQzF5E3l3ObHUYZUxBfKpV4OlIGybBZyMYOWptk
azjNzHX40gx4wy21Fn4rmqL/AgLaKA8qmmQYAiQ49vn6sBjPEAAALVujObxZsk6RfAnRQATPHHVS
HoMkr3SXSyL5URhdJD3bVqS8b0BOAXmKreADmSKBZp9UAbqlUSbFbivjK/p+oPWeHOyh7CgGYqjy
ebasKHZVtcNjvpXr5NMyLRAslIV82FhKI3S1IWqfiwXdQLA5Bb+pN5Rg8hxriX9BhAwBrCmpEnr6
lE7t26pbRguJvLCojuFYOY3H5aG+kei4x5d2MbDfsqyAmUZOegmxEjNQ7Gf7ezxQ+pdySKJvYynr
XxJKcnDH6KfInjEk8ynnQdUOsWLUxTmbEpi6gR4ajpcVSUmYDQj0mSrYPB7C0qo1/HeVCRPECHrt
Jar7OT91lQZGqgiDz0O+KIY/2m00+c2oJPrR6ksn8+IYN9pnO08VGCY5Kp41zkqoIINVOIadEekX
iT5649lhp6duq+VR5dqD1RdnY7BkFDb6VgXNbrfzRYoC+1ccL2CLqmjhIyhL54wPWdonQBFC2fqm
j05tHE2EDLFJAKtiu6pCQfJ9PxXpfIqdbLIfkJGD4w6upzROWhDwP5MkLM5GPTaksxok5Yut1uVb
mChV5wpXkyfcFrX34xjLVLUhaf9rmrFheipqstYJDFSGNSO5iXFR7ACvalBxCShPanX9cWntRQEa
YbTGO/yDmWZmDVP2IJul1j0Sa+NjY9G3fW9IIZhEis0dTipzU+N41tfBj9605vSs10H3owzU4vNk
0CDzR2nUZ7eD5VEe53BWfkfIMz5BrY65isyoHlx9shrcSaxQt9yibpwPbSixXcu5Tluxxul5Yi/i
xmv22UsQVhQSJ1KCy0SdxjrB0yCTLLBK+t0mwu1tNpF18f7j6EyW41SyMPxERDAPWyhqkEqSNVve
EJbtywyZJJCQT99f9a4j2nElVUHmOf/YI/NvU2uR6hJFnRdgEA7t4dhZhTY49Lp+OesuKg6Jsw8+
tZRx4V7aXY3t7aVY/4R74C1Iz5L2JYHQjA/r1OsLnLF+n1ZrtNOdyNmvcONROQzo56fLSnPgP9bt
/SvwZSgPtOlobso92CBS+Kbtg4gTq8+6eEle5nDVQ04AfVterMroLZt7y6F0ZSDLJ/diyusOOBNo
TFKT9u1z66l4yuepLSTd7lj2M70DeBL/O1jon41NLVRViDI+EKJPM+c0VI08gkIuzWNVLSDsql72
9bC3Q7+e66LZivtkGPV0V5OoqtIqQo2alVQ6rBf6ADs0ObNqVbZvJRyMtW/oVaKKqhWaQ8ute2PD
9f86sa6gdkU1jQ+OjN2uolZmnMyz4tfROalxk38C7d/6qyO9aDvhHSvjez58aIFwlw7Jedgam/lp
jzevvi+MRVawjKNm/Bt6a9j/LKtu4Ezcd2mVuI/CuI3mUxhMSfQd1qWKv0tnn92aNOmViOm8KEHh
P902mOg809Q2WK/SD5rk3864KLBU78Nkneyq2BzqMwk08pJ0c1zcgkdyx1uxp0M56d3ORrulpg3i
QlW/AaZs8qo9E5u/lrOuMoBODoU8F2UAOnpfxAlnVubUyWy/zdvibB8O7AbEmTM6+hERQD3/bRe3
cj8tv1HdvcWt4mVKhGXx3+Th41uOIi6oADuxH+3Nc7i1rn7YtmqnUyzokjm2UtU7FokaUzFZ47+a
inOyQBNvHpdX8OV6vG8pI4kITogNrqmJ6tGf42ACW/D42Ev52KC28pFUltt4LZGbhUG69IHy3mLX
whoQAV2uRTpoTzQvVheqtsxHt/Ua7is5FzFRmb5bWa98brZ3IBjZVU+x4adYqVG94nMrjF/6OzFK
VTCun53nd27e2EO8i2xTbMw1lW2xLs4E+c3V49wnq/jX14ZMi1R7PPqPBFvswdHh3bBlagdza/m5
DWLT/Lt1opbTYfUwQl0qNmg65ouwf1zdbZ7PE6JGUl1aBBz38WjdYoaSPiGXJwtp5S2ednekei0j
gn2n2nIQOnFTNjR/qVNBoP1MqP8ukoeqi6KS6rdFFUkaentC/Ssa8SR861XNl5KVnaXbNp0JHRGn
rU2a7dz2i++eKTdT/qWlWXS/0lxGf5gIHd4Ev7sNs6PlEYdp+mWxSQOrkrL6G0dmLR8F4Z0uxW19
v2bkgO63xnGyo1NlVcrLXMrBnhQvZncg44XBVHTeiCTH1QLucIzs/rhso+dnkoZNctEbai6TAyLO
vk8pYHXsdPUGWNUBPc3tljRFdUDwBYQfOEv3VOip2ZBBO81HNU/E5o7rHFgnT/r7UzKEpZe6o5Us
h3V150/bODOG8ppj/GDZpb4UrrvYIOPRRqR7Dd9/qNvQe9q7Tf30tlBTqutbzpSyCxXb3SASAhMX
OvQSLG5kv5Pohwk9CyOq0ijBc/n3tu7Kb+LqGjsT1J8N5z0w3RWBN45PbxPj/Ww5dvVQOPGw52Yt
qqeVc48PTsnoPXCbmJHSuG0Yc2EhRs3mQXYqQ8W7EZDZLAwHEa2ttERVYKpZM+F4zUQJ+ZcOtlL2
L0Hrqk6rOZlEyqgYS4oDI+HRhxqvySkmXjNItRpEfIjmkZN5ErLqM+ksCrrHXvb5TfSzlqe67o3+
ZnR0/dQr/a75V1m6ESgxpNSnQlnrsj2WmpbPoymNNlaqSVmXP+Ohm+2IEqPhlidMEMGUSxXqLpdO
mVjfzjrZX2KiENaFapD7xdbTrUS4ois23eumjnIbf6CV7lUge6phYne+H1TQnO0iqIe7FbVcnDqE
ty3Pjq1tm/mb/JpDSd+cyUM2uul+n7d9O22bdGcG22jpedQbCk5RJ2JbcPoEcDbsNzOnobNqxCVB
TNj5oCpzSG4phvlaT8xlVOKgvXjkMHbaRxiUqn2u58EZnnay/aO88cZpzGZKjV77ShbdGTVmdKnJ
NReZKGphTv6tQppwxCg4+R3W/szG8L7kU8vu8jyGu+fllZAxhdaW+RcJ13re5G0uHbp6eGyDfvrs
0NKoNJI2I4rckJ9l0tc99SRebehYMF73zVszfweO5j1xpRHhVZhZLPlo9+F/YbyUKvdCLXsavcbo
v3X1yQYtOTyv4xQF/M+wvfVoMeD2mROMHamOMulfNcfEi6/kTIZiOPEMjX09FI+wRN6UqqXteXrk
Sozr0CXuyybqZkwZj8cfpud2u6jK5aYVQ2OKO+7hSadQ6kyxM+2lHFkRKSQHglbl9pAg63og5ZZy
GXq01zblSJVjVlmkWlhT3atfsejbZ87y2KTePPQfW9sC6vEmVK+FCPiPLmGzzDRb9zWT2WoRuqGb
mlbktUTcmYfzzo9XSdKeLdfRUUp+GF1XbZsMw2FSFusYlu8kUzLonKzaCvu5qhs6HpfKQSk4x2q8
p7PS7j+B59TvopCjl62rI6Y73snoRCJz4H2FFZ2s59bvmyaFsS0+1rVZZRpvgVEHKi4nO2XAq3/N
oZyPlkwGkn9WwnDfTBj35kqSh1VnoMDzfNdti/hevcTwCyNYjNLSIzPtPPucAn0zJstRRtPa3VFD
Zy7txLf1MhZxdXVWTsacGkCK23k1i+EC2jH2qS9hcq96MVIR1gmFQHHsAMFGMim6qmCfVy+fI/yF
PzFFtMNPR9u0dQ6VHJoP3VthkpER4xMk1AyyP6CMIEtVSDn/Lq3OHjSbD7FGFDssIsq2hPkO/Npl
wKW/yjW0FHY6vqsmr22zXlT29LOhcDVOy6gufrqcrVEaduX67jdz9WW3Rn/Gxpcfco+Gx70X5jf0
VtNdSB6xtrReeZIPbk8y5KkYq+GdwrcCCLTmwxucuJp/W0vk6dSbwuJNhzL+kFWYrOdyVsl3jNtf
nQIsuf5LQhhLkMvd9f8UFt2Xh6QZgvjCMc6RSpe3YbVvO+caRON4rUKGqpSLIpY8JcJ+WXsW9jP1
eY73WOlpVmeN6YxDJipG+kqVWdqz9kXjvPdmEdOP1mHevYq13k5NvzWCOKHVuuOb3P74hiCEE9Zh
PfzoGUy9q7/4y39V3/n0DtHgmqR+PEc1wxAtU9kyNigP54C+qYeq7qYod8ZROU+FG1vtBT9K/Ne2
t+StQ803XwAzajfVTTfYDwtynYuuW9LNA8uP19OqvIJRbA66E+W2ujzXo13/sNZeb/chZdj6rGKn
OFZAMvOVetTgEq4OJt5Su8a+7/l0MHlFgTWccEoOFzSbYXMpB89780rZMVx4c1tjRIm9T8c2twa2
EeA2tWaQxGzygw6MQHluy08P+i6NXZ7Tw4iM/OeiC3roJckUp0bYhZtL1xEvrpbekHFnWvc3m29z
0JE3eTzd/OBUajn9uwUeMLUVMwn9SdXVC6Pt7H8F29b2F3cSE8hfOFFyUs1NlK3svt4PkoBifLuE
vtNv2btdOk0EBuUr0lY6DHoepgMnKIcb89/2x/ErUktGuVrkRJdx/W9spr3Ml5Bqo1rHNK+nnVN6
YMcI5bdrR/f4lPrLDFTk1TVBplQjDOPR3lH4nVjyZsreYstUekydAZ0Hood4fHQDq93OsNUgabZP
HsgH20My3Rwt3b1rmuB+b/qIwjawaue5we1ojoBebnBcw2n6JCLH3TPZVJRp2iAFJa0uw2wOcVh2
I49xTcQbMfFjOsvRck681i6Zuswo/XnzNxlc/NLs9X2zbzedQNwUftrNo7HYAa0qzmK+I3mWXhWd
lp12iQOnjqNSK9nW4EiaZCWzmGvDPEzlvs75kIzu8jFbzIm54dfJmVm9AiCjAOFahdcSYXtzGfGO
JjQEOdIGO1H8aJnWVhS9ks46RLTplH2VluMC0hJXpZxSqx0KSn/aXj5RmdyVaYvEZHryqz06tzZR
FgdwK+cHh3j3k9DOyk/dzR++K8vv7+LFVWWKpdduL0IzJ6ZOG+jw0LTGf2nmuf3Fb9vYadHiCjw1
YBRfkxbeGzGA7XrqXCm73J/94HNI9pruW09PD7PP5fSfnm3/XXR8IHkv2VaXco0NG0kI9gOEtv+i
qsNHp71ubpXpxrXrqzXxYaXVOuqLGD015kXlOs8L9nLrXE0I364BbADl7/0Y3g8U+7aHcagTcUzi
wnuJe2si9qF2mykNQ6uYWPr+/90anVh/QekocSYuUqinyEdPnMvFJ4cWIzv5JsvkqNeAQ+KfWZlU
M/LP+uDidWp9tye33nLRlibJyZxEstk28XrdhJp58nlPTu2WdNb7OLTLt3EjPR7mrvLk0fF1Rwl8
55unWQrVXVa0ZHPK/el99E5ANWvcL1Vx9na/eDbuuPE62RYzsqbGmtjfikwSQgvwBVWqSmTmzWRM
0YYxS4+vteRrWwoTPYloBjvk8ZndtJMt6bY7tq2zXpERpq7wQCi3wbang99KzixRLIOX0Va6/16t
gDrupuh0m9bRWAMb9nP1sutb5w7N3so+64bRJm0D1T7PYvX8I2jt9DYF1MnyPnrzlFWVBb9ZV1P8
91Z8fIks9scULEGc+toFe0jmbly+58SV6khItkehbVBO1m+DUvO/ZKqpFFFd5V+LqRN/Y4DhNm92
7b8vRGxejFuUXc7IQF9UoAmbTGMgxP+8FvAsr5ZpvJl/lZYZExlsfMq33y4vE4Hr5jjf+hEOeEq7
i88w3eWGI/AtKcYNwq6y1AftrdvLFnL1dDs4EQ1Dk/M27tXq3/Wb6J63XRf2S8hQsNBGqyE36a6O
qQexPPXUuTw3VIjXw5NlWB5zn4TVSwwJ6GbkQiflQ7BhoNdeQiU4oGTX527VzJ/uIEd16XTXPYpO
FVT+lMG8nhxLded4G936rr8JSFhygn4E7OpGRifuiCndCt3/xaG+7UDOEwbYdfYY53WhtyrtQzMX
9GLE22eMRL5LW7yKP25hNuyDW0zoDeLfOY8IXfrNbNo1mT2zuh0iZnziZpxo+ymSIvhhjbLpT2Ub
+e9T7APWrYRAGRzkewIMPMbN72Wtb1+1a4I8JPv860Z7VJkwQ+Nnk7WY58HvWeHIvVzMwdhFRdij
KeUPx6rQivc6WngRRB8dY+0X+nENZVIipTBzbigzVo9LbDExlbFsHxhr9pp46NpdD1sUaidNgM7f
xhIJ2Ucr256PyXS2erVZwL7KndUlEx6el0ex18vVHy2qgvdY8rtx5AnfS9tqMv91IzTbad8n8bjG
RWhgA9y4fvLqkAcOsFmkjdvchulSy/FUDop8TN9u/dz1euwGbtM6rzP5qMN9UNbFWXGjvI5mcK/k
0CIac+NlJNOlTwrzbCUVzV60u7tUxBvUoo5tCfehXKzgG3AwEBf2+ODByDEsz9pIm4TqXnu/glW2
3wUnFii2FO2VWq56TBm41Efn1Z0Fh2Pph1CPmJJXIvbWbKbIxSM2LKZ7Pi5Ku0lt3fN+8qomOifH
lN2O3y667nEZ+bmjNvnUDLhVnjDXg0/syYJzlS8gtlMQJ99K3So2b2IKmCwkkWBDXlgefIyy6Bta
jG+crHSEKFNQD14eNi0wUGbOnTArbzQx4wNExoXcNmGDoRq3OQNSr6/c0ZZzaPdo3POwMmt9DR3F
vbMxt8lHEMq9ua4jRvQUO5orLr1TVt4haNz9qWhM/6uR0XxEWIF43YsRoD4SqMXHNrhubWWtmDvz
QFNl/7kGTGAftADOv7u1DoKXzvMUUs45WJxrjA7/bt/8es01NQi8UYVX+2CpQ/i3a+kbSyHNxuqh
ErZ+mJWCR1HU1/3ERxnRKQDC9oz3zkQpzZjyXoTAtYe+r2hhKZp1eZ3WuY7zYO+mIfW9UsDcFGVz
V25kP74ne+Iut681bA6r1uOXF8m+uhCuuVm5twbtm9y2lSe2JnT425sA48oNgOZD6y7+3PbbL133
JW6mJKSZ5LCM2zIicfYKcZZ0ym/3XdwOzzsP6H7nCVG8x6gL/bdh7COZVVDQ21comukOCwkCGGN7
VK70k0tHFUlrCYpezvyZeYk/hROlE2s2ytBKzgUwsXUelOVZD12NBoGARa/5HTYexYflFDKWrEK5
5rAPBOAc9Bqse25ZjffLW2ZlpY6VDCottlXWR6lh0w7G96YPIJ3EOs/tPn1jJtb+o/D66W84283T
TCBYm3G5c6jO7m63x9bZtMiw3ZN+wquDaKiskstem9p9a4MaMom4iH05oJCPks8NFq09gyhv6zWu
Q/VKvVCxfSt/WZpMOPPIQR/2+6FjC9jZ/1jA09VsYXDvJrxP53LFaHWtjQgEsCOizAvpxHv3pqpq
qlOGGFlB8BjgVMWCd/Oxr17NpxjtgNlh+6gD7Q/PiZ7H//Bs+QJrqE1MddGX1nSe4QnFGY04fxD3
vuKjQUYWnJGfRHs2TkF9ptLIHw/UDAHzuE5R3EP5BOwD9ZA8UDhCC0RfJw2W1ETK/3DFeoC4g0Jr
H5olNJmXLONz4W3bk2y6acsEVu6CG1QkZEpDUYF+c6guh5IE7fNN+YU9RERL/QPKtUW0Kf3ij83G
rjKnj0gJw/k5mSwOnemxRiA9pZVTm9/Qv1CEyLWDIqX9l0mFPidm1j4ItvsxXEfvrETbfBIAw8nR
N6b8o/qx6HN2bv6x9kOU14i0SWAXC+j5senj4q8J++kf6dYM27p1aub0IXgmXryVj7IugNaV8Kyc
cdKqjrKWw/wcrFqcHeY7A/rYBSPxwmxMR7D3QFAciE4V6KvfXz1Co5wXyf4tT+umrY+km3cn3VeZ
OKfaZVa7tNbMaNra1fYjhnVp8pl0ofbInr7rTBrDygKaNNu5ZxzOQaOUs//09k1CJibDxnIad4PK
NgxdG1GVm/2yVFtExUqF4dr8//kYEM93h82eBzhwo532sCLN+2lPpnJgMlT3Z3CKUOejNc5eVvV2
eFpjUpNJDdya11Ja0nlNhnVYU+2qTh2TSXrq5M7RDsKzeLdKsWELwiN0md8A89v4mjQyLZMGYyGG
O+inXqTFFGxkE4jax7BcjuTNFTRPPRl6gRgBeUf/G1TUXTsJVnfq7GY5FC1mirzhSLlBkb3s0Kzw
mleJuE0Bk3Yb3IceEJZY5vjaBrGwLp5wxiYXIALigdWzXFL2fRZ5r6f+BzZvE3dJG0M/u6ymcNWx
u475yiUAgFxaAHNrP/+ePK+F9Y2HWeTV4Eo2lcUVfTqsYvta9aS49zavOyH7LA3Ha+/XZ4I6GnXn
w2/yOTi3B7YTGx0GJaMXwYadXWcEC4GPqbFQ5QEcpcRP4RWDnzajG47HoqoSEtzGKnHvcAwinrA8
w0tvDbqz804u4lG2NXwk2pIqTllMxBfzc7OnLOpdmDoRIxmBqeP4MtQ4DO4bHbEFWSrYaMOujXcU
lCtPBzNEurkGgRR9TidUDIASbOU9SVrtfrXWsr6OShuUu7MLhedvFenBqpTLeOaast9Ht7f/Be6O
G6S6KVRBcsYe/1XntDxvVkHQZsRCI3Ki+SkgX9th+NqGjiF+Jbb/kdi2W5/DNkwq813SWTJp7WpK
47Hi6yA3zrrUi4FZIMW481M0m9VrS9+2c5yXAi6L8Wa5h8rW1Uk5PrSdcUr+danQ4Vw2RLwUpu3+
LFIzDd0Ew7mvLyVklMroqaVVVBcrXLxn9uVu76OmPjIz0wBLIhNLHHuWviR7S2MlNBut1/gdzcva
hpF/KKkdis9d1dfOpd7K4EPCT95pQ6NTNsLVl4xMi+6OuxgsK+1YJkLWake89+AqH4PZTZBZ+iZR
WOOwmw9FrSL2aXh7eWdBUL9Kxib/nW1QiR++t8noH7h7hUwgqiFvegCh7dDpygHjQYvI1Fvq8Zui
VCVOZaJcRnfPLi5F35RRqvbWry8egYNUmCJK8w6w5sX+X2gZ/uHKEvSKUoOUOOMp46WIf0ghVTJJ
jnVcBRHnab9TaU6n+WtTyvpXucAjZ5UiTZLkiGQ1+OKH5h+chgPBYODiao7zLVbH3YjZPYAVIIRg
Hke2CFcVbmmVzMn9sE8bsHoldxRSfYCmaB2F+GZTYBQwcdT9GeHN1nSrQaFypyfD5X5vWy/fcdWt
R1O58hAgehcXdo1F5V25LNahAIq6c/2b+oDksrDPkF/s3HAEXcCUi2CwCcjzzfQ07p0cwMY6hzRO
wdEmOzQH53UZOa/jKRx+oOaR/rPt8j39CoXpzHnhLCc/yF6r8LWJhRvlVkm036+tY2l+hPfgrINZ
BoRzFSUqqWiLbkpLYC7e1rAbgFl6IiqYf7wPmCOu/n5uyukj1Bz7n51fd6ygtzuf+93bsyWZ1RtS
/6LNCXvCVMjHLD6lXqLloR7oXL6AssD69///U4wddz5fMLPOM2Y5xAabMM3nLvaKaIh+m2g5FGUj
r01dE6IwLEZcNko0p5vUmogoVxYOV+1kRT99oAyeLMQhfba1jBJHp/e5qiL+z99SB4EGVY/tt3Dc
6r/2XtEviujE/qaGNKzui0lG/QHyLpyPzi7Em572/l8susnkGP4afRVLvyRZ7cVS5tRJ7SteGV17
d46jyv96S8UV6aDVOKdN3Nsv7EDoz2fwbgxDNkvW6sYosZrAmbm/FUd6NhSF0Hmnp/LPgjTqbUZJ
r/kDGic8xD4lHunk+5Z7mJKh1L9EpMZXDIIJIiWjyu6IK8hFV1DV4aEf1YyGH3xptw+2M6EfMDKZ
6wMenqq+qo5EiLRp4xnatFSA9xJo8moQAqAs2rfgPxmtuj3OtZDvszdNUdpM8f7ah8JxUu4eD+a6
jUv3agRH4uHWBGPuZuDh4kFOCohfyc2KckEPjf61rIPtZ2szLfYD9DvVT/4giMNzraJ7itXgbiBV
HbcYZZRmfQ61FYaHaaLp5a7BbsOT1k7+Q1gQ+pCT5UMcqKHZ1M453oSdVjEWqIOErsnHWEwGYycS
txs+u1+HWDnhcd1Xh5DkUYo9HyhBDeH59u7DWpEHAhEsfOatRgH4XNRRwoG9iPC+YE54LTwfwZeX
IFtdwWkwnBQy1MckmaInxpDxC8LLmx5j1Tbn2XY3fR4l/+l8b7v20fGpnspLKcSTNbTRf6HpmBIg
XOPhCA/vP02Mvl+QBSNWR1Y+FrbOdWUmxRbFaVAhgLgUPgiTVbqx/td6ldnTBnUI7KimO/zAlIn0
RRkoENErv86lHCgWqYKl/hXYZRNDeNisTCm6G2ZQWyD9zhdIwDotCloRs7iDrMmHoC9RgEHnv0h3
BOKataf+FjvH2H0zI884FE7nrAdx2yRZZZuFwboo66dFbf30Vrfo/a6WJ+y3m6jUpLG/m3MIqqy+
WGfVN1Rt7z3OXUFOD6qZIsgtJterofhlzhz8ztdabZufoocgUbgC31+u27ZNr1UQ0GDOk8wRtM8B
x1+8BuJxNOFOqrWc9y5d9d7/CvslaO+4z4JvXSz14x4G21uiZNhyVQao3ZFLtO9VVazU1NogriiZ
7PgHGL8/0yHLxZOKqUrCdFnC9a+pfSB5bXl0oHZu1T7QtlyjkoLLB9iYFHIIQlTiO4Z0rzpUDgzI
YQ/L/k2vpO0cUURP9lNTrZw87JLT32HfGlrlCuLJYZUrFrGia4/OLJoGAhEk9nMf+lmlq0UoBHr4
Yn8cSQGa/gSj2Z7wva7xieG+cPK5mNcEDaOV/DKiDVgIOzsGVUJV5PyJPLSCebt648n2Z2x7S+9V
jH6kiRI5qWKt7huv3GbYAw3VvIa19ySsYPnNtat3QlVpXs3d2Rk/y4askyxRCZDKkNhbeSfaRcF4
yj55dMQS+tlexFDLKx3U7rlM5uGd3buHkt7q8olDQEaHCo3vt9ij5otiFMD4Gzj26feyemuK0Yuy
EsyIvxn7OQ9j28bHgl6HOo+MXb53djU653BGcoR6qCtKRHIjB2q5KfkC9ZGkhR5HON1ReYBPClUr
40Nc/eyWulN5GyfiragLDgUUA8EPxLEIuRz+vudeBUnAUVE2fbpM0lcPS2+VXwCsdZXadT0WKRXb
HLNh2ao7zzfbTjhYrZejVuv2D1SvZaSYF9NlSwPBnbc9XH7uyDCZbrtIZL+0Sze6yNU2KtcxEPeP
Jmm9nwv+CvdujR19x9Lmcqdxq6wn1zeeeW4Bv3438b7R2b5EbBWsmWV4rJc1+jDkATaPtGy6JRts
N3zRKRst+RbykXDG1oatpFajnUd7NAP8VB0xF82SjBVKCq+8gEU3w5FOv+Y+9FAew4l3XKndvoPy
G9O5v63Np72i7DoqgaFj3IcGkNniKdWTONCG5vFzdtf9uSuvC0/o+vXZZQm4rfuT/BFry61yFQQ8
mTEirK+57YFFdekNSMe76qWeorLM5LIEf/qbQzLrlyF4d/rBea1ba7VQyYUtorRkxe0iI0aPo9XP
wVe0zt2funbWD+JFwzALyWhjBnQsA4LVJGu6BJH5b0VqspzcUFIChgnXu+Ly1z9rVHzyqKFxCIt2
brQzpNyCl1HipUPgzdRWU96xZ4izSsbiQXT3cxHpIZuU27z7hefsmZ6jzTqZ/kb5JzDbzz3aKLiT
Iuo+UPD4I2oEhw/KrcMAypg94kcdzKVORZ3o36vdcNpYyAEw86OwPOpdxzoFqy2/inaxUdFagdOT
e9n1e2o1MO8Mjwlqj7IWTQ5G2v/sETIizZqdbj9s/iiQlCsTzWcAUsUp7ygX1LApnwsea8TltQVQ
oaYhRtLih4PJtsVzz9Xi2MNZOsH2FEJpNNmM2CdKJerDJrUcNU3nbeCyJ/Znh3SxfYDXH1FbWC/I
pRBllGpu3tcVjm5IV7bWu2KEL0NfpWtEz7PNvFsxKkIcWcI/mWn2aYGdokTyHyyR06F/GE06IiKm
XG8qBKkdaoIwTPbKZ5dYy/UX6ZDyT+MX0T/0QNG9NwUAyY5mrkenQ+7aIU5ojshLb3NdyjqVeYuS
2vVzRHDLZbGRhz7egjf/aGlV9iNijGC9U+PWLU+VI+Jn+M5xIJJucn80hIiKu3V0+l8Dom8kV749
b2lv6eXRxSap03bx6isik1mmbJHWBwxhhe4YoXrmipCbwtV99zwKK/rWYz0nfxAbevMRq3Hvw2fq
5gHBPOCjWPzk77jGwEoeyrJ8wlJapWgHxzqL19m3zu2+Ngb96m6Gu2AuKFTqldPT3IO60L9ChhQ/
lhj+/7hNgwCG98rCPm6qgdy3pGyPONOpJu/ZWl9t9K/dkcUiPE57ZdMqGPolDhEj4hXF2gKx2EK6
DfkWIwV5WeWyfZVqXJ+WMC7FcfkfR+fV3SivheFfxFp0xC3udhKnTNrcsCZfEkAUgRD115/H5/aU
SWKDtPdb06GDIAh1l+IktGHTy8D3QQJGElb2rGHBJZuQ/iV2H6thX1acPm9T45f6K7J67rml7qS1
XZG1lfeeWJruOaiLaU7slmEB4f5YOslQzsM27FhykwDZu5NQyqb0fpDoLvbYayOYmDaoHsiqWZmS
kTvuXXd08UEMZrlkzchRX+Uj0jCt6uy7MK0bMnQDz1x4LrwdTSOchRCwrYvuuOMK77S+tT9HQfc1
uQLPUaom7W9Ce5KAPoL8YG6NruxeHeMC67Cowi5ON68BUvLO1IfQZyg7plXWPGdlQRikJhqiYaaW
0wWNS/u2WEF3WarMcwCsCo41u8MSCSW1TLOz9b1JODurJWb+XgyT3RyMM0zNsVWFvRDkwSQM0gQQ
nDhhGHFh4547dgEybgzGXokwSznlF0uRj7lIOxNJDgXaF6T4+YgaIpb5JagsOKE8yiVPgvDm+7rR
XrVDiNbs7CJUinVXtPwq1aw//X5B79OOtTrFbgurzBMBHz7xbfRPfZshxNSV397HLbdFkllLHiYI
R3V6FaNTIBiiWi5+zGM/i3blkAfFfTSyC22cRcfeyVRZ3TBuhNW4zWeixqB5O3MH3azUgQ12eAoG
H31a5mO4TpxUuPrEsdUbVjWlfkQEsIXo3hgO8jUWzSZAzZTuA6HgZQGLlHMaQCf2jB6cJGM+rH90
UZXfUQRPtmtnkNgk6vrhwwJm9zgNWfhIoBuyZa+Qmo0H0coerZYzVq9ukU/5vi4920lci8t1Z+Vt
ADHdjRM3TZMRBRXKVrytKCcYyImvAv2QM9L+Cd0A+4RCmFsgzwUyS2mbQsxgU25IuG6wmYJlvBr+
nnmHO73Qm3Ud6KYAVWqq+wbyqE2K2KXDpFxDxtuVz33mvS6XeQv5ihbDWKF1GDnVxn0/eW6+z1f/
pjGYp/TBn8cWdNpqafPr7Gl8l0GjnyalDWtjY/Ji0yK9D6AsMcokQV0W88Yrh3o9TTzNgLn1kn4E
/MhHz4vMS92PabFr+CBgDKMRobGuIt2eCYd070GyhmEDBkECtsvVcdXTWsq9yNsoSsqlmLHgoH7U
tGHbttzefPzQppyaXxGmAW8XtsQRbzTEFev4MDuG8zFDPlz4CvFs7HMoIDLsUlbsEVFUhwZn2Odh
LV+ssYj0aUgD+65xBwG05uBk7NE9gh0EygsvdoQJC2/DJJ+Hwuth2KKmvxC7HvFSg1J9lamtwj0A
NP9dWnKpbgAnzIth7kgTgq+LK4BCIHbFHHjlNQra4WVqPHt+l/T3uiczlMi8mjGcT1XvaQuyPs3t
7wWmTD80eqZ6AvW7326MU1bmkLpzeXAR68sfR3RT+Gu39qwShAG5dZFu73QbhI/2o6cFQF279sHL
qr26fgtZkzVwLGniPOrr7ZFplxro3dLiwG/pLUecEMO58uqM3iqvchHZRisxECBi8w6Xbl3BPU1j
ecqwOc38PRq2PQW0+8iyhrPFQln/22S+/Z1OHeIj18rDa4qHCah9yXAwSqCm+DBMwNqbobAsA01b
DcjIbem/g545etdGrZqhYcfgOzYtdhJkk6inHQTRn6Zt7b+p1nF4r6txHd4nLroPrpE13vrhjHwI
NUfWQurU4RfOGGBaPQW6eBjZWLOddDqi9rw8sARfSzkd/Ra6CEVUXobbpuvAPSgJt190Dsd54JdB
CcnC0r5XSILpYEMy2u/cwkPOwCJQ/fTYFeWvFabNd9mg4DjIPvLMVhHR9BwUsG1Sr+z/HrBJYKCa
8+XN5rEmv6YIMraeeF2vEpnvcubt7tq3Yo4QcSXTqMa/wCSdOfgQ5DMLqk8kKXbGxbxWhDvJZ9MG
wcBUGqKt99e4/pfWvnPn6QmIqIwYXLe1EAB72QSa7Cy2s1yQIFbrRq7V8GyiBqMHdydVNv7YDMli
1UgkYQx5V3XscyJ7Q8XZowcTPuZhNSNltzJx33vKiNsDY2B67HCV5SbzdJx/1HLJZMIIWaJq6nxn
g7KRb4Ni6exSICnUJzNGHVr2PmQhSEXDHOr7qWZMJtV/2lo+DpVEDI5emFg8Zgt+Cfdxhl0yh7Gw
5z+8XHo8Smmkfci4+I4wZQipTGfce0o2nOVrhD5Id3zICEX93rfQOg1DexeXfWm2TsQ+dJqxGtLN
xuGVJbOaXdRiJCWu/4xPBPXVJdQtPYywdP5dO9diX8nRdfZuL/PvCbf6PVATYuwZBGgXyBvTw8dr
QxpH0/+PYjnmYM1q+DW2WF9LjZQ1caiEffHLkL/Rrnp9tRZ/UYcmrID/Gmuqa7oxMjA6b+VF3w8G
vQCNrZJ0sNLxg+aL0FFqxWOnS38BWagBLd1uLPddj2NkUxJNKplwyuwjr2xINGbWKd7UzQreIiNw
502mEKycpwWcaKh7UFrKWm1ohhZcnr1Q1tVRwmV5j9qablFCC+6yyYTLpWJH50q2Tc6t3dOJmay4
rJnW/BozZQGaGD7MIyYP3HYcCKJz7WeEEdRpOtzO0f3Y6qY70TrNVOj7PJI79qv5ykwqy0QW4MYs
1rgRwX4rFoVb19tAzRjWwW1ggIy3JfU0f4RkZD47Zc6i5E1Wemm5L0+EFg3vZEDByXn07OLjlzUC
NCM4KcgNd+33STOiJbXshpcAV94jTnjwk2ZMq0/LjOkfGwgZHG6h/2XTdZqE+JbTgn2VGJJXm5ng
P9sDXQW6Y5KHcq2Wx25dRh76EnPMQdiNHW5L7qYnYJcAeHvAvnsQIg1eF0821mssvZRxuI7Eu1Lt
+qGYG1FZrAVT10iP44aNoPM31mgjLdRO3T9UPKjVLsqwQLKXTWFxl2X9AmfE7wQokVvsGYS42Ht/
EPbwWgV1lJ3symS376fOsYzks8cAy2QHKRJ4VRJ2UfECGElDGKkS+Sf2GHsGh2s0/GGAZWnPGdE0
16a2A3phpgL9qJqXP3XZWB98Nc2yQSZXv6obp7tRXhb9jONQ/iptM94PXusFW7MKXX0PjZHB7QR1
JwVp3Nqv2h3r4Iy2eW1e4N/pVpWrEWA30rLNt+bNhKlLw47xV+YOg1ppu5uCyiUEWYslJRxPWV7S
aPTmZ6S33nnQ5IpvyhBlwbFpWqs7uj1APNOrGPw9KEKBYnxCMQSVKmMYae1/GduruGciNyyOZT6Z
RypGcXlKbOl/6LG3//P6bDn3mVMCatLDwwlUr/Mj1t/2CblapoA1yJd58nO/ey2Ua70NdaU9UsBF
fXV620qPbW9Z92g8U/PqNvjuqECuxiPVK4DYVj3KZ6ZEr+PryygpxeBtX0SnImS5MU9Q4oI+ERkQ
zPYxqodIHbwiW7qDv3TjTAfIgDxUtCaQj/GclsWnp2IdXwEG5vFea4bLbTuHh9gizcMM7l9/le4L
tI7dM3P3S3DIU3q4jz3GBnUju9xfUxQpGGorzRPwWJkfETUW13JZx/wR8IECtWINp59qLjmectzq
s5U081QMe79wIgVO1xQrxYcRN3TT4A7btH7hR4dlBmg6BnUQtbuKTMdDbVrLp5ldZN0n0dFBTu6o
1HDOEu0Y+BZQwHZYBC5vFA6siBStq7w8Ve3Q/XB0Z39WAtXGnVNJqKrW6/HJSPJffyleLS/I5pfp
oiK23o1fTFG+G5zV201uG5TbrhZS7FenLHBTzCD2FRVOBwue1CRBQPElNG/tYHR1Usc74VQv3tGQ
iBKTJSUOGwagtPtjLVbzhWcD+qcFGCUYYBlaD6OIxudZKKUuVdY5pDQZuqkPU49X+21xoslAhYFh
w92rImSID3wGZbqpOQj8mEcdPeh/Gej5zMrelOjLMS0DjxP9l+R4DJDkdo7Lr6JnUeytdGwDlNcj
BVFIUfBpMY4OHxCL1V+PS8DhAWOhRoQssz0pZ/gMUQhEf6Ah8ocZU06eNFXnq4MI6OLejuFK7CMF
r/6dw2T+6zbR4uxXetl00hEU81/Pep+fIOfKH7cIUCVm4zh+cYi0Mxp7xtA9Njn1r3CKSOBz4dBJ
8Li5OllWDLHbir0QJ0/QpBDLfhz9xSZbkwtS1MKBSarVVxThmdbgrdFGMvBd0syIfFtpX//HKICG
TE1+EJNy0ajm5KGUeG7KFrhO0BoSgFOW6nccbPHpD1geCEaC1HWzmfc+tnxuxrbvW3Gg3ABJaxY2
8xe0tuyOiOfIlkYCtFxXg/TkyDIPwWiMvQ64KI39je8McAyfQnaubbwkCCGdqiJS2JudHQZWTJmR
CcXFAX2r9tUaYzUkgQCNn+8I96ddneh90O3wAE8LRN6IZnw1vMc1b3lYXzDDIHZrBlxSsvbgLOyl
LK5TTzb2fukzn6Mk0yjtc8TdZyvgxtm2TaCvYz+2X6Jw/N+l7crLuuAHgC7zFYwepsfferh5FthL
YUuF31v7IjL281qOoIyu16y0wA6+XtErZohv+AXZbZFMrI+81fo/FI9pAIwJE0WpYRseGQAIUmiU
hRvJ6ht0iBX6kG3eeW7wScIeQKvMgsbd+E2cL0fPrO54mqqyOTeBTWx2ZjWRf4T7VjW52jnrWafs
tf8IrMV1TsjJ4d1JN6gRLyGY65GC8OAnU9TMd2x5RXx2WJH6+xEJ8pOa/TokiaAuuM8Fs+1O2OQw
JlKOy7033SAYR05xtJ163+cfIZm2/FuQXpIeAMZ5zEXpWPqZTCJKMP1Uxpfcsm6AWxrKa2BNzY+N
iMTm/15EFzsX2V82gXhNoimtwhNRbU11aSvQ7Gen6KziREh2sW5TFP0IXGnvBiLC5hJJ2ZaPlFJK
qkgJjPhbx5QJbP2mgUWcnKASO5M5Y74tcZs/YALFrsha6WPWDqf5Do8l3HvE4OEmrVsPSFIHCnyf
+rL2563rzGXApblw37T9MN65aV98u8L46jPKZ+ffDC/UyK1dd2mzw3uUPwjgrepAy0iMqi/qKHI0
HNRXxBie+x/vU51e6ly5D5yTOYezCiZzpzgQMDRW/H3OXQW05p1LgqjkKYATvE65Gf9FqJG+bXbJ
Z6NhhHfzKvsP0RfZuMt900zPDYLvbY7tFtd+R4JvI4aIQFd3yY42DWywnpnOd9TXqmwboajO9l7q
i/oE5koNQ5XGnL78/rQv9tDAr0Pc2+ZaUQR4iXh2FnirDqwhHSl6PQyAwARGVWW1cVDU48kTAqv3
dBM+okSPXxuBjzcJp6j7m425f+OgZWESFUqi9WJY5CLxgzL7pxooGdQTYJ9JbENXbLlU5hclQ96v
QmLHTCzONX1KZTp+BMyrj5lTKaYH352+A0dPf2aZYjDE0OftYyxaf6Uu+nqLeMw62oR2/hPasJCX
XmMS2Cx33t6ky942h8Qe96lf5GrrMAB+oHhS/6xAUmCSkeCAUURGzzUdSenFLSf3QqzJ7J0yMXaQ
K5C29ZmYoOG58aN23WLcw5DSkieSXtiekNxENYR/QmNs3CfaDQePPUgFn5BycX50eOy5AsuofgNG
6se7DHletQ8X1Pl74hFo30FF7G1UShstt5TbjFvcDsI/ajYgbHR9p7CEuHPmbqS8qdVuXYL1Helz
47QvY+PB4DaVeqphIYGGHCmQ9c9psN43khGaeWYIvVPTuTGVxWCh6X4JACp2U0TbAZldgr0YDgJx
XFp3mxK774ix3Cy4PBfXOk0TA8puMtBTiQ0+gqJgUTlBE+Ok2LZIStIXM94E4a7LbUMlTh8hp0qx
gaHPlNc1COCyPDlromimMfLv6tpf936GzTWxK3JfEiLn9N9p6qs/ad8s9blamuXal+nwwBwMWen5
7oJssve7uxTdKBZrK+0Zwj1ruLo4/V18VcF46RsVr2+4/9eHyKYQjNXfRTnNMKsB3FaBkZxX4nmO
CELaW7RS9Q98KiIi4oVT6CwFt/0hMDXhzBZUI5ctQjq5I8egvqZFzUvL1ec/syv7Dc2dpJqQwdU1
H7pKo8vqcNwnDLb1W+fJ+n60Qlqcs4qkWrYwgZENkOfEoIuCqVSqErgKbLGnkoG9ZqZ0Ato6irr1
u1U+qol2DbqtKdL0gUATk90BFQa53OjajvmzuvHNKrPg3GLy5lOFQjvM1eKPux4RIb3cwKUA80Xk
1t/u5C/5ZZAY3sbEKvxZvVdErPxXdx7qMcs4M1n12qmu0+gHc9IoT0V7RjqGH8qSOGDIJuygy8oF
XSIEvZPt6jG1L8oJb1YhjH4SQb3lIUO4qR435YzsHA+c64PS0k7CJNLOS7CNbjAMwIyf4p/Dp74m
HUok82AR675e2zIKv1rTemj0GRD0biVm1n7nhmvFeV5Lskv8kMM3yWelsYfNoYUeIpDrOSzhY0hK
n0Zj7duOiXBr7I4TvEHTubHx9mebGPki9mHuxs1ciPEBvJwe87xjrtvrEp/qJm6c2bsgpxITsQQZ
3aBAAvo7DQeTvaIczft9wHOUbozqSBcSsFuY+8tB47zFQJg/DqnbPiMjGvHDsguKDVkd8X/+NIjy
FKl8/K7nJb8fxBgS6tPWwZVCk8D9R/kP6z/W+yhIWtiNgR4FnbMU5CXGQz0u4URiwHRzkS1Z+BTS
iYSczbVagFB36PunusQ9zw9rsI2JcC76nSg6/zm9WWGZuG2/3rHD+riTe6QZOJhyZT8hrkAaN9qZ
erj5jk5zjdQDaKUG4aC8FHtTFxddz+rdRMWBsQlfgxcuL2FLPurfJcMBNo6xqB8X5efNKU9z3fzQ
qYtQGQsF5L6Cp+6P6HOje/TsdJmpzsXbEAOrAQOlMW9+jXTwCfafwUa7A7k/IYE87zrCPZJ4S7D8
AQv3n/Sg568CFvQzTNfWe/AIESfMhg0YcKZtaqaAqPp16KT4seFw0sSsQ/9S8gvdUBHY322Z405k
Fyvsj15Fqeslq68Fr6bkrx2hzFoa80DjVYBonzkJ+jaj3lMSmQEjAZKxc7IQFRKiXbPHOWSfszV0
CnXgzND5maPEDjY5IuZw56Ij5Na0vfULTdG4bosuFuJclkCQG9/X86Wrub92pVtmHeFUrvJewqrL
9Vk06fBPwXzghSJQ5e3maC2IUijmB05E5q2o4HLe67wGdtY92zppG+gsdqit8vpvbrWcuQM9avFJ
9pPzlC/ELh4d3pssyZZyfLCGeCEcn+gFloygZ/LvOz1QWdTcrKNwAhPWTSfGSV/5qvlxciIHkzou
A7PzGtdyNhKTAGCAPaXAX26Y3RlEX58RhAakQJE7euNTVxhvM7JSio2k//FRNb33btXL2v8xHk8I
TylvPKrQth5eWeDl8B6FSNOxwK7m1SKm5x2o5+bd73L1mGYlfw006XBHMkdnb3Doo9CJGxO8kEtI
BsFUyJVbgeUePSTGA7GJpS2usWM0BvAZte8Ib1Co/s6PPIFSw8nMo5fSybt3yKh4j+Cg//Fxe8HR
T1ebhb3Ht7q3dTmHRyS28uykeao2Xh84gGaAAwRDGdS+lAXlEMgZa6+4j6uZdXhUgn92Can3vHRq
me5UlnX9eSrSCAZNEBOzAUQSQCMgD1hg+U+AiODo1R4fAC6hsSdJboMFZMDFVdrrtGWCJbojX1ze
tmXMUn9b9jkC3UFnSACAUhlZW2KT0QqQl+bsZvxAB9QWXbizsPIxFIDy2VsMlm6drI2PmdxTrv3U
9SlObI5ItcP7mlubYUCjsCn6dXXxEQmpj9MUcr7ISmXyv5rdypC5Q+x9Mi5T+5kva6yOaPv8MLFN
l/0pwjF7HTHBw10GsQnoQGj0P6AqPi+Rl/1nX9k27BCmEqpwvELfQcvDChi9EMTlenMuDngLu//K
gZhqwjzEkiZD0eD7SHGKLvuB5Pen1efDTOwGxS6ZJ3X5QqrM6hyoPcCQloZ8DeeKOtWp4lyzb/HG
pM9V6JKs4CxwB7fnooqIIGiY5vsDW7t8WXqO902Ghs3wDwAl7yKs/NO+aghdSURBGNzWy+P0Zaht
6VwdVYcn1ABDsSFnJ9uTwFxWx6XJTXFBdMeF1qNktc8xobYqgTkz+DNi8gMRJYUH2Eit7xwC1pyN
0KP6009+/MfBRO3vNS/OzfSurANB41124PG8nfKDpTmlh7bcw+oOqIdmN3onJByZYT9bCJhGn3cy
Hlz/MHUDeo2qcGtxGFU/hNsJS+n+Rtfic8F+ekMofaBQDI52u5/NJJ4trRB9FH5jKsoQu+FzIbkr
2lZohZ9RosM2pTiOkaIvPmL3oXWDmkCUHA3zrDWeHgumJEZkii2L8atgUZsDFITYi2Zy2W5iwrxz
OpkY4ti+R+7U11mtZA0gQHK768TPenBW/BM7wjOsjJ9b9ccFy5R1AaL1ws2MC31CmlsGpxSD6rCt
mhzAlJNjouMU9ut2BneieKylC/DZwU4lDlxjepmWgf6YoaLO5paP4/k/PW0CD6IzeoKOJz0HzRxd
dE6CezmyNwXN4E98eWMFmdGorzgugo8WQU90jrxU2keikpeYsdl1mztvHtaQty1w/2Lvit644Utn
N6D4ZNstnPjL0ZbzQjgA229PFdNNy1jwXBf1d9z1q7upiZMZzmuaOdkBEDv+aUPi90+OZ2cEnwPC
W5vJG9p113lYE+4InfCKLQMVc3CtRv2+Uk2cJ9oSCgOzlTsIWETAzF6iwRhPTlgbXp+4que9pzAR
bNsMdH8XBqR6kLe3ekxRGVWfLyQ1YL4IM9S3+xVoEVAvmP2TAwTcQsT4BK8FZCmeB5GxF5M3Rs7B
PPdzmri2LzhCECxSQTtLHz56AOfOkQlfPIGxnTxYXtGthDEiuM+15n8krKSvXmg1xRE3mfsFWUQw
J+PZRAzn4Lq7BezN2YSi7xU8V4B5uBxL8uZyfDLc5TZ15ptgvGVQIxxm4IvQezcJEcDNr4+9S52j
gNlsI2uu/h0B0NEtxS/Hp8l7FbP0kz8yvDJs8S2paZ7Xrb9Ejvy0u7CfEa21BKJk+Vo/enEmwTSY
gnnCwQXqZzI6FVjl6oMllBwLH1aF5vyIPLYnT7KOABQFsyk67MYNU7zGFMOjdnH4qK+Vhpo4MZhU
7oltai7PiHbsHjvgWBI9GlS5wNcrCE7AlA39t9YdNzmHxbpeompo8IrUayUesM7SuAEAHX5GHZTc
H4sUGLFbwO34gRayLoIt1hZrlFfJ9RDiUAUrG4qs+4qRPZ5rzFvLHTI3ez14E77hwyhoXrnCp6bX
QYXll92YvnhGBI5ukWdwAaLEacwW0Xn2srGHMYj+ekD+8oxjrpDbnuYCSqH4AhUGTxcp2K3G0Trn
bmq/lUtuhcdymOUfWxkiDkalJmwEZYZPSIiiuvDBjI9xr1Sx4/pR9ZfsmXl2vVWs3WEIiuUePTnR
44ujw4+8RF44837z2ma6z5HARtl8bW7qShAo8WwTT4Xd1/XkvgPtp7MZy3z33NDINu/xEZTDXRl7
c7S3rbo5rDYbEB5duyOSgm/j4jjt2G3IQ4vD3Sj9UexHslTR6wek9WO7kENzmjyhP0n/bKEoPPir
YzOTDLmbehaboyQUYrfI2KhrHJjmIyjW8l0QGcgO5KTLn2WVUt25M3K6HWONcHeZi355m81rlm6N
WFBh5gQy8W5kaLVAlh2YIhZB+P1ZuMgIa/qmc+KD1stMgNBwUHFW+hs+v3LE25vNPKxKN8+VJSfr
FXlxzxUkwzW6iwrppjvUx3kMZ2azJDnT1FRHdrhS3/dW1z/as9eOu9FMY4FKQebBziH+8qNEmVXs
oz42wwFyJT+TW8fCNbcuKg9IkpqLcLXkuBvirr3zPNX65MhEa3Xo09nlLQ5Q8bJ3WPXwz8Qz6qs2
IAMQC3osDityxjxhn3DZJ1en9gh/LI16n7mTkHs4FmWlGIQa2DMw+RmXlS9rYi+ioU2QtHrzI/Og
227IhATIpbEwOLsSgfdp1GoqTi3fBTAB0tf2DiXoNNEeF3v3pRiz4DqZMi7vp7mYIaPLfj4gHy2+
J8uK7H2VSr40x13dE+gZYU9u2Nxe8N4Kfpt87OYHuN9I7/uq7uPzbOEEhDyYMIFDrZls5xD3SRBW
79tvlgoGkJA1NFz/0QLYQ26OxDYaFgK3QlDfPGqWsDfCNDZ5gStsJMibmznXvo2ziZyyMAp2LTnf
HAmGqWvvtGBGJBYRzLd61vSNWiP4LZXGfy1qie3YU2q5x/eWfzOFtPXN9m628TSj/7ud5VtWnxlW
Np+zZ6Ul+C7iDRBBW9serVBpo3/IKyu+WLIgkFLmvUMEBpDf4Rbr461CfTbQymGq4aWYFHudyb30
qewc9T0Z/MckOWAs3JVO76e4/VZADUc4ZMJHoJ0xWQ4uMVuCQ4OLCHvDW153SpzTTA1va7OuL4Ro
kL/ANP6DWUpx+ERx3xLC0MdHr0e9RVjPuvyxyy64iRkWFIEhT9dT7+XyWFhh9sjaBAEVGozz5yro
2ZNuqWNqQzwYMQq+diyZCDM60amlkup76CYskq7GVk8ebYd3SYA+LEcbN0L71laE0O5rb03/BeVs
hnPDu3vArZyay2ya8hdEsbcRlxn/EiDTMMSP4kH5jUfcUiB5KH15fzMG71HUXrcjlE7FifbS+hDL
ONMbXPZddZ6lrBxIv9UFtw1wKqCaacsHssqy6oGQGo5iNZZMuaEH5LvtKlbG2xI7pmdhQyzubHeN
1M7WMZm1dEwvxO4TJ4s+E3e7eVC8aX99HZvvLlLpHcE/dG7jFkMP0redc8uRZ7Nhtg/LdbeK3Hki
Bxrpk46r9gl1BBR3z9d87IkCg8BnR/xro38vt8h4CXYmOZb49TVtnXJnlV74y5elnU1DBnd+8ovZ
Ba1piUHcpEFVBheuuiE7kEfk5wdclHwF/C/Ho5BNxc0UeFF/R7chN0aElYRHsG/Ee86Moo+ZTYy1
0zTWT2Cn5Xpcm6Fw97McVnVz09RPKF7BYv3JMv9sEoI8ZBpm/a1rYvbuiW/R3j4fbfMfQfb5D/vM
/FAgbXzyJ4Xtr6mc9q0UjvfKoRc/FENtPmJ8ksMus2KBRb72cWtN7nvGIPkWrOs0JRk5CIY1bZXW
DtC8OZWomlDEFbbPdW4vpt+W7Bm42oVA9W/agVjm1E+DK1VvxuIIlcN/7Muwl9VUOP8KNJp/x8GL
Pu12pC/i1pgasWxnwUvlDgijlFfhJl3KcLqQjxV6mwpgQtmfUGJ1elIqE9OuBvbyNxLzst6Dclkv
a1qsf11ba731UhN8ApPzmIfxbVMieFY/LuQYEGFAYAvUN3Kkq58BhCcMMS6jUuMUD1aHHjOJTaam
XWyFFcgZXNC214UYINRhIJCrutOPv8jqkabNFJUzVxhJVanfI5xLw6LaBNE0yzuyOO1XMzIXWGOV
VhtsF0CXtoBnm4KosTZpTJvbg1hjh9TNPrA/Q3wOT6h38nxTIkcV6DcFAl+B4/oII4KNv+ks8U7N
VeRsLWbAPWAmWURDNRI24sSYgfcNNx66AbR4G9xRWu7whIFjBjVRbM/I7W28cqSJ4D5rqYi25hsV
0UDyYrWo8BdNq+uYQ46s4JYI0FfsXAUccNIHcIMkhyEeOxNf6B68qpq6ax9JAh+Q51juoXJm+pVS
AEgPdXgb1m9DSHQWmmZ+9pMO+1t0bs1vtHTafFO1JgTEHf2tZ2YpdScn4xCwMU/tz0KP750LRgOU
D0F+75VuO+zFEqOsLnlhvTtgwlVuA6+NOXU9buwHZ0EysVtraqb2bTWId3aDqt7YmrjFBGKJu7RY
ViL8OqkNYTFMgNO+Fitjd+oJpW/cclZsgwlHw9aX7o3mtYL0dQmX6tc0TOm/dOGhWyeJ1BkudUfA
TULIHxn5YweLmPhyVeGuafiT4BiATpK88IPXKW8VfINwwfZlV2Ahhw9qv5dwpfCdEPB+2haYXceE
NLIu2DDBhD81Gr+LXnr79yYsyhJnZCfg9AF9SAbSBW+eIyT7RMIu8YtTZ2P5OFliyC9F34YY+TDx
8zpqTK+dUhJblM7MoVY27rrQjyv2T2tdvwogHcLvlHb2KguND6QjfPSBhiDl+7QjRycJZtIHjlMU
gGjhR7N1khoreCmIC/42IZnIRLjE07WMdZptAq/nhE0L3t99kCNV2Fc6WIJk8Vr1QNou/L1FPgv5
sbP9HvZe/2WIIUdR4zKGHkQ42j+SNqP/cXYmPXLj3Jr+Kxd3/QmtmdJFdy9CMWam03Z5SnsjlF22
5nnWr++H7o1DIYSQVahFAQUkgxR5eHjOO6TP3LbFM2SmkLTIV7XuoNS+ClA6haDIBIKY+icq3Q/O
0MYfkT+hH4VkXv2pNKsWgf4p7n+g0FUVu94U6s/aLFR/j+wEjQwUz5x3bWqHZAdEW7TsKjP+5XIE
Uf/V+5iukznYTwMJMBylsBM/MiRse/Sm0M7ZpTwFxQ4VJoJAnqrDAOO+hk/n0nZ9mPGeHHl6jWQG
aPPY/9gNEO8mrmvf01Of26MwavEG9DkEF5BI7hcw5eFZryPUeOpsgIocWwhyH/geQEIQLG8B7IyO
kG22ELSFZlRJ/lbNSv1HASagvLgIRmZolDfqPzh7KIY3BbkBZTS32/ikglZ/Np0xa0+u7s+9l9b0
Ng8TTjrqCdTd9Gw7YwdtZQy0cY9FZfl3GgTRVx8g4yfTdkeE3saaw/SPm4RqdkL7qWt2dqYGKmCb
rnsf4Rfhn+M6SaILWAdyakB27cUxCw0RKeDjX8Y8cr44SOuTv/T9COwl61GZ1ub+7ygzyNbnFlNj
MzV5cgKItD7OjikoZiLLBQ3RwmqFHgx+pm8VRbM+KW4KF1hJzBThZYcad4eCgQ1WIqtt8MSUnGQa
UIBG/2C1M0GxLGHa0e1s+uZo97n1tQvwq/YSfTY+2jOAQhwTAvUQ06cGqYG2hk7v2eR1yhkKLfRG
IVrsgSMLSJcl/MCdSkM0OmiToMxk9kje7oKM0LoPqYEdBvSZMH+t6dR7vQD0/QwOpEWvjCYQytYq
JAg98hjLrQ5qNyTpxwClER+Z65HmI9hJtz+gtwvvwLeTkXYcht7ZmQs5CvaUQ8z0bBig6Q6l3hvf
0f6to3OphoCxQ9EaT6jZ98m+A8FPdDfxg2CzKcaLVgf2R5wVFedgZNqcAlGC3rY3BFiOPagd0lQY
jMXTiF3K5ww8xPeuqJWc1p9jfsqaqUclA+415Ymg1F7Qnk//cvp6YvqgvN64SFHUQ5k/Jun0UKm2
NNGhCP8rJ7ZOIN6K0EFMsS+puSOBja+GcMZPWd+NL9UM2F1x4gQIcjP3j3U0UmM2TDVCCxd896cU
HJ7+OOJBAC+MHEvKCkCzOuHJVL/Tep0NMgCp+ziVRqE90gqNeDHC8HlGpHEAT4W2OBQMGySncgRg
hK5UKwztA/Jzgf7Nshtq5gPWX88hUfyHqQX6dLRjxKnfKLBLqBVPrhMTXlF4pxiYGc47Mw2hH3QQ
OKrDrIfQKuNwMqZ9AATzwo3SpQiSFiCnG8W0/uoyq+MmS7mcSjik3S7SKyUhn7TrB7uPXHcf56Eg
SUEhxjiIse2/zWIyPmvhlOv7hq4sHl195bCtAwzt9qz0RPU4h1RjADvKHidLNVSKLK7ffg0H6NtP
5CvTA/xlvT3WBjX9gJAAxZ72PXrg0HmLd2A/eaLSug0/9YMgnLldYMR72kEOhXmfmseeJ1XyoqD3
UXlIVk7iWNLjfcnDxh4Rn1HGh/9UPEx4DdFlEqnFLaMWCHX0dYWI+X+q0B2GKk9xonGMTH2q8RH5
bmhhTBU4U+md9D7cBKS5K+NH0EI6hYYGfA2dgiH4q7To6ODqElPuyzM0GijDqC1Alw5dwG+Uxjvn
XVWHefeGVrZODl/Ugf9R60Z13uvRbF7gGkUZTJsqzHf/cQfDmHJyuz3YmviRvoKLbjhbPTn+Ryup
WJQUCPeh8O1/6NW1n3IjjmQCBQwLJ9T+y3/mGTKj2huwf+1G90lrVcCKCuhWaiFlZh//A3mydVXh
p4fC1kPDU7k8H9QEE55zDIZ52rBTXPEz0qWvGn9F4DPtSs+hP5yxNDVA3MUoWw9M0oTSlAXI5TgO
7Wicxy5In2Ywdt8mP5kuDoWD/X//1//6v//7x/g/wc/i3f/3T/6vvMveFRGVr//z32sWQya9b5J5
01RdbeF1OJDTCGIdTx/YHUCXkKSlnOduGPCu2SYhlWcCagRh4jrS1u6PKQbxVGMZxOtJ0WmuosL4
S+na+pl3xrjhRSo9tK5cookToM5N1eDtY7Gg1yMN+MEWaGrZXlQr0eMwd/qJy3TwTAVfCCsz/q7t
AYFzDDYeG6v7cX8xb9z5aMAxpCZM1SJVVBceZ1XYBwk8fLwj8jq+lGqEXyVSHccmaGEImn2IBk+S
Hu4PerO2vwdl1qoKoE5f2ijPUzm0oQXqbW668rNqIIydl5XyFjn8aMPY/nYotohlGg7utTr+ZYvP
SLNsbPE3gGBWls0xF26+h6ra7kcfV6XXzsrUqKloljBRJrTVhcmX6et9iQY+YpPC/lC7cfpmNKpf
ZtZnz68fiLek6VpCo4GqLkzZUs22ADahFoBObrMbqQi81YmqR3rgsDPvj3VjAMdkTAcTSBefPQeq
7vXmhGGL4Urmmp5AbRQt6UnfJUZBwwKU8A5DjP61h1uO58rPRVzR4cpdjxeXbYDQGePVoPFPaD4q
B7Obs/evnhW+nrpLk0KltLH0s86qYOY2d0g4sSPz/CJ2jxBGUcZtVcRPjMH+cH+8lV2oCwG319UF
HaHlEdcUeLCZCgYvVbvG0y2bZm6FPJE5OPPn+0OtfDDYlbrFfhesobn4YL0sDWQRdhNzntqf4rKj
4SBK81eLQOEJvGr42jgpTEPVwfJRHuCA6XLqf8RJBT8ALkhQdApivOc5KMjIgVB53N5bfowrq8i2
wMIOiSYTdszigKFx0EriAoIz6ICeMXThBFCd8eCuda+1IWRWgMCIU/zrsvOvZ6X7MFPgEMmzbFY7
RY/Uiw+AsFZicyNArX0vYgaxEKgt0X/xvUodkOEYMpUaHAMMXR7YQzDGp9AaUFybq/h4f3+sLiJd
U9O2MTtXl07BeH0Mae+yFXNckE/jYAR7E8+wU9vEv/7FSLprIDXiqIIL+3oNIfnjnSMghic1bfm5
C/xDXRj9IR6D+t9MyoBOqbKEtmUshgpI6U0tGolSg45OHkoBF8uHdoHwg9hwjby9rdkZyHrSVwOg
iKft9ayAkgO68ZEURgsnB8w8oJpzDMjHachjF/prqGvgeq2u0AWZwSU/TK7Bg/dfLK2jOq6pOY7h
aIvtWfB4z+sRnQfdVyo8kGCbU6ysz6ozxBsB+fffuk5P4C+rmFjYKt1fHOuvJ6wGWVvQEDO8fM7D
F6Wmg7NrR6yNSlBmb9UwTd5FdW0+0hxrnjDDU99y5c4HWu3OBSiO+DklZf8TWHbu8L4Hm0V3PznH
kUZxV4H+snFhyanf+7mL76MowFQT2zG8hH5FkId0YP0R6wOMLg7ItateNrURWsMIhdz/Jr/zznsj
69cLhTIKFJeBkRvEGwE8oCyXOW9tCmdepdn9oyshARQJfvm1UT+pURaeq87f+BVrx5vgz/eyZeBy
FuEY8pAZG6B7YPqhLelHaIw3wP0viIRXG0PJQ3UzXwQUOOHAgG17cegoucQd1D3T89tvFhjNE02Z
nLYuOrIlIkL3V3dtMEMai4L0gP6gL3Iet0xaU+rf0nbMA80rNLN8UkRcn6xhTKnFm7DONuanra2l
Q6WAjES3hb50M3bhWJNF4MGJgEuDti9eBCCw/fIiSNcvE25fgFF0+4hc4PCu5Kagw4UnwIHSSPxJ
0V37cQL1Xe3hz6jHimL56f6ayKth8QEgFWvIpzjU+rhCrjdcLpe/QEILVBzESqcCb2/SejvcH2Vl
FbiWXBJaLihdVRfb2p9Huq/IHnjNpCKpayKQIix9B/d+Ot4faSW0Er41LnadFTfsxd5NB6MHbUfu
R3eovsxh7l9KujseZRTZgrDzU99oIVqQrvKEc0j9+qBKQk2ss6l5E1UXWywbYX5GQ2h5rlIo71tb
hVuhTmXxBOU6fbk/1ZXtbGFxbPJSYGNpywc0CEk4wBVjARSWLgAGPrXU6UBTzxXEMqzPNtZ25Sva
3Ix8Qgy6Lbp513sFEx3EPC1K+oDWmodqSND+K1vnqdYdd2Mo+acW25KhXE0nreHlvLRwxqWnwRjI
5zJOBS2gtIk6JEqjEBFwTNUOg6nqb3DGUjYixOoMHd2xLTA3lqXJ0/JHIgqIs45RZ0IRDdLFkTon
KJISTXRYHcX51V+PzgR65JxhRyA3ej2UraAlD72UJHf21Q9mVcb0DcAdn2FVJi44vL7SN4LR6uxc
m1cld74mnMXsLKPViIFsGDUI2uqgICr2BmUTK95HUMtf/1xhFfmEtmPrBhnw9fxaHk6owbGUKKvY
II3IcwR+3Ye6BN55fynX5kXkclzdxA5WGIt5JchoF+CPLQ/CmYXBEOrDSopHbQf4cGODrF3Q8gTw
eKCkA9dzMS24+qrddUwLkycReKVT9BYwAVGcEdZX0DAOkRxOBzcfeKdNw8+6rvoLXj71w9xpJOev
n7nNXUbznKBqWYtw06S4QokBnUxMd8W5gwF1HN3mUzdAiv0XI7kueljge7gtZDD642TwesOglF9A
tqhjKAA9DKkjHdwrjngba7x29oV8n+GqRt/XWVwWzVgD0WqAU5TAfS/oMdJlw71qX9PDeUA4WrlA
TXT+xXHkfQH/lshNjcK4nl8g0HmcEM4GUZwGMG2BYWShrX2dzOxczq6/8eJdnSPtI2GSYqFnufhw
BRwHR5/QbfKjonsvIjP28OCZzyhqJE+wBLGcQKvw9c9EYrchoVUaaZ29mOOMBB34OqTbU7Cq2kGS
RsEJtkJ/dhn7uxWF0df7u2Ztmo5w2JvsUJtod72qKKGZ/oiOh2dPVvNpnBEarwvgrDGOpJ+H0Emf
ukGZ/rk/6Fo4oK6MoqjLc860FuFArXNRmQNKCVBhxn0xKZNnpwoEAbrFp1cPRd2TmgxVQVkEWqwo
LtuSaUbvAPqvtg+pVj5RVk6OaeX3Gzfiyqwok0NzUgVvRnKc66XsoC9BympQinVV9ZiArKQXktrI
Xzu/7k9K/qXF3QvNj01J/kQ1Rl18tFH1/SYptcYzgJU815hWj3A9czw6748j9/jNOAaPYKhylEms
RSh1RJUnMdK24F1q98xZKU722Nj4jhsITs22+GT0YBZKrkNMEETy/f7wMmIthxeqDbCERplNpeZ6
QZ0676xAGJx41Ro+CF+d/wLVjWSp0+fHasqVjYrrylkQeJ1SIafGZTjLCNqBTRRhQkvRmQOYR1kh
fhZqE3gR7X0ETKQ9JRDIv149SWI28i+GYagqD4nrSSJ9jGg/WG2vdxGnK1CJeGvTnT6iB4mmCS/K
jW/6e9UWq8qlyP50DIszKBbB202HiTZpg7BalyTfrTATP2SI/64KKJ1wp2r02bVwDKEwzZA+QHMF
HzMqkPb+/sRvV9sStktGYZBl4Sy+OC6QOZBviiiUqraiv8c0Mf1FSwIHVAgIj0glWGI3QbAxd/eH
vd1UluCYMn9oIYg2yFP8xzVpoy8cOZgq4V+I41iSSykTbCYv8Fl+sgmjjVmuDqc5ssfkai6X5vVw
SBZqUJcAOUkNwI/geMxLncKLH5URUnZYIDP36vnJFcXnCxK8xhyvB3RsqUpcDA30H4W2ZGxk7Ye5
M+1LbPkDBppFuzHDle+IoRtjCu4R0tbFRWlUfZThsgT1082ac2SUqNdj7bBXfD85h6HiX2ZF0d/e
n6WMPNebmJo+8ZwnDq84nlfXs6RAW9BG4qji6QG6qR4xGUzIeIRWlv/YYVX9E7cN/gGQjDbOz22U
lyPbZAa8x23gV9cjmygLTXVlcWGiX3qg9SwuteHoT+j8FBstw5W9QwVXM6jKUcolCF4Ppfh6XIam
CcShRLOxHqf5ALcasPNcfih8nLzvr+nqzPiC1JVA15nW4lZJMhEqcwT0BIpzfizIIIH5+8oR6Zx0
YxHXPp9Ggce1XdpOqlhs0lgf4XhkUj9mhgDY10pwMNHdQeHb+EzjVz8haCRtEkZlI6uTQeV635Bf
MaTjkkayoovNmgwTzkRZ3UIBob6k4FJ0jCh8bByJ2w/H+4PyMfuSUHNzBnsNTRKI363XNDGSOpAC
9ojQlEeUOlEcwhlmYzk1uROW0xLycUbnSSc7XhyHWi0RSW6NlqZTZT7HKS/IMM4xNTONKsK1xa9P
atlAFrDV7FxVGVKlkdse2j4wkPUYqjcqomqf7m+n229so9+nU8qj88wNsthOIK8DKHh84yZLUYfo
CbIvQdKOJ3SC7C9tCxPzHI+wC/fguAFZ3h995RO4vDPJ+vgH3sYizLvCHuHlVjT2m/lbgPwxjRdM
picoTYTA4/3BbvMkopBGm5ZzYxn6sv0sTXERRMSdQgXafcaQC5EdMQ9nP8Myl8KauBRBhphk17bx
wQKK8Pp6sOAQMT6/wkaQfXGeUkqkKgJPneck8T88iJo3OLT7CMkm5vv7U709QIxEQgaFlLub+V7H
pK7Cmi+xwNvoYw7juArbU0S7c2NDr4xCBsYDU6YG9CQWX69SXGS0VZ8FnV1ov5j/PCg6Uqn353Ib
8IQsQcrZQG9hu1zPpUCzFiXpEXlWKec1hUZ/sbX4xRjm+fQvRrLJ8AxedlTNFplsj2gZ7JUBY1fA
yPiZBuIhQ3wYvQ8jvdwfamUvUjvnEaKhUk1nffmBQgdbGltqx+D72MCS6KyjOerDG02nXr/LjCb5
mE3w9hrRV1+awX59JRn1OSBDOgAFm07n4twj0Et9JwNGhXlh/kQ7fD4UA7qUiTqah/tzXfuAv0EL
7u/Pt2wIogHTd6LTB+R4KmhSCWQyuO/xO9QOtzoTctmuIyzuuMxIAllUBKUXO9LxManSJtiWlTEb
H9C7K7+Uiq1/0RXwvbu+ddx9VuTFq68rRgW5xoNSo3a2/JjI9YxjGpi9NwKlfMRYqdxrg2v9i3OA
wR11QIknoJF7fQ6GCWNo1USiHcYhuqCzgVarMdceXn6vL1IxFd6TxA8aq1QEr4fSdBjLgKyBPQks
SwQirQec8KxdYCDH8vrNIWspEkRAB9xanDm9bjAF6o3eq/xmOs0uytghjeJj2o/f74+0Fq1oxHHN
SHgVzenrSdmtkblzittGVZfdpa15IecOSP/7o6xtdi5Uw4JbiyqmtYhWpeFT+ovhXlYOtiGo8iMF
XVvVeW6LfuPyvBmKSZBV8xLG5AuEySJLmtFZauwOb1fV6sUJe5TpXA0dNQZYSIf7s7o5V3IoVs6m
SEqmay5uLgUjb3hFyB0leRacgT8HSBC14Ts82Zqvbm9CSY1x7Cg2ZrgyrE2Wi70QXQSumWWUpJXN
PijxwuQKIKtuX7BN1E5plug/kVx1CkSgrOq154wHw5+DLja/hRROFoTjjJZdATlNx2AHVY72OEVD
f76/rCtfkE6eywwNIDTqDRQp4gmko5nglQhvPoBYRplT4OcGANzcOGc3eZ6cFdBJ2rWsJYCJ693v
Ay6JjDGRxpzpiDUb0q6mgQAP8AXlVPa6/Y08LPkwimbj2N3cdIuBF1sHTRdg9WY4e22rDUfegagX
RRZUTW2OywfU1sM9Sl4w8DEffqKxnG0cyNU9xGXAwaeDQmX6euKI7M1t7WJ1ooaYUO0iFVnLfRCm
+ZOPREAMRaNCGWRC4mLjil8f2LDQnaKLRsZ5PXAtNCRYcdqiy5f0n1H9qP7WsSE6QYUR+0oV8ynB
BPL1B1X2yKkGcv0BBFus9lAqrpb7hZwtIH6PklWTPXVtng8/5j5X3vVhEytUcIv6x/2tfBNdgRXx
CqZ6SwHFAF53PVu7mM1qQgHHQ35BmWGTdKDicSwWH18/DkmnQbrpAiZd9t64LvTKqeFP25ShpKPO
VPuPYQhvZePzrU2I0ErlgiOHAeNiQlE7CzP1E1VqImPeWuC/MDf9Vn92JQKIP0dZHMswQaMd4Q/V
Qw6kPQnbR8U9dKUKkXh1SYQvRLJOjwRyJg2axXWBjlSV9aEO6MYu9K+hMmnv9U7Q7QJPtL//kVa2
viCpxbXelr3nJY4OoxzHzVNf9VB8Q20PzUpUwYfpUveqcw5w1t31iLNvfLCVCEe+Ytu0DzTEN+1F
JqGKUCiYbGlIzGX1Dyovf6OIOD8PxIRHKPj53pqlt5wrEJW/P921j2jLChfVBOr9y62C2V3QZgm7
pMvs6QQtHSPGGJafjtbOxuW0tivJ2iUgkvT9Bizr0uupAwuJEArgxalQi2ovKCpsxEwZJa7SaLYK
xUIgfAL2orPsHAoTyc9qxsUNePWEeqSoLtLv9lhJu8uhmvSNhtraAsqKiAR3Cl7HixjtjljGYfOl
e7WVZ4ci7KYjzl/TCV7jVh10dShBAFFJ1y2ek9dxSq1gQtFs0r0KUuKBaIkwIQZl6E6KLYjs6ipy
+1FXpDRIq+J6qCQCrZ+JVPcaPDEvkBjMS4l7ysMIc/HtYBnB6f42XDt1fDIio06mRnvrejycE+K2
tZmaYdQ/E+iK56iFNZfgkLtvMYzAvHouNsZcmyNPnt9lc2oqS8hACeA9yEfC/uS2qjdrVRLvp2rI
cjj0+DAiQp0/3Z/lbWeEzelytYGeIbjAl72eplXYGAJMLoE5drtol0a/Ja9HVzsmyCcjXIdqGHHO
OUahhRodfEPt6BcqNLP7P2Qt3jBvnvDAvmjSLOJpIjR8osII/Fvs6O8UDFlUMBr2cKKcNvzIi9aC
uoQsfd/UxhYc7nZszj8BFiM/yvnUkq7XoFQCe+wnH7uuIq72nWmOCTp5O909wk1q9pUZDoc2a5TD
/SnfRh+GtTT2sikxWcuHLoR96lryYsdb3TyIKfbfJGjfne+PcntE5QCgvXlJc1Ooy8klzjxhJDeC
pfUtAk+AmRZyL8exrL68eiRhEgXkm5ocbZlM4ItOkW4UOuxEQz+4yRyeBsetTto82BuTuj2cNNIl
cNexAWPcgMwCO7KUvImA5rvIqht5gXq4qiBLlTv+EUCsgtRAswVUuj2d9J0BhfLe5TFKG+R6m3QC
MndnAeKDuxmdzQpv2xqbufPYwrxtInDEr11PWU7iOc87kV7Tcj3zPkka/KeQyQrnDq7vWBMZCh4e
Txn4mo3NeHsGrgeT2+iPFmHZ+eEwSASRqFuEqJ0GrYigM/bqbA1Y9cLbFwUhPsPVe6PesxKCdGBf
iCmAPZeJziLSFqrVWgG9TzrusXiDjWHvKaH5kisWbkUlsqcIk2IfOyJhWtU4HluZ3m+EwdtPa3Nh
whST7BICgNxvf8y+iFwnbFVt2k+14j4owxScplT45ySrZhSGpq2U7vZQMh59aGgsDEgF5nq8FAlH
JIDcCScd3X1DxXnEDC009oHZbRUbbj+sUAkyuqbbPIshYlwPhZrMOKOVMeytsu5RNeyb9lPkotmu
dW3SQRkerW8Yr9SPAW7sG5vqdlkZm48KstmksrKkWKWThp7qWAx7B6vwNwMMmnNOQRbdK705harW
bWTKt8sq80YawaQ/DhhG43quOOaMih2JAUPEiuDtxuMOOQ2MTtX65f7Z/N3yvE7qhAS4cnXSWpM9
r+uh0rB2qdgH0x7rWGQahww80a42sUoF6md0n3s0s97ZKO28BZU7ofUf0xzZSYFoPAow2N0NaWZv
9E5vLxShE4BVkmZ5lS1RgIhHdSowYlRUfBXTQeR8Qs8Y8unX/bnLq3gxdXhclkxUKAHcxEF44rhu
aSbqCkGDghBUd9UD9FNFJw3fUbBpBgAHmFLOHrnO1thlE7p593/Cyoem6CJHp1iHGITc9H+cV9P1
0Y5NHDa1pSZPpAjtWa0t9QHAvLHxEFodin4aFBxiPsjf66Ga2CALabRhr89KixdaHmqmFzYNis/C
GLqNx89KMKRYzIPLAAkn33uLmYU9X0JFsgQlpEHJvU7X4EujqfNgQFn1+laDt25M0QmWsPPczHXw
Lpi1Lb7n2heGO0uHyAHGDSNoOWc0BHWtGPEX0rSnSTfwiYmo3OXZjF4hbrAoXerKPk3h95PFdB/v
f93V4TlXBA+L/bx88Jpp44cJgWOvaYmFBqVGQznpoUU7sTWilwg+HpB1h8pDiU2sIl6Nt3b4BjSW
JSlIvg4X36C1gXZ0Yz3ugz4rv5c4Fp4Mv7N2Q1d1G0d2JUJy8bCX4YRSFVmSWgKtc1p9HkZkUhKk
NHBQPg8jIG+kbiJUb/T2dH9p13YzwCM6t3QyNZKn6y8bY4qZmILtVfXu+NFmgD0Mx/YxLqMtJMda
NJLFEZkugfVa7uS2UzGOjMA6JkapF5cwd5BbwggN44H7c5KhdhGPqFFwb8N5hWG7pLyKdOrLoOCG
KyrDecQc1Tr4BTJERdfOH1oL0WvkttzD/UFvPhwiAeQLpLkUQw1StOuFhMWemmknWq/F1yHe5UPm
PqVtaX7FVtR5jpWk3oi6N19ODog2n0a3BeLhMg6Zk1UPUwHcIUlncTbN9qOmKOE5ihptIwatTk3I
J4PgLoGLfT01M0zLqhoYCbuH8lxWaEVHSIrtqlQdLx2KGuf7S3mLXpdTk60X+t6guJeQS3TvA11U
rGWeIQHRhWr4ZaRJ/mCYPT4f9SginFFS9UXtLOMp6XzlWXGC+IwyW/fq4hM/RQLXIHcIKM3O4rM2
1VD3Fv0Rj/+o3qZ+ZuyRVoQbYHckE/fnvfZFye6JsPDQWetFCtFrmpHMgnUu6ZBksGRRHKYvhOyj
oSTjX/cHuzkkTAxgFYIBlIQIrIvUaMRoUJltBqM+OX+N0PV9qbrWfV+EEZoBgz2DEoH45H69P+xN
EJDDoh0Ay0yCgpaf1hQNf9lCzC8b/emIXIyPDUahHu+PcnNhyFHIbuXrE5DwEhtsRB2i7zWjoNA5
7P0BTSUfW4kdvqjwkNBWefLbNHrCKKPb+xbiSP9meFk7INGlWro4MEowgvsrbGIBckunfLSQ5+sn
1Efntr3Mop0fWmLsyUU6b4edvL9xfm4/LWUTTo2k7MBNMBel2noYq7g11R6vyXn+OvYYFvmtoHSE
iXGJsw0u9cquL4S6cU3f7l8aQfwrG8BsYGuRJeSAilAKpq9dJAzOWqvvGrt+i2KJ+nJ/gX9Xoa5C
PJUhg1MJLJCLGWjVdUiakAsy4iYkAcqRWT8MqqO80yKzTHbhVCdf1drWMdQVyjdcjfK3nRMiCRxh
do16cPpSar3y1CPC9iFX/WJj660tPiQC2XgEgQoc9PqXoayYG4kAtWPFfhTvGjy0dnUvsFdFBDjE
WgBnZWTwt8pltzuew2yQoLDuRBBbnrs/EmDeqiRvNQ7grssbdVfMqFjtksZuvtJR0mwKsEF8Mvqy
/4YE8BwcEX8em434dXtPSK49DgAETA2E1CKkzFlTilHg9Ayitzo1ato/R0FbftbRffuI7Mar0zI2
AQHMRT2DnJQk5nrOs8D1CvZW5w0ZZttJVCV7jCI7z0RIbONIrWxtZiShDaCmASQtpkajsRG1NJVP
uY49KSXj+VQO9zlaMhuruDoUWD0pQoL27rI+p8RUOSsTNJnqhs/YYHWal9F1fLSR6t8CCK6OJUuc
pPXw0pzFCuq9wJi+NDpPyXStRvdrKN1zkTTDUXXz6fP9Q7uyPSRHkqwW+YxbmaEwdGV3mMHKilY1
Jc7nGNVbnLwGke01mrXDxkre3jVw3+CHAMOi5sBlcL0/uAUio63ZH2JKh+fZJwJqJZHg/rRWDrzc
8Lz+UVBCzmUxilknCIKOFQrNsx6N+9ARMWZTYZVQoRIuxhW1fohLH3fE++Ouzo4elUV+YpAIOtez
wy/axjqpJtD4ilS+pFB/glOJJuP9cdb2CCGWhx1B7ZaOqXY0i6lFdl6Lt/qhQZbulA1G6EWG2EJR
rA4l/5pBf4X8bxHEkhLyyRCxQwzc8zyyJO0h6/sfZpc7Gy2x22e1ZCLwOICSwEkjYb9ePQW+jQMF
n2DhILpWm03xT5FTocBZM7kUs2I/ma35V9AP2vcYzZAvLjfKxsKufUCSFM4E/CXi82K2I1ZCratx
U4RYGHiIzM7Hxum3RC1WLgb0Zyn0UQoCAmwsjng5hFlBy7b3sJOSfbjBv/T4pR6MwkEqrwKajBQy
mlhI7J4qw92ifqx9UpoM4N1caArG8ulslDW+7HQCUMLHW2hUkmqPbiR4NHvcKi6uDkUxXkK/KS0u
pbYaDPqQcSx6b8hjRA+rKd73FgiDUbrpvP5MkH3QCqR2RzxbfDpoybFRqYjuBjy3vqt9U36SirQX
cKf+xk5dmRW7AxAr7RoEGpbcGSQ8zFyZgbL6vEL2JjzWgzKKYZcNjbuxIVcCNLVH8IjMSV7ii60y
IF2qhSl2NerMDRDpbR95eMegw9/oBSTixBwv99fxtmrKmwoFMcjzFCAo7sjd+0faUgMA7lV5r+ZY
cqW7LJ0L612nDAO8z2asftitGbXeJGhE7Ay6Ae+rTGj5PsSr+O2Y+EZwwBJW6/7e+FkrR5PuBzU3
tCB4PyzpPDEeMwoSYVz3+VgdlcFOqmPXYrV5IWiUP20LSzVvipVQ/9yEg/0moQOBwGIa5s9m3KfG
02iF4miMtAs/tODCyo10ZOVQyw4QZV063+Qji9ivofOCOWvceZjWTns7x1g7gMR6cKvkbVT12YVr
SsOvquqOsqv8+t0Pj5r6lKD9RStR7qM/PlohLF7kNhMuwyja9a6lPEaB9l3t4JXe/xBrm9/gISPR
e5YkVl2PFCOZrFQ80th7eMFAHGmwYUVq2Johz98fauUal49FlhVEAYjxxVBIz4UhTA6SybCaHss6
mEhjaxxi0EYNTpU+2Z5W1VskmZWNhoQZNCM+IxygZZ9JRPgooRbUe9iwobmpj+lXHB3zDVLTynZh
FEF+AvKS7sTyYEe6Fvcm5WJN67AWnVv9MWwS4283jsVRac3wKIrW3kdYTiH13ph/3V/a38Joi9ea
pDlJXgakUqi0158x6hFqzgbaeG3v1uZZ931EwJCX8aedT3/C9/yqi/0DthuKefDDopVa3aL5GZvj
9Cu1OvVblYfVqeiM6Ii9cHgZKFl+apQksg9BMpjNEbsZXdlFadhQHxoIowcs2ewSVGmjRWfHSocU
7x4lP6RIvxYb87t9jZJCUBemZAvHmhrZooiaIKnd2mRGCGi6n6OyP7m+jdsaLte70FXcY+JkyW6Y
JnojGV1oTYY6qDkvWWS/z9vgYlrt+/tLfrOb5Y6yoVnI2s4tWCXGxCiiyEwpKZisx7Yq/GSnVo76
GFB3OooWy1fKTXb72hvk97AGsGlJu6AjdP2hS6xFTfzBWkD0rsvb3G2OZoO65uxP4tB3SbNxf9zE
h98Hh64AY9HSXB7ajLJVGU5ME5k891RW/XBO/Q5HEtgXG2n+2lB0gmXL1CHnXrYSedzGIOl9Clet
iPathVG0huKgl3HwNlZRRu+r48KsoOXRnuUByH8ujkuX61YTZX1LblrDDExEa/6Np5v/pe3TZh8X
WoH1TDw+d9O8JdG3OjRlZYfUBtEXc1G9MEDUwDYe+ICzHR7iSjelgwQi8eMQPGG6GHjo76PzPJZb
8Kq19QVVq+kkcPLhu4hRidKEiGS3lOzKed61qT6jcIcnMIrEW5jlmzyH9dVBOaHgCGYEBPH1LkWx
3Iotd4IoGIBxpZA47Uc3mneYJKb7ubf1DUDD6nhSWpTRpMLW4ramEslHpg3gqYiyHbI4Tw6VaZa4
eoTNk42PzEbKuDoeL0ImyT1NPLqeHxlXPA5z1HFhJcNfbVe5+0Zrigt67ZhpQf/byAd+b8jlhgWm
wYuK/rcUXboeUFeKinJ4RgbUlpGG/1WcVcdQ6S3NMzphvc1iO6P564qOe8dVgreFarbDOzXskEZ3
Y4AmO2w8cweLJaTUdy32zF/4n/oHXF/wIL8fGtc2GgqehAyoFpIjdv1jeXuOmhNykBOu+4M7OvGz
H0knA/TWX+4PdfvKZKchdswDHdgDD83FSQ6GiA5pqdA5UVTlhTNbviTmbJ5FN2nf2xrbIMwO6+iR
KGD/ZSrO/FNT687Z+D5r+4FHNbuB8gs4CON6xiBmMU1BsdxTU3/Gqzaa3pitbn9R/Sh6KR01/Xx/
2mvjAVMCvYdSnuRJXo8XBkaKbQb84rYzurcjboPdDicErF943ycYTpdb8JmbNIp1JmDB1zaouFLq
vB6xCpJSEzVEV97xykeQZrjThv5GFrU2Lcnpo4KFLgYF9utBXAQd50FIJXB3sh+aKvsQN6OOAZDC
A2Ds9fP9VVzbp38OJ3/OH1m2ptVNqjpF6/XYgu/DSHe90E3xxGti+3B/qNWZUfCgngrEmjvueihU
dHuRtTJ/cerpiYxCfV+Qjr+U5HPFTpkIwRtX3NqIVAMkWoSACG7vekTVx6WXdzwdfKcazq7TNrhG
9/YuDySoFF7SxhH4fT0vQ5TEr0NuUBERXSIYZkFwHw3u1LAfjfBgtY3xXqemYx/dMKo/KAN+AYjx
VWN08E0s6Q5kOAHGSHXeftKUfhL4n0iDjVAMgYUZdTvmh1zXe1yn09I2IL6k2rsY0wbqcameXOKh
U8xdb2TxP4Oph1iitH6jb3y3tS1CnUzyXKGE3AAsGz6MXVisoiuk5Sfl3GNrJCrGX0qyETVXPxhd
ccZC5oRqxPUHEw4Cc7lFSwsJ7ulQ95n1nQLZ/+PsPHrlxpk1/IsEKIetWh1OcvY4bITxjK0cqCz9
+vvQ31241UILZ7wa2MCwSZHFYtUbMFSyLSUAvrX3wt2aGidZo7NNHOEFeD1erC4GpoYL4+kUN0ul
Nw6dU6Rn0wz39uLWUNAoAPkhaY7I/mooDZllio60eJ08TA6xGMVzOmP70LZlsvOe3UivKCrwlkR3
BQDzupM+WIo94CLQH3qIKT9D3corvzbn4WCrinhEVas4jrVaBaPViz1Q88Y0ebOD+TXolkhY5fWK
Qu3J8DuCHo+xMTZvwuoumbLAP9XG7HQ/nmwOBefUlfBNE02A66EcRC0NUZJsJEn0a+gq46TXPbid
dtyTeJbfZnWswbdJDC5kULblKrVCJrBbUpULNiqV6pgW6EuYVq0eXz8fBEHoI9BNhoy82iHEX08v
MYI4dBZ+OjgON+NXgVPbwFuzzn/8l8G4NlHMlFKkq+80e61qKQnZm50sCdzIsX3MkSR/M1Wt9vn+
UPJ/dbN64COlrDLguTV5b1rQ9k9zyiual+CIo1feGQHn/pRlo3UAT6hRmsYG+f6gG5FEcmplPkJF
gqfU9eZI0eFY6p5BwbaEzz3XQNAbo36aQ206DBg77zzctibJk03C3f/3rrkeDzOp2XESru3eRk1y
NPvxA76r5oXtBH9InZvqAQ3S8vU5OPmwrB5K/DvNyetRl8lsLQpx3DeicSBqjO4DopbzKbaSxo/6
ePgPW5TOCU0orm/KgqtdkwF/rBJZzYdJVx6B4KmXSoGViJFvcP/7baynZJIDAgTBQfFwNTPZZeha
R2m551wzwJtI/4I3lK4GlapiKwW0Vkn8qdPN7/fH3YidJF5SyB1VJzrrq31DMA1FI3O8qTEmCSC2
fPy6qpeqgF80AVrDNsiKaeAUYuf9dqssw1OBZ6m8hijxMPnrj9ngkew1fd8d7KarPmR6pQsqDsP4
FqOI6NgWXE5OqhantO8qYKFN9x5zNgxaTVv5p57VBn/HtPoPtRapEk37D8gx18lqPWpjMnoMQYHl
q9p4VCyhP0TQyPzS6+YHO7LU8/31v0VlyVWAACW7EA7Sk6ss0WjcmJoztQFNoUx/aJWKBCnTi8S9
YFm3fNDmsjVPPaajj9RnMagdlWxID2Y9N78GdyB3uP+D5Kqvohe/h1MN3FqmCKuvogkkzHSV3xNP
OKTluNQeFFX/RqniP+THnCwaI1zaEgGwWmo4OTO1lpSCgVo28XkRvC792TGw7qutIn6TegZ+jfdn
txEm6UpKYSgpfYV+w/Wec7TCqiFjoZnWj+I09L3mzxg2ofNvqB/QpNtTVtgcjztUNmK4tr3VIxHP
RzuaXcTEnKmyv3fdVB86BUNxHN/oKUxFvLOdtr4e/A5myAuZ22B1c7tdLDBsRUKsgA/pmyPS8Qa1
nrPeKf9lKII5rh3EDSBZq4ilLA5aUAKlyLQyaIFiBvkyzd6/pof91es/GumxdMbRKL2sQaD4/eVj
o80tVD07vljtWD5jzPJVsdso8DreAveH21pDAiEJlgT536Dek6j35pZ3xWGKrN6f28k7mHA6fXvc
Lc9tJFp8KolwIAGCSbo6An3jWTMwHgrKLlpsJMzaxebhtBNptzahBFuC6AI9xQ1zvemx+QvjUKPj
p5e68RYNbf2gAyjznRq3ULq6u2xH+enXMYT8EfIC7HoMPFbFIC/Bvjl3OWXJ4JTEEIqCCaJ6GF9q
SbBkY3+aO1cJ+rooD9Oo2X6vF+05ahxz52WwNXPJuAThT1MZ3N71zDu3EXQTub81t8wOYimLv/Xa
aXxITnYgxK7U/db3ROKeo8dCQ3Bafc+ERi+y3nxPFMoA00eIMzc40797/QaVcDR4eTSASPquZ5Xw
ttBcfIgPaCWXR8ph/9ZuJD7UoDx21m8rO5DNUGjVv4VhVuGEsmIzGsg8HmxpPpt4bfEtHJvqmXJH
QfEpWZ68DHd7cofo4/05bq4kh57QKVFb616sPWUOPvXUaeKh0L6UVVKD5XCnnZMhv8fNRgVOSN+L
6Exqeb2S3QDKya4p0eh4T1/o/SffEqOsz7U7TkdjbAcURC39ohaDivVIn+wkX1uRRiK//394fXVO
Gjz+7MJjkoVR23S+J+vd7GmoI5ltcrm/nptfEh0mg2KNTidp9SU1PFd1DbtzQDkWbvBapJ7Zo1mw
uCnJTbgYB7ptzalDeGRnjTfPIHMkj7ZJddbPViVN+oXlRxUVoUIAajN+xLGKiiAZ3gEPjHznJbQ5
UzkaeEIZv1dXfGrhX9kMUr+ziPM3XlyE53koM7xTi3zKjmFrKh/Spe8+LJpb7VwdvyEM6w1FIgdg
k4I9MKhV9mR3sOd1N6K8SKsFN2JhDJq/FEv2F8gHVX/gBepo0twHGaK0j23u6TzDVTWGKSi6WtiH
LhWqB9EBMKQfZl5b+RMGw6PfCkfHrBx73C+YaI+Nr4QDirb3d8nWhrSpQUrcIhTxdfqgwEHC4pfI
EudxfyQj12J/Upcc3LGkhvyHZOXP0VbRcq5SrUx1uScVJzpNaL3TZk6K5DFBxmSvHrW1DXn+6795
QMjIrS7BEdxbO3pUG3CHQybJQa1SnQxkZfK5OnltHe8E6a3QwhfVYJXyYiVMXIeWaCnSYlZo2gKQ
Vp4Ms8FkxrTnWfXzCCbNQZhzNga91sd/pbnl/jPNJubu9z/nVhCVvADCMZB5dImvfwM+U7FiZw2F
sTxWn5a6sT7adjEe749yC0TgCcMzTgJ4cSLAivJ6GJ2vl4atC+mhQsAH0UY9/TdqRpiaCjvf8EM7
/FSUBUwrRCyLINHy+KcTuiKhWdT0ChXCiDbKOE3Fi1LidB9obY11yqgYS++7TbF8r/u6Kw7YsNaO
n7ZKaPmpjZm3rytaUb/BQVVLDlGOYm4wup14NTKHvUEPlVoHpSNUfFax0xF11hQhyzihlfJ2cMMa
2Vw1O3WdunPfbpw/rnV6xFhNUoBeF03FIhyR1VRVMmGZfi0q60KKFfo66s47e+N3v2gVqmQNheyM
2jNvvdXmSIqRRMbl5Q/LMy0PTl3P4WGJ8vo7pu3Ke5qrqeNHaV54D/CFeusj6iY2e9iKRvycLcjO
/jKn2otLEazxU7Xu8U9um/F9O7OUeO2aXn24v9PkGV3/ZDICJMZl2+1GVROmbTa3KYVeE8zAKZmt
+ugqenmwF739d67iOkGksbKtnai49UZHPo5qnuzhS/jH9QavndwWScxTuzFy843SjlZAfwM/94qy
SH9oMD7D9HwcMkRSxXgcZsXz7QalN464/uv+GmxsER6TUueQwht/5Jn/o4EFvh2RJ+zgDzD8jB9J
POhHTbjgXdthxgX5/mAbC+4CZeOFIrHDRM3rwVyFkoPmDtyloSif3awzDkM7RCeefDVENb34bljU
vu8PujFDBqXGTTwhA1w3VhsHMwyzWYDQjiIPqr7XH8xeVQ/I3vyHVo8rSZO/r2uK96v5CXVg57gN
QsLmUBxxeDWCAaf0Y2hQALk/q62llKf6t8TZLbh1cd3JKnJeeYOeKidwL/mhhbR0tmsgwhisxU+O
Ge/lXltLKZeQ1wLvZyiN199vGV070qUbhtsL7WCmaXcypbxOh8zP5f78NociweMPtwHXzfVQ+agm
Fv5TGG8UenyWTuDnzqvHAMHvPXjfFgCArir8FOgwEBHWMPMkUSs6/5QeyoSTlqF5caD/Ex/xWysC
O5cqDHibH9OkngJkoiNfHbN2J629NXezCAgUIyDEAiu60UE0nVqthxD5/WUuWnGq+KyfKFREn5em
djrfgTdf+HWG0dLFbQe4jZNa17VfdF3uErGc6MnRJnp9lPrsh7FsSMubdJo/3/8sG2kPmjQkor97
+VRZrz/LEIsqpybQHNx4KunnxMvR6I3PbaPlj6FnRTsF+o1dAEsOAS4qe+QEa2hppc6AVmzqT6Bz
8re1CCtYlmH0XNeLuneByc27ug0kLQ7dXAR+eNms0keSvSE0JqoMtZhC+2jMTh/Q5EaW1RpEeZlK
UY2Q+sPxrBmzcoZsHhW+rVjK6dVLLP1fyBFgPaBRsTpkNfUbJ5kor6jDHAfaWIOk1pP5aHl981SV
Ivrr/nibawxeTlJwULJew19qlQfCtPAoN7zeBlIW1wfKHN3jQEng1fkIbxnPIG6hk0D8WCXN1TRr
emejjm1GuXfBsizHNyRWT4XorJ1VvJ2VHIpB6JxBbLBXG7Ut6gnFMbs59Go5nSzYwb46hP0pD3e5
YLdnglI7IBC6jtykQNWuz8QsHJyJqkjWE5fGV/EoxxIwjY+LrQuftoB4uP/BfpdCr3cqC8hDQILe
ZZNHzv2POzsuTaeiQ8bcKObjgzq4VnUaFJ7i/sAZeZuWuE9ioK5lJDBWZz6hHuCVRyRRotaPo5Gn
gzFG+eCHTllkx7qwjce0CId/U7fQT2GYdFnQTJP2zNqNWVDrRvwuipCNP96fyEbglZ5AvPR4xktX
mdVEwkqZbTVTmkNmmuNPCvjFQ+W02UNZwDlDc7nrjihpemcUAtQHzw3VL5Tbm2jn5G99PyhhIGYA
fyEhIf/9j+VMvAZOepwRZJDJPiqRo5zUtrfOQ6jrhzEs9nTPN/I/pCep6wFqhPBD0nU9oNfEhqHI
qJbZs/VSTiPVBKNLlUudx76bp6fYNtGBJfIdumhypHDdSbPKV4uzUmTniCABKH0PbuxQzNkIXWRR
8WaKTBSndac/TzkOE2PTkrlTebxkZrpX5t9YbLJNoNgUAKW7xeqT1zyMpry1moPXuLB+nGp+Do2k
fTN6GbpGaAPme+IstwUcHR1qS4qySs/zddIyOmpZhRMi4SJXwAIIdT7ko94c6Q3iO4c/b2Anoxo4
gy4+3d/fMndenVONngmq6PRONNLC6+9MOXCqx5oC3BxjV1qXVfri4lm8kyltANuZIDIBUvZQ1nBX
Syr6NlvCyWsOqimQlQjtuXpw23n2u1DPWr9TEyc+KtLpOpopu6aJkn4ai0QLVC+L33fukFenJozj
0xIb7k6s2vrc8HFluRzQKe2d6yVQ2iRL9YSztaSV/skwob80o5OdnAiUS6CF1Ph2TvNtYkyRBI1n
yCE4jNhrBI0IbZUqGSMqKpJoRWyah7hznbedl4UHoXB9W1THdgbdmuafg66e9JaolsJWY9rtfWbT
nECQ0FPIHEw71N8O4WTs5EW3e5pzK3mRoKF4wK4f9qo6pmOUDc3Bnr35AXAZ3nthoxyrJlv83pnG
I0VL8xxhSrETs29mSh8C+g1VIGqh5OarmdaJM9s0+OHCKBjwXEyziRDBMIEEHAR+ltkZNa9oON8/
SHIHXx0k3qUkRDziYEkC/1rV1cMlTvOZ7tmhh11dnPXeaJ+tJtSeSlsL98LizamVg0GBkeoe1F5/
J+p/XAdzm3Uo31S8gKNFf1v0k37yRLmn4XwzJeR16FYTk2QU5GhcH4wSmhxfMBoDO6pHO4AfUwW1
kSNK07SVt/fw/v2yvlpBhqPCQc+OghCycqsVnFvdKkp1HoIEH8xR86ew9GhGLqXqnBYxaMtx5Nqv
WOBi/kGPxmpPVp6ama8L4sdxFCpsxk5N+xCF0bJ9g1NoN59x59Ci0whQ5t8lTvrvveqU0ALSHrUg
Yqy9vFe0SAkBaEaDe7TraOoeCQfVCxOP8kPCxbRzMG62J/OkOMmH+/1GWbdASthguWP1Y+CFU/1R
rcbHaFTq57TPncfctPakXze+otT1YSzZHKBLfP0VNWhEbZ7nJmKrvffV7ZzouUJk6JuhD8vOA3Fr
KCRZUAzhlUrnejVUOwrkZuLeDIRRuB+NQiueOtUqL/ak7bUdbkIoVxbNaiomAH+B2q8S2r6Nl8nu
Garu++kJmUc30LolfkxzrCKo9evP9EDNnfltfDkQMkjOsJKAZda8VmPRGyesQiMoSrt8nzjJQydK
5ACbEY/WrtsjGGzN8c/hVgeiBK0ntRaMYCnwUbl0bqROvrpEmFB5LaJpAzDDyW/N18MUWVxAcxTW
uKsBO68OfjK5emj2yI2P86R+y9AN/irUSHzOs2LZ6Rnc3BIkWSjbUK3hGsVfajXHVnPCPJIYHzEv
6hE5a/U09cavxYyTUzEpOhIwTvFLtEjl34/XG4vLwA4mgnxMHimrDWSlOUI+kAaDrHPEcRl15RP+
Xb+qXh3eTB0Of/aslcf7Y27sH/henAvpD0uMW012dGuHCjNjDiEYqEPZ5t1LgR0d6i46NLBydp3T
/RE3TuTvajeFPso19LSvD38rutjrlxoIVReZ3zS1a9/MZur9KDGV2Hk4by0oNUz5NQniMACuh1Jy
jMqL1iVLrTq1LvyuoTHx3ulKB0X+jmeK3rjuu7HGt/r1c+SlAgmA0gDvFbnqf1yGiUCE2Oh1LWjC
sDeOnSHST+TRjePnXtHsgEC3FpTN+pv0xVzXnsKNo3dZQhsjKMvQ/WJUc1XRwBPTxXaT+dP9iW2d
DTqTNGEIqBRtV9sFlDUE1tnSAscLG5LkThue0GCyLjUvbh1hYBkJsF+geDvm/Y59q8x6V7exR24K
ZIz2OaOvkihi65KKxtQRwqyV4WGmY3VxwghvYzFHOJZBrDM/FCTHn4rB6n+VLUrJr58+kGJwqLJp
ww+5/q6WwS05tsII7KxwB58XWTqdzSq3/s6zRiWjHKtjDAktaGfkQncG35o+GSS+W1Sb5BpcD27o
Uw98bTQCK4zL/AhGLxJ+GuriY+Zh6mjCg32Ccm0HqGUMR1sx917gWxsNlgTNKhpV8jK9/gEZ/i+N
QjEMb0GjDAa3U/2k9syLUi+vrkMRg6U+gVQkQgNmnSHEWpbGjsdCF2McBXns9uci97KHAqz9zlnd
ioAMATIQgAuZ5epm0aNSiwonNYI5dI3oMCLk+5P6jTTUId96GpRu12L0dkikezg/qF0DPYQ0cb2Q
kVXVIQrFC3FpHN71lOGO4CEKz+dvp7/r0Hg1rhnpBvSCaFbB18PvaTWgF2WN3Q7tEuSann7FOegJ
ORpF8zN1tsgcLN5B1jztRN/bgo3Lo8MA5g+qFDyLtTotk67m6YA4XJBUEcSPaZi0p9G0wr9HM7c+
5uEcP3dRWzuHuS7tCxDCEa6ZOwAU8dR/7x/c260LbpG0QVKJ+NJrBu5gz7k7Zgoa1JVjfFKdKf5R
qsJ8qUtRfrk/1O0xJQuE3SyvVJ5d6/RBN3ApSZt0CfoqoxlS6N4x9kqVemFrffJgcB/VEZw8t6tz
aVEKPN4ffmNvkYRKrRNAU1jbr0oH0eyUNsLMC9drk5QH/N/1yE/x1yE50xvxPCBTsPOhb69ZeJfc
5eR2lIpI0a63s5ua9gC5YQ40aRA85HZDd0PxjknuLD+0BFX8THfe35/m7UXEmBAxaUHzcOFZfz2m
YsQgwQTs5qZNks95ob9rQxf8uucoFw2ZC7+hmhYAQ9gjBG/tJAlBIFJQRaBMfj1wVORZ6cWZGuSN
Np27SY+elByX2azLop2L/Xfoub7wABATl1xkF9hJa4ghhLsmH61pCQzsCbF2ROuR3jb6BpI7/4bN
M/r0xJ0g1cfpwdGi+UNC2fhTU4zRo9Ll2YsunOhyf+G3PjZgTmCVwB7JAFaHup2KtEK0eAmSBdtb
PwtdkACichCNKxYoX7NulQ+lZyXZzvW39cVJpUBDUHQGdbBqTaRVFmWS+x20dT0+e4um/5UNUU7N
zij+nadGPVXOkJy0jCLw/SlvHSnCFwUOcEtAbFb3nlYhQIKKh4pEs969mVqtYq6a8gVuaffYxFG4
E0G2thgxRPIycIWE/3W9xQpQkiOsHq6HqOhP08SVB9+/P1eTWwX3pya/1mqHEatYTdk1g0O9Sqmq
wkgqNH2noMim7j1S+aaPCM34+f4oG5+Oeo18U6GQTD68OjNCTbLZbdM5iOtiEsgsGM6DKFXD15Ss
Pg2jVOxvkw79W8ruys6+2diwZGrokJEj87Ral94QFhdDi25ysERL7S+lEA9WPepvehFXTwi39/6k
TdXrozDpBHc7zw/quNbqE1ros1lJUs5BVLRmUJpm/JjoiXVSB+szXEX9fH+Bb4vZOC2B/yJ/gcZD
J3Z1wRtFO+uZLeYA5noGUxwZhkSb5tMyWvZ7RBCr75pJvWxWsNeZVBGJY9Oo9jnRw+xTgs6I7tOj
Mw+e4FG089M2djM/jWhL34QfucZtkcrhqNF2SDlVjv4u85TlwRl68RETtvJH1JThUUVN9Tkbm/hr
DQ3yn1QCWH04ytVJH83kSJN+fu6IRRc1Q35w5+fJL7E+AZS9ZHRld1JeuD5sszLX6BIPE7zUqhWB
UY9jHiR2p39rVUNxTo6SNNmjrUbRPyMutNGhikr1uY3sbE+O+VZqgo9ICQk5KC41aWd1/VOKFJny
uEKJ3hrauPUL8s8T8q7tk/R8WY7gOozHWc3ni13O47movPKfHuGd5FiZIPqFo5QvODSa58Spi+cM
JNQXlI8Va2drb+Q3REESKaltJtPz61+ZDMLBeVydgjSsJsTiFzN50ueqeOKu9L5XpormYJWWHUtZ
ogqkdnP41/1vtnGiweYhVy+1JyS+4foXWMLJ1ahWOVyJVaePURzmj2KIh8927mIjMHRdOxxDZ3Ff
fw9QDWZIaEhS8G91D6Sd0Ae8Y6agVvo6PzUNMMGfcWMo1anUMeK5JJVT6A+vnixEBlgG0OBdWger
CE0H3ixL2Wmb1KSpv0fKHF9S/DfE2c3yKvGjVozLYxoZ86sri1QTCdtUTghiHLfrVcYOz5zAlVEZ
arJaBG0LS8Y3MpELOmTKconT0Kj2gsXGaZSqb7yLcIsh7Vld8lma6zDfMi0wKwRdwI2M2bNt9vWT
N8w/DAgOp1Tt301eNpyn1KlQx1X7j/cX/DZeUZ6Aocw9D/capczreZtGuiC45bUBnmf6F4pFFr7u
VqW8b8tl2Fnj21Y+CG+KmlLmHiItF8X1YDESLYO6cFgWfWyrp4IAVQZGHjvfzB4Y50uxzLN78sxm
Ng+RNZreoQ1bxXyauqJadkLhbS4ARAsCFBBi8lsaVde/BZ2AxQuxBQ6clLAC1F2DDgikYOf03mZT
18OskoFurHE5do0eeA78O7/w3P6prUFeiKlpkW0bzNP9D7o1IAeWyhEKPmjzrvZUl9q9NRXZEKh2
Xl3cSnMelGLGzlsrYj/E+Olyf7ytdcS7VX5OCgpQ867X0S0HzcwIQYExNNFLtbTlJ92a9q782zBM
qcIGlymxd3yu1TLi3uaNZdEPwWyJ9uRmaWb7Hs4F7+hUNe8WywvfiUwxXqo6Ao03qOa7+7PcOCaM
TXZDggraal3ipLQRm5AnhiAu2jJIsxZ6dNe2L/Myi+P9oW7TR6peCIZZBCIypzXHMUIIWEd7bQhC
Qd3Nz+pU+ZIWuvMYaVpe+O3SpKSTeviTl0G2V3W7RRjKmhulIdTm6VfdtAOEYihGhF4oMjUJvl1V
64VPzthmT6Xa2XClE6VRDnOna1/jKs4PoVn3f3Wi/6eIO+NTmyz5Mavj6VBpg/NMj6j7cH9xtvaB
bLxKcQ8aeGvyYgVGItcRucFUpa+paCPs+kGxq/g8K7Vh+HCQHHBjw5j5RWqg2Ek82kk+t/Y7eQBo
Q4IYz6TVdRy6pRk2Hr9gtKLe8eOwANuauu1O9XfrGKN0gAktYBewnqvwlHXuPOh1NASKog6fRaVm
+nFGOm4+e8sCi5i28c7VuzkxCmf2b7dg5A6uD3KatCagC4CzoFWML+qkh28Mm0fK/Q+4dZDguKP1
T9AAkbIKF/WglDA2iIdl3qnHTgmdAIE8NRAVCK/XD0XThbWTwJobFEIIWB7vNwCayuCm52ocvcBG
7vQYRl69kyttzUoC7UCowUW5yRJ7hPzyBGhkAAsBrB0CA0c91lMAsPFeRWZrY0DzYl+ACKAAtV7A
rmvc2iK+z8lkPOlqlwZhFpVQ6VI7QThh3GmWb02NO1KyiRDZ47xcbwsaG2XdKy7uGthZH8KqaM7N
JKJAa6BD3P9gG5Hvt+AFgC8JBFqX/LHiMpDctYegQ6TowQwXT4rBpNgYDe1FjzweCYqJceCYhTuH
euNFiZwpIQ94q6w/2as0KNZx2qIN1AemErefy2xGGVI3IKNoCZoFF1F72rcprtXWV61lQVB2pJzK
K9Qs/Tg3ytRnN/ffZdPRuETS9CW4vzQbX4FeKTVO6UQhZQSuv0I1u3VLM20MTCuxkS3Iv9WlsVyW
yN4JsBtR4Gqg1eduQ57wY4yv3wJuYAqWsIrR+4Pdv1Ptu33V8AQFgUXagCMXHYnrCfVqJ9DVYhvr
y4LM1TA0vHw15diYSuO7aqm+UZrY2hl063aDSYOSHY9OKqprbolOWwBYkBiCPrXj6rAoc/ce6wJB
oXEs9R9KXaglo3dGkPLSHP0E1YP3pVHXH2oxg58icvQZWVQYPaU8O8+cmOnL/S+9tTDwbGTXjYhi
roHCWa1ltlmDsEw1xf6UW+DTsD9QUMf1KK2kID0nLsadqLw1KHx1aRgs1VHWNTi1b3MldcIhcNnM
lzSuvufAaY+dm1UPoUCCLArjvZtg4yqHFGxAEpDdA+oR1zsgTNsF32eFTMOLym92NXzNmro6o+9T
PivdED4kmpP5Lao+T1mY/by/yhvdGrJjjiNOfNBU8Dq5Hh2yddhptrxfkbRvg6JtqjfJ7ESeP1ez
dUY6ID8UoTqepkSrxwvCMWMwtmiGYObk7nltb8R0+QajXwNOm0eP/Dx/NtCVKY+GXOObF23+QIid
3oyR/nfnNPOjPYn2fH/yW3EWHDrwvN98iTVFk/JkmCpiGoJlsbpfIoYiib9RbR2tUUx4FsdT8hSV
vfVmsWpv5zrZmqqs+9DSpmFElnI91cVQ02qIPPiWYvbOXqyWiY+rUO97XlMcGzHudE7kd7wueAHQ
oYVLD12avqxRgVlRx5rXMx6p6XREu3q5KHZTnTLL6XfeCFvLCimDsi/gZf5jdYek5TJnRcfmSBx9
TI6ta6HlTjHUx123vfBQ6X5iw6UqBwxD9S/3P+nGAaZNja4ZXSnwj2vXWV2PqqyIGLsvFfvUK503
YOg7jy8ufysOZpl2j5Mt3OP9YTfOMOAdmp4ED1lBWH1NtFhw0dGbLqiixC4vmQppPDUVaghJqEwf
JscYxXnQFePjjKtqhl2Sufdi2Vh10CAUgW3ZlIPKcb2h7NHCBlsJ20BBnuLkzflHB4rUcVz0/qTW
Xv3gVmYctFzeO6doY2eBi5Bmi0R5SB2yuPPHoQ0Tp/HGLu8C1Abc742qmOd81muaVGW/cynrm5O0
AS7JgwNQfLW1SnVxw0WVbm6TY/1oqi5+pDOln5shHx6Wro+DOLLjg6Ml5V99l9s2qlrANBbVnNVD
5obw+lHzGh+GaTKCEq1khJ/n0gH2lBrtV1Eb8Rn4qv12RF/DCPCuG74Xpu2NrOcyPvZ5InBKwgLO
pyhVHrLUFpd4xgXk/m7anKVkfFL8g861xmW6bjxWXjt2QWMp1SdlGh9zp7DnQ8MW8+mtzwpMi2l5
oea6R5eRu2QVJkAv8fQhNGGiud7Iepm4ceO0XdDpofuNyPlRGLB1AL+CTrBi/fP9mW5kWVTApMuw
jPeInl/vnV6kbkwe2QU2IgD5AQZnr/tFOf24P8zWFgVAxLykOjYvu+thHNGGQxkrXaCKfkLgISuS
yLfqdn6sXW1PlXIrFgCplbeYC91Ol//+x3nolCrFAmThZaeY8+fGNZvy/dKFoXpA+NB4GalHzf5A
acE4zLyuj2NmVTuXy60JCTYftC0Ry0ZqlDR5dU4UxKKHwdAEGgeWmA4IAYR66nt1Gz7bSwnepYmM
5i/dqMzixYln/VjnHQZgQu+0f7J6zn5qUNT/uf8RNkIzOS7tIBJ3sI7rAIWeTS5yo2lQ7nbGZ6nQ
gIKs1Z2KqJyPSdPqWMkNqL29elTY0xK9BC+WLHv16WM9w7kgU0Qw1K39RTrJGcC0Q/OjWuvm7NM0
8Z6yuK9eP1n6xkBWKWBJ2ZdVEaFxmwHcasywqavCXcK3+jmraOAcPDUq4JZkQDW4qR5eP1swN3SR
qKPDB5YH4Y+9Z6ioINnhUgdDaXlfLKFPPCTMMMWgtonqk9qV/cmeol3Tm42wAeqEhFn2WmEPrV4x
aqk1mYtoelBnnK0XQ2tLgVSwl/+YqaF/SL3GyPzc6PNLP5uljV8EHQXpYil0kO7x8khcT51AWxBZ
9Q0MdBs/6wbb9JdKiX7eX6ONYPD77Sib33yadSakWVk81t5Y83IvdXXwzdxL5ncQLb0FimrYN3sB
YWtAwjhtRh7WhNbVzQyCraaonteBiugXksz1mD81eZ08Fl0T7WFQN04Zh4s6hdwCbPnVDugnt3Vj
rvsgDFPrS9vYn6t6KV7cpIiCSQz1KRHRXgaw8fVxmSHT+139ZsNf77qZRqWZ4ZQRzJUSAk7MW+eQ
eWoe+Yktxi/CG/9DGVy638FU46EgSwHXIxaRai5dVzQUsuIxgz+RLt0lRicRjmziebG/oLf04kDV
Kx7HRZgK9sWNrv/96p2EXDgsYPrcMqderXVC9yEsGiECrQBgPDuN4UOIJI7F+jSc7o+1tcYODXUe
679TvNUm8nIKAhxnEcRpM3yItHz+nKlDgdi+60IjquOdSt7GPkLcDHc9i4gN0V6/XmHHpNQBBoUX
Ya6J93Y9TAok+jSefNfu0reiDsnw3GHYI99sZAQwAAGMAN6Al7bu8qKzn1p6S2ssAX1zjO1EDzSX
x/H91dw4knCCKV/TWzBQZV+F50T1EsfL6jZAKrg6VI05P6atkyJHn4nXLySdL5oI5FRyzFU6sFRz
VwxG3wVeaQnhRxnArqyK3A+swE84Rc4JhkN0fPX8PFNyhW0p1HsD2AYwrWIkWnUBBO7lHZoo02NY
hApYQC3duXI2NqYHjYXc6n9X+2op3SxrKlPUpHB9F/8ai6I5aqmqPkMBcj6Uld58vT+1rfHoNvC8
k1kElfPrjdnnZdP0GlMTk+l0Ry7WdLmwxt4TKZX+cYKMvBffbglhNB8gn1myXCb1Uldz1DIryYd5
oEin57Xij848zqeROniR+smgVWkgWtX4rCXOkj1oA0XdUzSL7hwNKommKdTQ8D2zsvQfjTU5DVRD
K/3phlYzn4paRSI9Gpu0eL9wHkcfUf/wXdSW0b9xV3eenypeBX5zcb/klVsUSAaVenR2cxqBO2nj
zZnnJHCDgyQCZ05TaRVVebpNPWLOTBPcy/uUKyqYjAbRrNpcLhgw/cM6fL7/NW+HhH9KWYKzDjv/
RnQpXkBAZmVlBSLFKfIJUBLPNzN3F8+nRtAsJyUjzXnsgfLsZYY3kYbuKb0Xnq7cIDTSVtG7TVUX
A6vICtq0gg0aNe4UJCEb4LVnUY5DIOU9QKMdI+XrDdu6YZXrIrNQ3hvH2Z+bqTmMCo568+QWOw+d
m8PBWDBeQCRyIZHzrsbCDqx0sByzgtQIw7Nr1M7XpjGwH4zDY1X0XIP3P9/GeDLTBAPMexGxitXN
rztFo+gJa0hBqVB6X+CB8SuO8YA7/R9157acNhKE4VdJ+R5FCARoK3FVBLjs3Th2HO9WeW9SFCg6
ICQYCdvwJPsouc+L7dcIHB0wdkoXy+rOlpjWtGamp3v+/nsWMoS/WK2ITPXDQivusWBwOdrn9BmE
bCXSAQODagZRglDd7V4oPUgG63kwGyjlLwcr4Dp9c9qKrgy31Ts/LFmGRME7RjKZKJKPxoCjGEzx
U8YtUK+JH3QGibdo/HnvAlQ7D6KGSdmluavODgurUrshjW8phUbZ0XEKXZSWGMtQn4cWaSdWM5zb
Seq1Py5CUIw2u47gs94jydH+argG7vnCUHP886Bx1aR8xo3fDmbfjMXMsijmsZq1BuTIUBgBTNHS
u5gGim2vtexZl/rUa85t6s89/r6E7juxjVQHLtn9msaBrTdglOvz/YK/O/F0dXe4e9XIMwceurAX
EzcTaFnJR217Jhs2S3wG19c/kipgPNgWPE0xr6kCZT889pbmENdu/sfSVOai312ZKrAbj34X+pW4
1Z298HWr0SV5I1LEOW8gSkAApKhwygR6FEcht9gC3fYw5KNOkzNqJa4bQ6sJ0hLW1TU+SZSATLDv
1SJ0KM8+XcM7EQc+Sfs6fDiqs/DgNQEDH9md2J3Fg/Wj3tbPfNIQpn0/CYLraKGHkC22Oqs74t3m
3E4NqshKOrp1uzK6vtEPp20Pf6nZSS/89YPl22vfbJLc403nL/ip1RHdhfac1QJqPcKG5WDFKlyQ
cbWK5gOy/2BBjY3wXM1S8A5rijQc/uDVtYIMJI5zcIU4yq/krC4UeSGU5oZOvqeWd959u0MCV6fZ
71Amx7N1nMEX1om9I4xTLnwE2Sq0jJJXqiADnQkKdmCkwcMQCw9GNlTTIRsjcjrvIzVoLHq67QVr
c7gGwHEeUcCRejixnwG+3o4ff3Od+DpbIpLTd/w9jiF/910vLf15ejV3oi+pcpz0cjR/Jz99erT4
w9NLf6ziJP6Wlp8q/Ij2t/IHo3RU+GMYpX66+rx01OrGSeAcP3w3e1M6Ig1dxyS138aVJl710KYj
zzb0xtm81+1q7rw/GU1mfjSA6kz54/Rke+ti8v6EKAJuMqxwVAAB0QwQkYXhbaXlTe8OtRiOUMJy
gijT0kAbSEUVIYHgYhMSxpG7vd3UNc6jxYnkeF8udnfIyyn3OZ1UXmqP3g4/c6gDmbZ2KmF6YniI
n4HfMCULopZKOroGqQxd3XZZkON5lTQ1iAdhgxKw67HpgkNrCYpzYAnsCbRC9orZVHwawb8wPDqW
RlAG/YJS31yMt5wujLZGARBcRFk+jk0XqKHX4WSJ43HQSJu4W71xgS4IMkA6BiGYXNiLnC6aPQ0y
O0m/Yrwcly4w3URbmdn1+m9oBKeBPcs5nlzFsdDV8FaYNUTUswsbd1xqkNUTcAxYXhOYPCcr4h/X
UgmrJxE9SfuurBFCiCV1IbKh8l8tFeN4GaVi6Vw/jvKWBBbw1/W91ELBcgC3hdpD0NFy0cf8dNAZ
LRyTySg5rmGAvSNUoYP3A9vDhpZ3fJ0qSmb5pyqwGHByYZmxGpsLE5RXRVMDLEbZYhD02XV8KiGv
gOgG2eUYUMoLSgGrejOjp0mChlASZSopTpCuRi47BDs7syLbjuMaJbLGCe8I6R4ElrEe4oLWUkmn
rYFhIuFrNwpK9qOpcSZBRuXRrZuYD7gAOBys1X0T+4hSZWOyb5KYLBdSkJEoW3Yd44iACU44tkAJ
EVbY8CLUUwnmA5whaCBJouUqWlQ231KxGFqJbEt7ZLtuSR5hFrfZXMCSU3t4oAshHiThLxseRXMi
+1AS7Diozu5KGtRxLRjMEjAhtddNS/t/WlW6T45a7TWyy4aKgrNgWjcTQqD/eUva1iheSca7hDOO
6/NTjBqeF1Dh7PvI0iKskrkBNXwvXWtJtRj4/ffNCFMT68kqtDMnv7DResVK8hTT6Ht+ONmEPHwn
ycVNXnxg591XG8hFNGQfWnhQIiBZ0z8jIqeFndcm+pC7uYtGbORsf77tYFV0QdauV7t/nvuOGqmx
t9rcWG1f89NoRqDkJnZH4Sia5DfRT4bx59tUgjdPBuJQ41dJGJcaztaSug1/itVkz1tnM7Vu45c/
vivnTey+uYlnyWQUlnqQuZx1hdwqGs+3TD5V1bGvK+XMjyixpqZFQXuiKXUF2XDoOmpZGEbil1ai
enUF3TqhU+2RGKmS1a4r6AP9STjaKaoO/oxyUK6uoL+cJP0WhxXVVfZkdQX9+OcZQeXYQV1Bt+rH
92jihCO3pLyq51FX1EUUyTrgpHlJez3hupI+uBNHFaXscS7rSpHBUF7Y9prgw4L22Ymn8HbVepRO
DJ57APslDY9DZ6RO/wUAAP//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828401</xdr:colOff>
      <xdr:row>0</xdr:row>
      <xdr:rowOff>53778</xdr:rowOff>
    </xdr:from>
    <xdr:to>
      <xdr:col>13</xdr:col>
      <xdr:colOff>219506</xdr:colOff>
      <xdr:row>20</xdr:row>
      <xdr:rowOff>47036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573E9EEB-048F-BC09-63E0-2591E64930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38801" y="53778"/>
              <a:ext cx="6553905" cy="40572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2226</xdr:colOff>
      <xdr:row>25</xdr:row>
      <xdr:rowOff>32345</xdr:rowOff>
    </xdr:from>
    <xdr:to>
      <xdr:col>13</xdr:col>
      <xdr:colOff>237707</xdr:colOff>
      <xdr:row>47</xdr:row>
      <xdr:rowOff>14582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E67369C-F828-3BA5-B656-AFA69CFA8F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0</xdr:rowOff>
    </xdr:from>
    <xdr:to>
      <xdr:col>10</xdr:col>
      <xdr:colOff>393700</xdr:colOff>
      <xdr:row>17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F8CBBA-D42C-5142-24CC-39DB87698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76200</xdr:colOff>
      <xdr:row>0</xdr:row>
      <xdr:rowOff>12700</xdr:rowOff>
    </xdr:from>
    <xdr:to>
      <xdr:col>19</xdr:col>
      <xdr:colOff>127000</xdr:colOff>
      <xdr:row>11</xdr:row>
      <xdr:rowOff>195282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9D93B4-B3D6-DE40-A24D-B0244A717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228600</xdr:colOff>
      <xdr:row>16</xdr:row>
      <xdr:rowOff>114300</xdr:rowOff>
    </xdr:from>
    <xdr:to>
      <xdr:col>24</xdr:col>
      <xdr:colOff>698500</xdr:colOff>
      <xdr:row>50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EB9380-920A-D03C-D50F-C4D15F5B4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177799</xdr:colOff>
      <xdr:row>18</xdr:row>
      <xdr:rowOff>29634</xdr:rowOff>
    </xdr:from>
    <xdr:to>
      <xdr:col>14</xdr:col>
      <xdr:colOff>152399</xdr:colOff>
      <xdr:row>34</xdr:row>
      <xdr:rowOff>118534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EDAEB4-FB62-B239-CB47-3CFC72ED5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25400</xdr:colOff>
      <xdr:row>33</xdr:row>
      <xdr:rowOff>38100</xdr:rowOff>
    </xdr:from>
    <xdr:to>
      <xdr:col>14</xdr:col>
      <xdr:colOff>177800</xdr:colOff>
      <xdr:row>50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F482F87-F017-EB83-01EB-0D0CC56C9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9342</xdr:colOff>
      <xdr:row>24</xdr:row>
      <xdr:rowOff>100433</xdr:rowOff>
    </xdr:from>
    <xdr:to>
      <xdr:col>10</xdr:col>
      <xdr:colOff>1748777</xdr:colOff>
      <xdr:row>33</xdr:row>
      <xdr:rowOff>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34DD0AF-CC21-5343-8D05-85628173C6C0}"/>
            </a:ext>
          </a:extLst>
        </xdr:cNvPr>
        <xdr:cNvSpPr/>
      </xdr:nvSpPr>
      <xdr:spPr>
        <a:xfrm>
          <a:off x="8018809" y="5366700"/>
          <a:ext cx="4397968" cy="1728368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2800"/>
            <a:t>Most popylar position type</a:t>
          </a:r>
        </a:p>
      </xdr:txBody>
    </xdr:sp>
    <xdr:clientData/>
  </xdr:twoCellAnchor>
  <xdr:twoCellAnchor>
    <xdr:from>
      <xdr:col>10</xdr:col>
      <xdr:colOff>2579858</xdr:colOff>
      <xdr:row>24</xdr:row>
      <xdr:rowOff>100433</xdr:rowOff>
    </xdr:from>
    <xdr:to>
      <xdr:col>14</xdr:col>
      <xdr:colOff>858139</xdr:colOff>
      <xdr:row>32</xdr:row>
      <xdr:rowOff>163871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3A758B3-1AAF-AE43-A53C-F42865D29C86}"/>
            </a:ext>
          </a:extLst>
        </xdr:cNvPr>
        <xdr:cNvSpPr/>
      </xdr:nvSpPr>
      <xdr:spPr>
        <a:xfrm>
          <a:off x="13247858" y="5366700"/>
          <a:ext cx="4425081" cy="1689038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2800"/>
            <a:t>Number of jobs</a:t>
          </a:r>
        </a:p>
      </xdr:txBody>
    </xdr:sp>
    <xdr:clientData/>
  </xdr:twoCellAnchor>
  <xdr:twoCellAnchor>
    <xdr:from>
      <xdr:col>1</xdr:col>
      <xdr:colOff>704221</xdr:colOff>
      <xdr:row>24</xdr:row>
      <xdr:rowOff>141400</xdr:rowOff>
    </xdr:from>
    <xdr:to>
      <xdr:col>5</xdr:col>
      <xdr:colOff>655483</xdr:colOff>
      <xdr:row>33</xdr:row>
      <xdr:rowOff>20484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BF4CC0D-331E-98B6-F383-C9E396E224D0}"/>
            </a:ext>
          </a:extLst>
        </xdr:cNvPr>
        <xdr:cNvSpPr/>
      </xdr:nvSpPr>
      <xdr:spPr>
        <a:xfrm>
          <a:off x="2486318" y="5262368"/>
          <a:ext cx="4211907" cy="1722632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2800"/>
            <a:t>Median salary</a:t>
          </a:r>
        </a:p>
      </xdr:txBody>
    </xdr:sp>
    <xdr:clientData/>
  </xdr:twoCellAnchor>
  <xdr:twoCellAnchor>
    <xdr:from>
      <xdr:col>7</xdr:col>
      <xdr:colOff>151285</xdr:colOff>
      <xdr:row>5</xdr:row>
      <xdr:rowOff>72988</xdr:rowOff>
    </xdr:from>
    <xdr:to>
      <xdr:col>10</xdr:col>
      <xdr:colOff>1400356</xdr:colOff>
      <xdr:row>21</xdr:row>
      <xdr:rowOff>100573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954F029-DEEF-3E4A-AC52-AA27331502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60752" y="1478455"/>
              <a:ext cx="3907604" cy="3278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91532</xdr:colOff>
      <xdr:row>5</xdr:row>
      <xdr:rowOff>1576</xdr:rowOff>
    </xdr:from>
    <xdr:to>
      <xdr:col>6</xdr:col>
      <xdr:colOff>745067</xdr:colOff>
      <xdr:row>21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63E7A4-80A0-3942-99D5-EBF71A4748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2188488</xdr:colOff>
      <xdr:row>5</xdr:row>
      <xdr:rowOff>145977</xdr:rowOff>
    </xdr:from>
    <xdr:to>
      <xdr:col>14</xdr:col>
      <xdr:colOff>974759</xdr:colOff>
      <xdr:row>21</xdr:row>
      <xdr:rowOff>58390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61A550-A285-7541-8501-B4B043ED7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860322</xdr:colOff>
      <xdr:row>27</xdr:row>
      <xdr:rowOff>152400</xdr:rowOff>
    </xdr:from>
    <xdr:ext cx="3871452" cy="963448"/>
    <xdr:sp macro="" textlink="title!A24">
      <xdr:nvSpPr>
        <xdr:cNvPr id="4" name="TextBox 3">
          <a:extLst>
            <a:ext uri="{FF2B5EF4-FFF2-40B4-BE49-F238E27FC236}">
              <a16:creationId xmlns:a16="http://schemas.microsoft.com/office/drawing/2014/main" id="{9262B30A-EFEB-EAF0-91A9-CD2A9DE77EDF}"/>
            </a:ext>
          </a:extLst>
        </xdr:cNvPr>
        <xdr:cNvSpPr txBox="1"/>
      </xdr:nvSpPr>
      <xdr:spPr>
        <a:xfrm>
          <a:off x="2642419" y="5887884"/>
          <a:ext cx="3871452" cy="96344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CC164B7E-B1AB-394C-A8C5-3B178DF93920}" type="TxLink">
            <a:rPr lang="en-US" sz="3600" b="1" i="0" u="none" strike="noStrike">
              <a:solidFill>
                <a:srgbClr val="000000"/>
              </a:solidFill>
              <a:latin typeface="Aptos Narrow"/>
            </a:rPr>
            <a:pPr algn="ctr"/>
            <a:t> NOK 1 075 000 </a:t>
          </a:fld>
          <a:endParaRPr lang="en-GB" sz="3600" b="1"/>
        </a:p>
      </xdr:txBody>
    </xdr:sp>
    <xdr:clientData/>
  </xdr:oneCellAnchor>
  <xdr:oneCellAnchor>
    <xdr:from>
      <xdr:col>7</xdr:col>
      <xdr:colOff>542012</xdr:colOff>
      <xdr:row>26</xdr:row>
      <xdr:rowOff>190500</xdr:rowOff>
    </xdr:from>
    <xdr:ext cx="4313622" cy="963448"/>
    <xdr:sp macro="" textlink="'job type'!H2">
      <xdr:nvSpPr>
        <xdr:cNvPr id="6" name="TextBox 5">
          <a:extLst>
            <a:ext uri="{FF2B5EF4-FFF2-40B4-BE49-F238E27FC236}">
              <a16:creationId xmlns:a16="http://schemas.microsoft.com/office/drawing/2014/main" id="{60916D15-E42F-284E-B817-C6CFEA6B663D}"/>
            </a:ext>
          </a:extLst>
        </xdr:cNvPr>
        <xdr:cNvSpPr txBox="1"/>
      </xdr:nvSpPr>
      <xdr:spPr>
        <a:xfrm>
          <a:off x="7704812" y="6172200"/>
          <a:ext cx="4313622" cy="96344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ACEB6A7D-3A10-7844-86C6-BDDABB261651}" type="TxLink">
            <a:rPr lang="en-US" sz="3600" b="1" i="0" u="none" strike="noStrike">
              <a:solidFill>
                <a:srgbClr val="000000"/>
              </a:solidFill>
              <a:latin typeface="Aptos Narrow"/>
            </a:rPr>
            <a:pPr algn="ctr"/>
            <a:t>konsulent</a:t>
          </a:fld>
          <a:endParaRPr lang="en-GB" sz="3600" b="1"/>
        </a:p>
      </xdr:txBody>
    </xdr:sp>
    <xdr:clientData/>
  </xdr:oneCellAnchor>
  <xdr:oneCellAnchor>
    <xdr:from>
      <xdr:col>11</xdr:col>
      <xdr:colOff>253999</xdr:colOff>
      <xdr:row>27</xdr:row>
      <xdr:rowOff>152400</xdr:rowOff>
    </xdr:from>
    <xdr:ext cx="3539067" cy="963448"/>
    <xdr:sp macro="" textlink="'job type'!B7">
      <xdr:nvSpPr>
        <xdr:cNvPr id="7" name="TextBox 6">
          <a:extLst>
            <a:ext uri="{FF2B5EF4-FFF2-40B4-BE49-F238E27FC236}">
              <a16:creationId xmlns:a16="http://schemas.microsoft.com/office/drawing/2014/main" id="{C62A7E15-0EF7-3B46-9842-35C413ED1D14}"/>
            </a:ext>
          </a:extLst>
        </xdr:cNvPr>
        <xdr:cNvSpPr txBox="1"/>
      </xdr:nvSpPr>
      <xdr:spPr>
        <a:xfrm>
          <a:off x="13749866" y="6028267"/>
          <a:ext cx="3539067" cy="96344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80BC07EC-29E3-8343-94FC-20C0FE583769}" type="TxLink">
            <a:rPr lang="en-US" sz="3600" b="1" i="0" u="none" strike="noStrike">
              <a:solidFill>
                <a:srgbClr val="000000"/>
              </a:solidFill>
              <a:latin typeface="Aptos Narrow"/>
            </a:rPr>
            <a:t>63</a:t>
          </a:fld>
          <a:endParaRPr lang="en-GB" sz="3600" b="1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336550</xdr:colOff>
      <xdr:row>0</xdr:row>
      <xdr:rowOff>95250</xdr:rowOff>
    </xdr:from>
    <xdr:to>
      <xdr:col>16</xdr:col>
      <xdr:colOff>381000</xdr:colOff>
      <xdr:row>19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5F9D4A-02FF-28F4-5F23-79F6F7F65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161636</xdr:colOff>
      <xdr:row>0</xdr:row>
      <xdr:rowOff>71582</xdr:rowOff>
    </xdr:from>
    <xdr:to>
      <xdr:col>11</xdr:col>
      <xdr:colOff>438728</xdr:colOff>
      <xdr:row>15</xdr:row>
      <xdr:rowOff>69272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46D00C0-BAF3-0FDC-914E-CA5EBAAAFA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94036" y="71582"/>
              <a:ext cx="5230092" cy="3045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666750</xdr:colOff>
      <xdr:row>0</xdr:row>
      <xdr:rowOff>57150</xdr:rowOff>
    </xdr:from>
    <xdr:to>
      <xdr:col>16</xdr:col>
      <xdr:colOff>285750</xdr:colOff>
      <xdr:row>11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81DC47-6947-75CD-0B20-DFA261E54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723900</xdr:colOff>
      <xdr:row>12</xdr:row>
      <xdr:rowOff>31750</xdr:rowOff>
    </xdr:from>
    <xdr:to>
      <xdr:col>16</xdr:col>
      <xdr:colOff>342900</xdr:colOff>
      <xdr:row>25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278B66-FF5B-D0D7-FC42-AFDABC315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82550</xdr:colOff>
      <xdr:row>6</xdr:row>
      <xdr:rowOff>31750</xdr:rowOff>
    </xdr:from>
    <xdr:to>
      <xdr:col>4</xdr:col>
      <xdr:colOff>768350</xdr:colOff>
      <xdr:row>19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A73854-E441-9F42-258A-5A9C9B681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veloper Salaries - Norway 2024" connectionId="1" xr16:uid="{745E8D05-D140-5547-A2AD-8E8480E9FA4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hyperlink" Target="https://www.kode24.no/artikkel/her-er-lonnstallene-for-norske-utviklere-2024/20388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78149-9DEB-CB43-B833-64B85CED6C77}">
  <sheetPr filterMode="1"/>
  <dimension ref="A1:P2696"/>
  <sheetViews>
    <sheetView workbookViewId="0">
      <selection activeCell="B1670" sqref="B1670"/>
    </sheetView>
  </sheetViews>
  <sheetFormatPr baseColWidth="10" defaultRowHeight="16"/>
  <cols>
    <col min="1" max="1" width="33.5" customWidth="1"/>
    <col min="2" max="2" width="12.33203125" customWidth="1"/>
    <col min="3" max="3" width="21" bestFit="1" customWidth="1"/>
    <col min="4" max="4" width="15.33203125" customWidth="1"/>
    <col min="6" max="6" width="17.6640625" bestFit="1" customWidth="1"/>
    <col min="7" max="7" width="31.83203125" bestFit="1" customWidth="1"/>
    <col min="8" max="8" width="24.5" bestFit="1" customWidth="1"/>
    <col min="9" max="9" width="17" style="36" customWidth="1"/>
    <col min="10" max="10" width="9.33203125" bestFit="1" customWidth="1"/>
    <col min="11" max="11" width="15.6640625" style="3" bestFit="1" customWidth="1"/>
    <col min="12" max="12" width="23" customWidth="1"/>
    <col min="15" max="15" width="17.1640625" customWidth="1"/>
  </cols>
  <sheetData>
    <row r="1" spans="3:16">
      <c r="C1" s="2" t="s">
        <v>33</v>
      </c>
      <c r="D1" s="2" t="s">
        <v>44</v>
      </c>
      <c r="E1" s="2" t="s">
        <v>45</v>
      </c>
      <c r="F1" s="2" t="s">
        <v>1</v>
      </c>
      <c r="G1" s="2" t="s">
        <v>0</v>
      </c>
      <c r="H1" s="2" t="s">
        <v>46</v>
      </c>
      <c r="I1" s="35" t="s">
        <v>47</v>
      </c>
      <c r="J1" s="2" t="s">
        <v>48</v>
      </c>
      <c r="K1" s="2" t="s">
        <v>7</v>
      </c>
      <c r="L1" s="2" t="s">
        <v>525</v>
      </c>
      <c r="O1" s="17" t="s">
        <v>37</v>
      </c>
      <c r="P1" s="17" t="s">
        <v>38</v>
      </c>
    </row>
    <row r="2" spans="3:16" hidden="1">
      <c r="C2" t="s">
        <v>31</v>
      </c>
      <c r="D2" t="s">
        <v>49</v>
      </c>
      <c r="E2">
        <v>7</v>
      </c>
      <c r="F2" t="s">
        <v>8</v>
      </c>
      <c r="G2" t="s">
        <v>51</v>
      </c>
      <c r="H2" t="s">
        <v>52</v>
      </c>
      <c r="I2" s="3" t="s">
        <v>53</v>
      </c>
      <c r="J2" t="s">
        <v>54</v>
      </c>
      <c r="K2" s="15">
        <v>865000</v>
      </c>
      <c r="L2" s="5" t="str">
        <f>_xlfn.XLOOKUP(E2,$P$2:$P$5,$O$2:$O$5,,1)</f>
        <v>5  - 8</v>
      </c>
      <c r="N2" t="s">
        <v>40</v>
      </c>
      <c r="O2" s="16" t="s">
        <v>524</v>
      </c>
      <c r="P2" s="19">
        <v>4</v>
      </c>
    </row>
    <row r="3" spans="3:16" hidden="1">
      <c r="C3" t="s">
        <v>31</v>
      </c>
      <c r="D3" t="s">
        <v>55</v>
      </c>
      <c r="E3">
        <v>2</v>
      </c>
      <c r="F3" t="s">
        <v>9</v>
      </c>
      <c r="G3" t="s">
        <v>57</v>
      </c>
      <c r="H3" t="s">
        <v>52</v>
      </c>
      <c r="I3" s="3" t="s">
        <v>58</v>
      </c>
      <c r="J3" t="s">
        <v>54</v>
      </c>
      <c r="K3" s="15">
        <v>756000</v>
      </c>
      <c r="L3" s="5" t="str">
        <f t="shared" ref="L3:L66" si="0">_xlfn.XLOOKUP(E3,$P$2:$P$5,$O$2:$O$5,,1)</f>
        <v>0 - 4</v>
      </c>
      <c r="N3" t="s">
        <v>42</v>
      </c>
      <c r="O3" s="18" t="s">
        <v>544</v>
      </c>
      <c r="P3" s="20">
        <v>8</v>
      </c>
    </row>
    <row r="4" spans="3:16" hidden="1">
      <c r="C4" t="s">
        <v>31</v>
      </c>
      <c r="D4" t="s">
        <v>49</v>
      </c>
      <c r="E4">
        <v>30</v>
      </c>
      <c r="F4" t="s">
        <v>10</v>
      </c>
      <c r="G4" t="s">
        <v>59</v>
      </c>
      <c r="H4" t="s">
        <v>52</v>
      </c>
      <c r="I4" s="36" t="s">
        <v>60</v>
      </c>
      <c r="J4" t="s">
        <v>54</v>
      </c>
      <c r="K4" s="15">
        <v>1500000</v>
      </c>
      <c r="L4" s="5" t="str">
        <f>_xlfn.XLOOKUP(E4,$P$2:$P$5,$O$2:$O$5,,1)</f>
        <v>15 +</v>
      </c>
      <c r="N4" t="s">
        <v>41</v>
      </c>
      <c r="O4" s="18" t="s">
        <v>39</v>
      </c>
      <c r="P4" s="20">
        <v>14</v>
      </c>
    </row>
    <row r="5" spans="3:16" hidden="1">
      <c r="C5" t="s">
        <v>31</v>
      </c>
      <c r="D5" t="s">
        <v>55</v>
      </c>
      <c r="E5">
        <v>25</v>
      </c>
      <c r="F5" t="s">
        <v>10</v>
      </c>
      <c r="G5" t="s">
        <v>59</v>
      </c>
      <c r="H5" t="s">
        <v>52</v>
      </c>
      <c r="I5" s="36" t="s">
        <v>61</v>
      </c>
      <c r="J5" t="s">
        <v>54</v>
      </c>
      <c r="K5" s="15">
        <v>1200000</v>
      </c>
      <c r="L5" s="5" t="str">
        <f t="shared" si="0"/>
        <v>15 +</v>
      </c>
      <c r="N5" t="s">
        <v>43</v>
      </c>
      <c r="O5" s="18" t="s">
        <v>538</v>
      </c>
      <c r="P5" s="20">
        <v>50</v>
      </c>
    </row>
    <row r="6" spans="3:16" hidden="1">
      <c r="C6" t="s">
        <v>31</v>
      </c>
      <c r="D6" t="s">
        <v>62</v>
      </c>
      <c r="E6">
        <v>18</v>
      </c>
      <c r="F6" t="s">
        <v>10</v>
      </c>
      <c r="G6" t="s">
        <v>51</v>
      </c>
      <c r="H6" t="s">
        <v>52</v>
      </c>
      <c r="I6" s="36" t="s">
        <v>61</v>
      </c>
      <c r="J6" t="s">
        <v>54</v>
      </c>
      <c r="K6" s="15">
        <v>1200000</v>
      </c>
      <c r="L6" s="5" t="str">
        <f t="shared" si="0"/>
        <v>15 +</v>
      </c>
      <c r="O6" s="3"/>
      <c r="P6" s="3"/>
    </row>
    <row r="7" spans="3:16" hidden="1">
      <c r="C7" t="s">
        <v>31</v>
      </c>
      <c r="D7" t="s">
        <v>56</v>
      </c>
      <c r="E7">
        <v>14</v>
      </c>
      <c r="F7" t="s">
        <v>10</v>
      </c>
      <c r="G7" t="s">
        <v>51</v>
      </c>
      <c r="H7" t="s">
        <v>52</v>
      </c>
      <c r="I7" s="3" t="s">
        <v>65</v>
      </c>
      <c r="J7" t="s">
        <v>54</v>
      </c>
      <c r="K7" s="15">
        <v>839000</v>
      </c>
      <c r="L7" s="5" t="str">
        <f t="shared" si="0"/>
        <v>9 - 14</v>
      </c>
    </row>
    <row r="8" spans="3:16" hidden="1">
      <c r="C8" t="s">
        <v>30</v>
      </c>
      <c r="D8" t="s">
        <v>55</v>
      </c>
      <c r="E8">
        <v>9</v>
      </c>
      <c r="F8" t="s">
        <v>10</v>
      </c>
      <c r="G8" t="s">
        <v>59</v>
      </c>
      <c r="H8" t="s">
        <v>52</v>
      </c>
      <c r="I8" s="3" t="s">
        <v>61</v>
      </c>
      <c r="J8" t="s">
        <v>66</v>
      </c>
      <c r="K8" s="15">
        <v>1200000</v>
      </c>
      <c r="L8" s="5" t="str">
        <f t="shared" si="0"/>
        <v>9 - 14</v>
      </c>
    </row>
    <row r="9" spans="3:16" hidden="1">
      <c r="C9" t="s">
        <v>31</v>
      </c>
      <c r="D9" t="s">
        <v>67</v>
      </c>
      <c r="E9">
        <v>9</v>
      </c>
      <c r="F9" t="s">
        <v>10</v>
      </c>
      <c r="G9" t="s">
        <v>51</v>
      </c>
      <c r="H9" t="s">
        <v>52</v>
      </c>
      <c r="I9" s="3" t="s">
        <v>68</v>
      </c>
      <c r="J9" t="s">
        <v>66</v>
      </c>
      <c r="K9" s="15">
        <v>980000</v>
      </c>
      <c r="L9" s="5" t="str">
        <f t="shared" si="0"/>
        <v>9 - 14</v>
      </c>
    </row>
    <row r="10" spans="3:16" hidden="1">
      <c r="C10" t="s">
        <v>32</v>
      </c>
      <c r="D10" t="s">
        <v>55</v>
      </c>
      <c r="E10">
        <v>5</v>
      </c>
      <c r="F10" t="s">
        <v>10</v>
      </c>
      <c r="G10" t="s">
        <v>51</v>
      </c>
      <c r="H10" t="s">
        <v>52</v>
      </c>
      <c r="I10" s="3" t="s">
        <v>69</v>
      </c>
      <c r="J10" t="s">
        <v>54</v>
      </c>
      <c r="K10" s="15">
        <v>750000</v>
      </c>
      <c r="L10" s="5" t="str">
        <f t="shared" si="0"/>
        <v>5  - 8</v>
      </c>
    </row>
    <row r="11" spans="3:16" hidden="1">
      <c r="C11" t="s">
        <v>31</v>
      </c>
      <c r="D11" t="s">
        <v>55</v>
      </c>
      <c r="E11">
        <v>5</v>
      </c>
      <c r="F11" t="s">
        <v>10</v>
      </c>
      <c r="G11" t="s">
        <v>59</v>
      </c>
      <c r="H11" t="s">
        <v>52</v>
      </c>
      <c r="I11" s="3" t="s">
        <v>70</v>
      </c>
      <c r="J11" t="s">
        <v>54</v>
      </c>
      <c r="K11" s="15">
        <v>910000</v>
      </c>
      <c r="L11" s="5" t="str">
        <f t="shared" si="0"/>
        <v>5  - 8</v>
      </c>
    </row>
    <row r="12" spans="3:16" hidden="1">
      <c r="C12" t="s">
        <v>31</v>
      </c>
      <c r="D12" t="s">
        <v>55</v>
      </c>
      <c r="E12">
        <v>4</v>
      </c>
      <c r="F12" t="s">
        <v>10</v>
      </c>
      <c r="G12" t="s">
        <v>59</v>
      </c>
      <c r="H12" t="s">
        <v>52</v>
      </c>
      <c r="I12" s="3" t="s">
        <v>71</v>
      </c>
      <c r="J12" t="s">
        <v>54</v>
      </c>
      <c r="K12" s="15">
        <v>820000</v>
      </c>
      <c r="L12" s="5" t="str">
        <f t="shared" si="0"/>
        <v>0 - 4</v>
      </c>
    </row>
    <row r="13" spans="3:16" hidden="1">
      <c r="C13" t="s">
        <v>31</v>
      </c>
      <c r="D13" t="s">
        <v>55</v>
      </c>
      <c r="E13">
        <v>4</v>
      </c>
      <c r="F13" t="s">
        <v>10</v>
      </c>
      <c r="G13" t="s">
        <v>59</v>
      </c>
      <c r="H13" t="s">
        <v>52</v>
      </c>
      <c r="I13" s="3" t="s">
        <v>72</v>
      </c>
      <c r="J13" t="s">
        <v>66</v>
      </c>
      <c r="K13" s="15">
        <v>850000</v>
      </c>
      <c r="L13" s="5" t="str">
        <f t="shared" si="0"/>
        <v>0 - 4</v>
      </c>
    </row>
    <row r="14" spans="3:16" hidden="1">
      <c r="C14" t="s">
        <v>31</v>
      </c>
      <c r="D14" t="s">
        <v>55</v>
      </c>
      <c r="E14">
        <v>3</v>
      </c>
      <c r="F14" t="s">
        <v>10</v>
      </c>
      <c r="G14" t="s">
        <v>59</v>
      </c>
      <c r="H14" t="s">
        <v>52</v>
      </c>
      <c r="I14" s="3" t="s">
        <v>74</v>
      </c>
      <c r="J14" t="s">
        <v>66</v>
      </c>
      <c r="K14" s="15">
        <v>730000</v>
      </c>
      <c r="L14" s="5" t="str">
        <f t="shared" si="0"/>
        <v>0 - 4</v>
      </c>
    </row>
    <row r="15" spans="3:16" hidden="1">
      <c r="C15" t="s">
        <v>31</v>
      </c>
      <c r="D15" t="s">
        <v>55</v>
      </c>
      <c r="E15">
        <v>3</v>
      </c>
      <c r="F15" t="s">
        <v>10</v>
      </c>
      <c r="G15" t="s">
        <v>51</v>
      </c>
      <c r="H15" t="s">
        <v>52</v>
      </c>
      <c r="I15" s="3" t="s">
        <v>72</v>
      </c>
      <c r="J15" t="s">
        <v>54</v>
      </c>
      <c r="K15" s="15">
        <v>850000</v>
      </c>
      <c r="L15" s="5" t="str">
        <f t="shared" si="0"/>
        <v>0 - 4</v>
      </c>
    </row>
    <row r="16" spans="3:16" hidden="1">
      <c r="C16" t="s">
        <v>31</v>
      </c>
      <c r="D16" t="s">
        <v>55</v>
      </c>
      <c r="E16">
        <v>2</v>
      </c>
      <c r="F16" t="s">
        <v>10</v>
      </c>
      <c r="G16" t="s">
        <v>51</v>
      </c>
      <c r="H16" t="s">
        <v>52</v>
      </c>
      <c r="I16" s="3" t="s">
        <v>75</v>
      </c>
      <c r="J16" t="s">
        <v>54</v>
      </c>
      <c r="K16" s="15">
        <v>710000</v>
      </c>
      <c r="L16" s="5" t="str">
        <f t="shared" si="0"/>
        <v>0 - 4</v>
      </c>
    </row>
    <row r="17" spans="3:12" hidden="1">
      <c r="C17" t="s">
        <v>31</v>
      </c>
      <c r="D17" t="s">
        <v>55</v>
      </c>
      <c r="E17">
        <v>2</v>
      </c>
      <c r="F17" t="s">
        <v>10</v>
      </c>
      <c r="G17" t="s">
        <v>51</v>
      </c>
      <c r="H17" t="s">
        <v>52</v>
      </c>
      <c r="I17" s="3" t="s">
        <v>76</v>
      </c>
      <c r="J17" t="s">
        <v>54</v>
      </c>
      <c r="K17" s="15">
        <v>894000</v>
      </c>
      <c r="L17" s="5" t="str">
        <f t="shared" si="0"/>
        <v>0 - 4</v>
      </c>
    </row>
    <row r="18" spans="3:12" hidden="1">
      <c r="C18" t="s">
        <v>30</v>
      </c>
      <c r="D18" t="s">
        <v>55</v>
      </c>
      <c r="E18">
        <v>0</v>
      </c>
      <c r="F18" t="s">
        <v>10</v>
      </c>
      <c r="G18" t="s">
        <v>57</v>
      </c>
      <c r="H18" t="s">
        <v>52</v>
      </c>
      <c r="I18" s="3" t="s">
        <v>78</v>
      </c>
      <c r="J18" t="s">
        <v>54</v>
      </c>
      <c r="K18" s="15">
        <v>732000</v>
      </c>
      <c r="L18" s="5" t="str">
        <f t="shared" si="0"/>
        <v>0 - 4</v>
      </c>
    </row>
    <row r="19" spans="3:12" hidden="1">
      <c r="C19" t="s">
        <v>31</v>
      </c>
      <c r="D19" t="s">
        <v>77</v>
      </c>
      <c r="E19">
        <v>4</v>
      </c>
      <c r="F19" t="s">
        <v>11</v>
      </c>
      <c r="G19" t="s">
        <v>59</v>
      </c>
      <c r="H19" t="s">
        <v>52</v>
      </c>
      <c r="I19" s="3" t="s">
        <v>70</v>
      </c>
      <c r="J19" t="s">
        <v>66</v>
      </c>
      <c r="K19" s="15">
        <v>910000</v>
      </c>
      <c r="L19" s="5" t="str">
        <f t="shared" si="0"/>
        <v>0 - 4</v>
      </c>
    </row>
    <row r="20" spans="3:12" hidden="1">
      <c r="C20" t="s">
        <v>31</v>
      </c>
      <c r="D20" t="s">
        <v>55</v>
      </c>
      <c r="E20">
        <v>3</v>
      </c>
      <c r="F20" t="s">
        <v>11</v>
      </c>
      <c r="G20" t="s">
        <v>51</v>
      </c>
      <c r="H20" t="s">
        <v>52</v>
      </c>
      <c r="I20" s="3" t="s">
        <v>79</v>
      </c>
      <c r="J20" t="s">
        <v>66</v>
      </c>
      <c r="K20" s="15">
        <v>900000</v>
      </c>
      <c r="L20" s="5" t="str">
        <f t="shared" si="0"/>
        <v>0 - 4</v>
      </c>
    </row>
    <row r="21" spans="3:12" hidden="1">
      <c r="C21" t="s">
        <v>31</v>
      </c>
      <c r="D21" t="s">
        <v>55</v>
      </c>
      <c r="E21">
        <v>1</v>
      </c>
      <c r="F21" t="s">
        <v>12</v>
      </c>
      <c r="G21" t="s">
        <v>57</v>
      </c>
      <c r="H21" t="s">
        <v>52</v>
      </c>
      <c r="I21" s="3" t="s">
        <v>81</v>
      </c>
      <c r="J21" t="s">
        <v>54</v>
      </c>
      <c r="K21" s="15">
        <v>640000</v>
      </c>
      <c r="L21" s="5" t="str">
        <f t="shared" si="0"/>
        <v>0 - 4</v>
      </c>
    </row>
    <row r="22" spans="3:12" hidden="1">
      <c r="C22" t="s">
        <v>31</v>
      </c>
      <c r="D22" t="s">
        <v>55</v>
      </c>
      <c r="E22">
        <v>23</v>
      </c>
      <c r="F22" t="s">
        <v>13</v>
      </c>
      <c r="G22" t="s">
        <v>51</v>
      </c>
      <c r="H22" t="s">
        <v>52</v>
      </c>
      <c r="I22" s="3" t="s">
        <v>82</v>
      </c>
      <c r="J22" t="s">
        <v>54</v>
      </c>
      <c r="K22" s="15">
        <v>1152000</v>
      </c>
      <c r="L22" s="5" t="str">
        <f t="shared" si="0"/>
        <v>15 +</v>
      </c>
    </row>
    <row r="23" spans="3:12" hidden="1">
      <c r="C23" t="s">
        <v>31</v>
      </c>
      <c r="D23" t="s">
        <v>67</v>
      </c>
      <c r="E23">
        <v>7</v>
      </c>
      <c r="F23" t="s">
        <v>13</v>
      </c>
      <c r="G23" t="s">
        <v>51</v>
      </c>
      <c r="H23" t="s">
        <v>52</v>
      </c>
      <c r="I23" s="3" t="s">
        <v>83</v>
      </c>
      <c r="J23" t="s">
        <v>54</v>
      </c>
      <c r="K23" s="15">
        <v>810000</v>
      </c>
      <c r="L23" s="5" t="str">
        <f t="shared" si="0"/>
        <v>5  - 8</v>
      </c>
    </row>
    <row r="24" spans="3:12" hidden="1">
      <c r="C24" t="s">
        <v>31</v>
      </c>
      <c r="D24" t="s">
        <v>55</v>
      </c>
      <c r="E24">
        <v>5</v>
      </c>
      <c r="F24" t="s">
        <v>13</v>
      </c>
      <c r="G24" t="s">
        <v>59</v>
      </c>
      <c r="H24" t="s">
        <v>52</v>
      </c>
      <c r="I24" s="3" t="s">
        <v>84</v>
      </c>
      <c r="J24" t="s">
        <v>54</v>
      </c>
      <c r="K24" s="15">
        <v>797000</v>
      </c>
      <c r="L24" s="5" t="str">
        <f t="shared" si="0"/>
        <v>5  - 8</v>
      </c>
    </row>
    <row r="25" spans="3:12" hidden="1">
      <c r="C25" t="s">
        <v>31</v>
      </c>
      <c r="D25" t="s">
        <v>55</v>
      </c>
      <c r="E25">
        <v>2</v>
      </c>
      <c r="F25" t="s">
        <v>13</v>
      </c>
      <c r="G25" t="s">
        <v>59</v>
      </c>
      <c r="H25" t="s">
        <v>52</v>
      </c>
      <c r="I25" s="3" t="s">
        <v>85</v>
      </c>
      <c r="J25" t="s">
        <v>66</v>
      </c>
      <c r="K25" s="15">
        <v>650000</v>
      </c>
      <c r="L25" s="5" t="str">
        <f t="shared" si="0"/>
        <v>0 - 4</v>
      </c>
    </row>
    <row r="26" spans="3:12" hidden="1">
      <c r="C26" t="s">
        <v>31</v>
      </c>
      <c r="D26" t="s">
        <v>55</v>
      </c>
      <c r="E26">
        <v>0</v>
      </c>
      <c r="F26" t="s">
        <v>13</v>
      </c>
      <c r="G26" t="s">
        <v>59</v>
      </c>
      <c r="H26" t="s">
        <v>52</v>
      </c>
      <c r="I26" s="3" t="s">
        <v>86</v>
      </c>
      <c r="J26" t="s">
        <v>54</v>
      </c>
      <c r="K26" s="15">
        <v>595000</v>
      </c>
      <c r="L26" s="5" t="str">
        <f t="shared" si="0"/>
        <v>0 - 4</v>
      </c>
    </row>
    <row r="27" spans="3:12" hidden="1">
      <c r="C27" t="s">
        <v>31</v>
      </c>
      <c r="D27" t="s">
        <v>55</v>
      </c>
      <c r="E27">
        <v>0</v>
      </c>
      <c r="F27" t="s">
        <v>13</v>
      </c>
      <c r="G27" t="s">
        <v>59</v>
      </c>
      <c r="H27" t="s">
        <v>52</v>
      </c>
      <c r="I27" s="3" t="s">
        <v>85</v>
      </c>
      <c r="J27" t="s">
        <v>54</v>
      </c>
      <c r="K27" s="15">
        <v>650000</v>
      </c>
      <c r="L27" s="5" t="str">
        <f t="shared" si="0"/>
        <v>0 - 4</v>
      </c>
    </row>
    <row r="28" spans="3:12" hidden="1">
      <c r="C28" t="s">
        <v>31</v>
      </c>
      <c r="D28" t="s">
        <v>77</v>
      </c>
      <c r="E28">
        <v>2</v>
      </c>
      <c r="F28" t="s">
        <v>14</v>
      </c>
      <c r="G28" t="s">
        <v>51</v>
      </c>
      <c r="H28" t="s">
        <v>52</v>
      </c>
      <c r="I28" s="3" t="s">
        <v>87</v>
      </c>
      <c r="J28" t="s">
        <v>54</v>
      </c>
      <c r="K28" s="15">
        <v>525000</v>
      </c>
      <c r="L28" s="5" t="str">
        <f t="shared" si="0"/>
        <v>0 - 4</v>
      </c>
    </row>
    <row r="29" spans="3:12" hidden="1">
      <c r="C29" t="s">
        <v>31</v>
      </c>
      <c r="D29" t="s">
        <v>88</v>
      </c>
      <c r="E29">
        <v>28</v>
      </c>
      <c r="F29" t="s">
        <v>15</v>
      </c>
      <c r="G29" t="s">
        <v>51</v>
      </c>
      <c r="H29" t="s">
        <v>52</v>
      </c>
      <c r="I29" s="3" t="s">
        <v>89</v>
      </c>
      <c r="J29" t="s">
        <v>66</v>
      </c>
      <c r="K29" s="15">
        <v>1950000</v>
      </c>
      <c r="L29" s="5" t="str">
        <f t="shared" si="0"/>
        <v>15 +</v>
      </c>
    </row>
    <row r="30" spans="3:12" hidden="1">
      <c r="C30" t="s">
        <v>31</v>
      </c>
      <c r="D30" t="s">
        <v>63</v>
      </c>
      <c r="E30">
        <v>1</v>
      </c>
      <c r="F30" t="s">
        <v>15</v>
      </c>
      <c r="G30" t="s">
        <v>51</v>
      </c>
      <c r="H30" t="s">
        <v>52</v>
      </c>
      <c r="I30" s="3" t="s">
        <v>90</v>
      </c>
      <c r="J30" t="s">
        <v>66</v>
      </c>
      <c r="K30" s="15">
        <v>660000</v>
      </c>
      <c r="L30" s="5" t="str">
        <f t="shared" si="0"/>
        <v>0 - 4</v>
      </c>
    </row>
    <row r="31" spans="3:12" hidden="1">
      <c r="C31" t="s">
        <v>31</v>
      </c>
      <c r="D31" t="s">
        <v>55</v>
      </c>
      <c r="E31">
        <v>8</v>
      </c>
      <c r="F31" t="s">
        <v>8</v>
      </c>
      <c r="G31" t="s">
        <v>57</v>
      </c>
      <c r="H31" t="s">
        <v>92</v>
      </c>
      <c r="I31" s="3" t="s">
        <v>72</v>
      </c>
      <c r="J31" t="s">
        <v>54</v>
      </c>
      <c r="K31" s="15">
        <v>850000</v>
      </c>
      <c r="L31" s="5" t="str">
        <f t="shared" si="0"/>
        <v>5  - 8</v>
      </c>
    </row>
    <row r="32" spans="3:12" hidden="1">
      <c r="C32" t="s">
        <v>31</v>
      </c>
      <c r="D32" t="s">
        <v>56</v>
      </c>
      <c r="E32">
        <v>0</v>
      </c>
      <c r="F32" t="s">
        <v>8</v>
      </c>
      <c r="G32" t="s">
        <v>59</v>
      </c>
      <c r="H32" t="s">
        <v>92</v>
      </c>
      <c r="I32" s="3" t="s">
        <v>93</v>
      </c>
      <c r="J32" t="s">
        <v>54</v>
      </c>
      <c r="K32" s="15">
        <v>460000</v>
      </c>
      <c r="L32" s="5" t="str">
        <f t="shared" si="0"/>
        <v>0 - 4</v>
      </c>
    </row>
    <row r="33" spans="3:12" hidden="1">
      <c r="C33" t="s">
        <v>31</v>
      </c>
      <c r="D33" t="s">
        <v>80</v>
      </c>
      <c r="E33">
        <v>0</v>
      </c>
      <c r="F33" t="s">
        <v>16</v>
      </c>
      <c r="G33" t="s">
        <v>51</v>
      </c>
      <c r="H33" t="s">
        <v>92</v>
      </c>
      <c r="I33" s="3" t="s">
        <v>94</v>
      </c>
      <c r="J33" t="s">
        <v>54</v>
      </c>
      <c r="K33" s="15">
        <v>550000</v>
      </c>
      <c r="L33" s="5" t="str">
        <f t="shared" si="0"/>
        <v>0 - 4</v>
      </c>
    </row>
    <row r="34" spans="3:12" hidden="1">
      <c r="C34" t="s">
        <v>31</v>
      </c>
      <c r="D34" t="s">
        <v>77</v>
      </c>
      <c r="E34">
        <v>10</v>
      </c>
      <c r="F34" t="s">
        <v>9</v>
      </c>
      <c r="G34" t="s">
        <v>59</v>
      </c>
      <c r="H34" t="s">
        <v>92</v>
      </c>
      <c r="I34" s="3" t="s">
        <v>94</v>
      </c>
      <c r="J34" t="s">
        <v>54</v>
      </c>
      <c r="K34" s="15">
        <v>550000</v>
      </c>
      <c r="L34" s="5" t="str">
        <f t="shared" si="0"/>
        <v>9 - 14</v>
      </c>
    </row>
    <row r="35" spans="3:12" hidden="1">
      <c r="C35" t="s">
        <v>31</v>
      </c>
      <c r="D35" t="s">
        <v>55</v>
      </c>
      <c r="E35">
        <v>27</v>
      </c>
      <c r="F35" t="s">
        <v>10</v>
      </c>
      <c r="G35" t="s">
        <v>59</v>
      </c>
      <c r="H35" t="s">
        <v>92</v>
      </c>
      <c r="I35" s="36" t="s">
        <v>96</v>
      </c>
      <c r="J35" t="s">
        <v>54</v>
      </c>
      <c r="K35" s="15">
        <v>780000</v>
      </c>
      <c r="L35" s="5" t="str">
        <f t="shared" si="0"/>
        <v>15 +</v>
      </c>
    </row>
    <row r="36" spans="3:12" hidden="1">
      <c r="C36" t="s">
        <v>31</v>
      </c>
      <c r="D36" t="s">
        <v>67</v>
      </c>
      <c r="E36">
        <v>25</v>
      </c>
      <c r="F36" t="s">
        <v>10</v>
      </c>
      <c r="G36" t="s">
        <v>59</v>
      </c>
      <c r="H36" t="s">
        <v>92</v>
      </c>
      <c r="I36" s="36" t="s">
        <v>97</v>
      </c>
      <c r="J36" t="s">
        <v>66</v>
      </c>
      <c r="K36" s="15">
        <v>1800000</v>
      </c>
      <c r="L36" s="5" t="str">
        <f t="shared" si="0"/>
        <v>15 +</v>
      </c>
    </row>
    <row r="37" spans="3:12" hidden="1">
      <c r="C37" t="s">
        <v>31</v>
      </c>
      <c r="D37" t="s">
        <v>73</v>
      </c>
      <c r="E37">
        <v>24</v>
      </c>
      <c r="F37" t="s">
        <v>10</v>
      </c>
      <c r="G37" t="s">
        <v>51</v>
      </c>
      <c r="H37" t="s">
        <v>92</v>
      </c>
      <c r="I37" s="36" t="s">
        <v>98</v>
      </c>
      <c r="J37" t="s">
        <v>54</v>
      </c>
      <c r="K37" s="15">
        <v>920000</v>
      </c>
      <c r="L37" s="5" t="str">
        <f t="shared" si="0"/>
        <v>15 +</v>
      </c>
    </row>
    <row r="38" spans="3:12" hidden="1">
      <c r="C38" t="s">
        <v>31</v>
      </c>
      <c r="D38" t="s">
        <v>67</v>
      </c>
      <c r="E38">
        <v>23</v>
      </c>
      <c r="F38" t="s">
        <v>10</v>
      </c>
      <c r="G38" t="s">
        <v>51</v>
      </c>
      <c r="H38" t="s">
        <v>92</v>
      </c>
      <c r="I38" s="36" t="s">
        <v>99</v>
      </c>
      <c r="J38" t="s">
        <v>54</v>
      </c>
      <c r="K38" s="15">
        <v>1326000</v>
      </c>
      <c r="L38" s="5" t="str">
        <f t="shared" si="0"/>
        <v>15 +</v>
      </c>
    </row>
    <row r="39" spans="3:12" hidden="1">
      <c r="C39" t="s">
        <v>31</v>
      </c>
      <c r="D39" t="s">
        <v>73</v>
      </c>
      <c r="E39">
        <v>22</v>
      </c>
      <c r="F39" t="s">
        <v>10</v>
      </c>
      <c r="G39" t="s">
        <v>51</v>
      </c>
      <c r="H39" t="s">
        <v>92</v>
      </c>
      <c r="I39" s="36" t="s">
        <v>100</v>
      </c>
      <c r="J39" t="s">
        <v>66</v>
      </c>
      <c r="K39" s="15">
        <v>1370000</v>
      </c>
      <c r="L39" s="5" t="str">
        <f t="shared" si="0"/>
        <v>15 +</v>
      </c>
    </row>
    <row r="40" spans="3:12" hidden="1">
      <c r="C40" t="s">
        <v>31</v>
      </c>
      <c r="D40" t="s">
        <v>80</v>
      </c>
      <c r="E40">
        <v>20</v>
      </c>
      <c r="F40" t="s">
        <v>10</v>
      </c>
      <c r="G40" t="s">
        <v>59</v>
      </c>
      <c r="H40" t="s">
        <v>92</v>
      </c>
      <c r="I40" s="36" t="s">
        <v>60</v>
      </c>
      <c r="J40" t="s">
        <v>66</v>
      </c>
      <c r="K40" s="15">
        <v>1500000</v>
      </c>
      <c r="L40" s="5" t="str">
        <f t="shared" si="0"/>
        <v>15 +</v>
      </c>
    </row>
    <row r="41" spans="3:12" hidden="1">
      <c r="C41" t="s">
        <v>30</v>
      </c>
      <c r="D41" t="s">
        <v>55</v>
      </c>
      <c r="E41">
        <v>19</v>
      </c>
      <c r="F41" t="s">
        <v>10</v>
      </c>
      <c r="G41" t="s">
        <v>51</v>
      </c>
      <c r="H41" t="s">
        <v>92</v>
      </c>
      <c r="I41" s="36" t="s">
        <v>103</v>
      </c>
      <c r="J41" t="s">
        <v>66</v>
      </c>
      <c r="K41" s="15">
        <v>1170000</v>
      </c>
      <c r="L41" s="5" t="str">
        <f t="shared" si="0"/>
        <v>15 +</v>
      </c>
    </row>
    <row r="42" spans="3:12" hidden="1">
      <c r="C42" t="s">
        <v>31</v>
      </c>
      <c r="D42" t="s">
        <v>91</v>
      </c>
      <c r="E42">
        <v>17</v>
      </c>
      <c r="F42" t="s">
        <v>10</v>
      </c>
      <c r="G42" t="s">
        <v>59</v>
      </c>
      <c r="H42" t="s">
        <v>92</v>
      </c>
      <c r="I42" s="36" t="s">
        <v>104</v>
      </c>
      <c r="J42" t="s">
        <v>54</v>
      </c>
      <c r="K42" s="15">
        <v>1300000</v>
      </c>
      <c r="L42" s="5" t="str">
        <f t="shared" si="0"/>
        <v>15 +</v>
      </c>
    </row>
    <row r="43" spans="3:12" hidden="1">
      <c r="C43" t="s">
        <v>30</v>
      </c>
      <c r="D43" t="s">
        <v>55</v>
      </c>
      <c r="E43">
        <v>16</v>
      </c>
      <c r="F43" t="s">
        <v>10</v>
      </c>
      <c r="G43" t="s">
        <v>59</v>
      </c>
      <c r="H43" t="s">
        <v>92</v>
      </c>
      <c r="I43" s="36" t="s">
        <v>106</v>
      </c>
      <c r="J43" t="s">
        <v>54</v>
      </c>
      <c r="K43" s="15">
        <v>1100000</v>
      </c>
      <c r="L43" s="5" t="str">
        <f t="shared" si="0"/>
        <v>15 +</v>
      </c>
    </row>
    <row r="44" spans="3:12" hidden="1">
      <c r="C44" t="s">
        <v>31</v>
      </c>
      <c r="D44" t="s">
        <v>67</v>
      </c>
      <c r="E44">
        <v>16</v>
      </c>
      <c r="F44" t="s">
        <v>10</v>
      </c>
      <c r="G44" t="s">
        <v>59</v>
      </c>
      <c r="H44" t="s">
        <v>92</v>
      </c>
      <c r="I44" s="36" t="s">
        <v>107</v>
      </c>
      <c r="J44" t="s">
        <v>66</v>
      </c>
      <c r="K44" s="15">
        <v>1210000</v>
      </c>
      <c r="L44" s="5" t="str">
        <f t="shared" si="0"/>
        <v>15 +</v>
      </c>
    </row>
    <row r="45" spans="3:12" hidden="1">
      <c r="C45" t="s">
        <v>31</v>
      </c>
      <c r="D45" t="s">
        <v>55</v>
      </c>
      <c r="E45">
        <v>14</v>
      </c>
      <c r="F45" t="s">
        <v>10</v>
      </c>
      <c r="G45" t="s">
        <v>51</v>
      </c>
      <c r="H45" t="s">
        <v>92</v>
      </c>
      <c r="I45" s="3" t="s">
        <v>108</v>
      </c>
      <c r="J45" t="s">
        <v>54</v>
      </c>
      <c r="K45" s="15">
        <v>700000</v>
      </c>
      <c r="L45" s="5" t="str">
        <f t="shared" si="0"/>
        <v>9 - 14</v>
      </c>
    </row>
    <row r="46" spans="3:12" hidden="1">
      <c r="C46" t="s">
        <v>31</v>
      </c>
      <c r="D46" t="s">
        <v>73</v>
      </c>
      <c r="E46">
        <v>9</v>
      </c>
      <c r="F46" t="s">
        <v>10</v>
      </c>
      <c r="G46" t="s">
        <v>51</v>
      </c>
      <c r="H46" t="s">
        <v>92</v>
      </c>
      <c r="I46" s="3" t="s">
        <v>109</v>
      </c>
      <c r="J46" t="s">
        <v>54</v>
      </c>
      <c r="K46" s="15">
        <v>1025000</v>
      </c>
      <c r="L46" s="5" t="str">
        <f t="shared" si="0"/>
        <v>9 - 14</v>
      </c>
    </row>
    <row r="47" spans="3:12" hidden="1">
      <c r="C47" t="s">
        <v>30</v>
      </c>
      <c r="D47" t="s">
        <v>55</v>
      </c>
      <c r="E47">
        <v>7</v>
      </c>
      <c r="F47" t="s">
        <v>10</v>
      </c>
      <c r="G47" t="s">
        <v>59</v>
      </c>
      <c r="H47" t="s">
        <v>92</v>
      </c>
      <c r="I47" s="3" t="s">
        <v>72</v>
      </c>
      <c r="J47" t="s">
        <v>66</v>
      </c>
      <c r="K47" s="15">
        <v>850000</v>
      </c>
      <c r="L47" s="5" t="str">
        <f t="shared" si="0"/>
        <v>5  - 8</v>
      </c>
    </row>
    <row r="48" spans="3:12" hidden="1">
      <c r="C48" t="s">
        <v>31</v>
      </c>
      <c r="D48" t="s">
        <v>55</v>
      </c>
      <c r="E48">
        <v>7</v>
      </c>
      <c r="F48" t="s">
        <v>10</v>
      </c>
      <c r="G48" t="s">
        <v>59</v>
      </c>
      <c r="H48" t="s">
        <v>92</v>
      </c>
      <c r="I48" s="3" t="s">
        <v>96</v>
      </c>
      <c r="J48" t="s">
        <v>54</v>
      </c>
      <c r="K48" s="15">
        <v>780000</v>
      </c>
      <c r="L48" s="5" t="str">
        <f t="shared" si="0"/>
        <v>5  - 8</v>
      </c>
    </row>
    <row r="49" spans="3:12" hidden="1">
      <c r="C49" t="s">
        <v>31</v>
      </c>
      <c r="D49" t="s">
        <v>63</v>
      </c>
      <c r="E49">
        <v>7</v>
      </c>
      <c r="F49" t="s">
        <v>10</v>
      </c>
      <c r="G49" t="s">
        <v>59</v>
      </c>
      <c r="H49" t="s">
        <v>92</v>
      </c>
      <c r="I49" s="3" t="s">
        <v>110</v>
      </c>
      <c r="J49" t="s">
        <v>54</v>
      </c>
      <c r="K49" s="15">
        <v>1000000</v>
      </c>
      <c r="L49" s="5" t="str">
        <f t="shared" si="0"/>
        <v>5  - 8</v>
      </c>
    </row>
    <row r="50" spans="3:12" hidden="1">
      <c r="C50" t="s">
        <v>31</v>
      </c>
      <c r="D50" t="s">
        <v>73</v>
      </c>
      <c r="E50">
        <v>6</v>
      </c>
      <c r="F50" t="s">
        <v>10</v>
      </c>
      <c r="G50" t="s">
        <v>59</v>
      </c>
      <c r="H50" t="s">
        <v>92</v>
      </c>
      <c r="I50" s="3" t="s">
        <v>79</v>
      </c>
      <c r="J50" t="s">
        <v>54</v>
      </c>
      <c r="K50" s="15">
        <v>900000</v>
      </c>
      <c r="L50" s="5" t="str">
        <f t="shared" si="0"/>
        <v>5  - 8</v>
      </c>
    </row>
    <row r="51" spans="3:12" hidden="1">
      <c r="C51" t="s">
        <v>31</v>
      </c>
      <c r="D51" t="s">
        <v>73</v>
      </c>
      <c r="E51">
        <v>5</v>
      </c>
      <c r="F51" t="s">
        <v>10</v>
      </c>
      <c r="G51" t="s">
        <v>59</v>
      </c>
      <c r="H51" t="s">
        <v>92</v>
      </c>
      <c r="I51" s="3" t="s">
        <v>69</v>
      </c>
      <c r="J51" t="s">
        <v>66</v>
      </c>
      <c r="K51" s="15">
        <v>750000</v>
      </c>
      <c r="L51" s="5" t="str">
        <f t="shared" si="0"/>
        <v>5  - 8</v>
      </c>
    </row>
    <row r="52" spans="3:12" hidden="1">
      <c r="C52" t="s">
        <v>31</v>
      </c>
      <c r="D52" t="s">
        <v>55</v>
      </c>
      <c r="E52">
        <v>3</v>
      </c>
      <c r="F52" t="s">
        <v>10</v>
      </c>
      <c r="G52" t="s">
        <v>59</v>
      </c>
      <c r="H52" t="s">
        <v>92</v>
      </c>
      <c r="I52" s="3" t="s">
        <v>111</v>
      </c>
      <c r="J52" t="s">
        <v>54</v>
      </c>
      <c r="K52" s="15">
        <v>870000</v>
      </c>
      <c r="L52" s="5" t="str">
        <f t="shared" si="0"/>
        <v>0 - 4</v>
      </c>
    </row>
    <row r="53" spans="3:12" hidden="1">
      <c r="C53" t="s">
        <v>31</v>
      </c>
      <c r="D53" t="s">
        <v>73</v>
      </c>
      <c r="E53">
        <v>2</v>
      </c>
      <c r="F53" t="s">
        <v>10</v>
      </c>
      <c r="G53" t="s">
        <v>59</v>
      </c>
      <c r="H53" t="s">
        <v>92</v>
      </c>
      <c r="I53" s="3" t="s">
        <v>112</v>
      </c>
      <c r="J53" t="s">
        <v>66</v>
      </c>
      <c r="K53" s="15">
        <v>560000</v>
      </c>
      <c r="L53" s="5" t="str">
        <f t="shared" si="0"/>
        <v>0 - 4</v>
      </c>
    </row>
    <row r="54" spans="3:12" hidden="1">
      <c r="C54" t="s">
        <v>31</v>
      </c>
      <c r="D54" t="s">
        <v>73</v>
      </c>
      <c r="E54">
        <v>2</v>
      </c>
      <c r="F54" t="s">
        <v>10</v>
      </c>
      <c r="G54" t="s">
        <v>59</v>
      </c>
      <c r="H54" t="s">
        <v>92</v>
      </c>
      <c r="I54" s="3" t="s">
        <v>113</v>
      </c>
      <c r="J54" t="s">
        <v>54</v>
      </c>
      <c r="K54" s="15">
        <v>590000</v>
      </c>
      <c r="L54" s="5" t="str">
        <f t="shared" si="0"/>
        <v>0 - 4</v>
      </c>
    </row>
    <row r="55" spans="3:12" hidden="1">
      <c r="C55" t="s">
        <v>31</v>
      </c>
      <c r="D55" t="s">
        <v>55</v>
      </c>
      <c r="E55">
        <v>2</v>
      </c>
      <c r="F55" t="s">
        <v>10</v>
      </c>
      <c r="G55" t="s">
        <v>59</v>
      </c>
      <c r="H55" t="s">
        <v>92</v>
      </c>
      <c r="I55" s="3" t="s">
        <v>114</v>
      </c>
      <c r="J55" t="s">
        <v>54</v>
      </c>
      <c r="K55" s="15">
        <v>685000</v>
      </c>
      <c r="L55" s="5" t="str">
        <f t="shared" si="0"/>
        <v>0 - 4</v>
      </c>
    </row>
    <row r="56" spans="3:12" hidden="1">
      <c r="C56" t="s">
        <v>31</v>
      </c>
      <c r="D56" t="s">
        <v>73</v>
      </c>
      <c r="E56">
        <v>2</v>
      </c>
      <c r="F56" t="s">
        <v>10</v>
      </c>
      <c r="G56" t="s">
        <v>51</v>
      </c>
      <c r="H56" t="s">
        <v>92</v>
      </c>
      <c r="I56" s="3" t="s">
        <v>108</v>
      </c>
      <c r="J56" t="s">
        <v>54</v>
      </c>
      <c r="K56" s="15">
        <v>700000</v>
      </c>
      <c r="L56" s="5" t="str">
        <f t="shared" si="0"/>
        <v>0 - 4</v>
      </c>
    </row>
    <row r="57" spans="3:12" hidden="1">
      <c r="C57" t="s">
        <v>31</v>
      </c>
      <c r="D57" t="s">
        <v>50</v>
      </c>
      <c r="E57">
        <v>2</v>
      </c>
      <c r="F57" t="s">
        <v>10</v>
      </c>
      <c r="G57" t="s">
        <v>59</v>
      </c>
      <c r="H57" t="s">
        <v>92</v>
      </c>
      <c r="I57" s="3" t="s">
        <v>115</v>
      </c>
      <c r="J57" t="s">
        <v>66</v>
      </c>
      <c r="K57" s="15">
        <v>715000</v>
      </c>
      <c r="L57" s="5" t="str">
        <f t="shared" si="0"/>
        <v>0 - 4</v>
      </c>
    </row>
    <row r="58" spans="3:12" hidden="1">
      <c r="C58" t="s">
        <v>31</v>
      </c>
      <c r="D58" t="s">
        <v>55</v>
      </c>
      <c r="E58">
        <v>1</v>
      </c>
      <c r="F58" t="s">
        <v>10</v>
      </c>
      <c r="G58" t="s">
        <v>59</v>
      </c>
      <c r="H58" t="s">
        <v>92</v>
      </c>
      <c r="I58" s="3" t="s">
        <v>69</v>
      </c>
      <c r="J58" t="s">
        <v>66</v>
      </c>
      <c r="K58" s="15">
        <v>750000</v>
      </c>
      <c r="L58" s="5" t="str">
        <f t="shared" si="0"/>
        <v>0 - 4</v>
      </c>
    </row>
    <row r="59" spans="3:12" hidden="1">
      <c r="C59" t="s">
        <v>31</v>
      </c>
      <c r="D59" t="s">
        <v>55</v>
      </c>
      <c r="E59">
        <v>28</v>
      </c>
      <c r="F59" t="s">
        <v>11</v>
      </c>
      <c r="G59" t="s">
        <v>57</v>
      </c>
      <c r="H59" t="s">
        <v>92</v>
      </c>
      <c r="I59" s="3" t="s">
        <v>116</v>
      </c>
      <c r="J59" t="s">
        <v>54</v>
      </c>
      <c r="K59" s="15">
        <v>800000</v>
      </c>
      <c r="L59" s="5" t="str">
        <f t="shared" si="0"/>
        <v>15 +</v>
      </c>
    </row>
    <row r="60" spans="3:12" hidden="1">
      <c r="C60" t="s">
        <v>31</v>
      </c>
      <c r="D60" t="s">
        <v>49</v>
      </c>
      <c r="E60">
        <v>23</v>
      </c>
      <c r="F60" t="s">
        <v>11</v>
      </c>
      <c r="G60" t="s">
        <v>51</v>
      </c>
      <c r="H60" t="s">
        <v>92</v>
      </c>
      <c r="I60" s="3" t="s">
        <v>117</v>
      </c>
      <c r="J60" t="s">
        <v>66</v>
      </c>
      <c r="K60" s="15">
        <v>2400000</v>
      </c>
      <c r="L60" s="5" t="str">
        <f t="shared" si="0"/>
        <v>15 +</v>
      </c>
    </row>
    <row r="61" spans="3:12" hidden="1">
      <c r="C61" t="s">
        <v>31</v>
      </c>
      <c r="D61" t="s">
        <v>80</v>
      </c>
      <c r="E61">
        <v>1</v>
      </c>
      <c r="F61" t="s">
        <v>11</v>
      </c>
      <c r="G61" t="s">
        <v>59</v>
      </c>
      <c r="H61" t="s">
        <v>92</v>
      </c>
      <c r="I61" s="3" t="s">
        <v>85</v>
      </c>
      <c r="J61" t="s">
        <v>66</v>
      </c>
      <c r="K61" s="15">
        <v>650000</v>
      </c>
      <c r="L61" s="5" t="str">
        <f t="shared" si="0"/>
        <v>0 - 4</v>
      </c>
    </row>
    <row r="62" spans="3:12" hidden="1">
      <c r="C62" t="s">
        <v>31</v>
      </c>
      <c r="D62" t="s">
        <v>73</v>
      </c>
      <c r="E62">
        <v>0</v>
      </c>
      <c r="F62" t="s">
        <v>11</v>
      </c>
      <c r="G62" t="s">
        <v>59</v>
      </c>
      <c r="H62" t="s">
        <v>92</v>
      </c>
      <c r="I62" s="3" t="s">
        <v>118</v>
      </c>
      <c r="J62" t="s">
        <v>66</v>
      </c>
      <c r="K62" s="15">
        <v>570000</v>
      </c>
      <c r="L62" s="5" t="str">
        <f t="shared" si="0"/>
        <v>0 - 4</v>
      </c>
    </row>
    <row r="63" spans="3:12" hidden="1">
      <c r="C63" t="s">
        <v>31</v>
      </c>
      <c r="D63" t="s">
        <v>55</v>
      </c>
      <c r="E63">
        <v>8</v>
      </c>
      <c r="F63" t="s">
        <v>13</v>
      </c>
      <c r="G63" t="s">
        <v>51</v>
      </c>
      <c r="H63" t="s">
        <v>92</v>
      </c>
      <c r="I63" s="3" t="s">
        <v>70</v>
      </c>
      <c r="J63" t="s">
        <v>66</v>
      </c>
      <c r="K63" s="15">
        <v>910000</v>
      </c>
      <c r="L63" s="5" t="str">
        <f t="shared" si="0"/>
        <v>5  - 8</v>
      </c>
    </row>
    <row r="64" spans="3:12" hidden="1">
      <c r="C64" t="s">
        <v>31</v>
      </c>
      <c r="D64" t="s">
        <v>73</v>
      </c>
      <c r="E64">
        <v>2</v>
      </c>
      <c r="F64" t="s">
        <v>13</v>
      </c>
      <c r="G64" t="s">
        <v>57</v>
      </c>
      <c r="H64" t="s">
        <v>92</v>
      </c>
      <c r="I64" s="3" t="s">
        <v>119</v>
      </c>
      <c r="J64" t="s">
        <v>54</v>
      </c>
      <c r="K64" s="15">
        <v>630000</v>
      </c>
      <c r="L64" s="5" t="str">
        <f t="shared" si="0"/>
        <v>0 - 4</v>
      </c>
    </row>
    <row r="65" spans="3:12" hidden="1">
      <c r="C65" t="s">
        <v>31</v>
      </c>
      <c r="D65" t="s">
        <v>73</v>
      </c>
      <c r="E65">
        <v>1</v>
      </c>
      <c r="F65" t="s">
        <v>13</v>
      </c>
      <c r="G65" t="s">
        <v>57</v>
      </c>
      <c r="H65" t="s">
        <v>92</v>
      </c>
      <c r="I65" s="3" t="s">
        <v>87</v>
      </c>
      <c r="J65" t="s">
        <v>54</v>
      </c>
      <c r="K65" s="15">
        <v>525000</v>
      </c>
      <c r="L65" s="5" t="str">
        <f t="shared" si="0"/>
        <v>0 - 4</v>
      </c>
    </row>
    <row r="66" spans="3:12" hidden="1">
      <c r="C66" t="s">
        <v>31</v>
      </c>
      <c r="D66" t="s">
        <v>55</v>
      </c>
      <c r="E66">
        <v>1</v>
      </c>
      <c r="F66" t="s">
        <v>13</v>
      </c>
      <c r="G66" t="s">
        <v>59</v>
      </c>
      <c r="H66" t="s">
        <v>92</v>
      </c>
      <c r="I66" s="3" t="s">
        <v>118</v>
      </c>
      <c r="J66" t="s">
        <v>66</v>
      </c>
      <c r="K66" s="15">
        <v>570000</v>
      </c>
      <c r="L66" s="5" t="str">
        <f t="shared" si="0"/>
        <v>0 - 4</v>
      </c>
    </row>
    <row r="67" spans="3:12" hidden="1">
      <c r="C67" t="s">
        <v>31</v>
      </c>
      <c r="D67" t="s">
        <v>55</v>
      </c>
      <c r="E67">
        <v>10</v>
      </c>
      <c r="F67" t="s">
        <v>17</v>
      </c>
      <c r="G67" t="s">
        <v>51</v>
      </c>
      <c r="H67" t="s">
        <v>92</v>
      </c>
      <c r="I67" s="3" t="s">
        <v>61</v>
      </c>
      <c r="J67" t="s">
        <v>66</v>
      </c>
      <c r="K67" s="15">
        <v>1200000</v>
      </c>
      <c r="L67" s="5" t="str">
        <f t="shared" ref="L67:L130" si="1">_xlfn.XLOOKUP(E67,$P$2:$P$5,$O$2:$O$5,,1)</f>
        <v>9 - 14</v>
      </c>
    </row>
    <row r="68" spans="3:12" hidden="1">
      <c r="C68" t="s">
        <v>31</v>
      </c>
      <c r="D68" t="s">
        <v>49</v>
      </c>
      <c r="E68">
        <v>23</v>
      </c>
      <c r="F68" t="s">
        <v>18</v>
      </c>
      <c r="G68" t="s">
        <v>57</v>
      </c>
      <c r="H68" t="s">
        <v>92</v>
      </c>
      <c r="I68" s="3" t="s">
        <v>120</v>
      </c>
      <c r="J68" t="s">
        <v>54</v>
      </c>
      <c r="K68" s="15">
        <v>740000</v>
      </c>
      <c r="L68" s="5" t="str">
        <f t="shared" si="1"/>
        <v>15 +</v>
      </c>
    </row>
    <row r="69" spans="3:12" hidden="1">
      <c r="C69" t="s">
        <v>31</v>
      </c>
      <c r="D69" t="s">
        <v>77</v>
      </c>
      <c r="E69">
        <v>15</v>
      </c>
      <c r="F69" t="s">
        <v>18</v>
      </c>
      <c r="G69" t="s">
        <v>57</v>
      </c>
      <c r="H69" t="s">
        <v>92</v>
      </c>
      <c r="I69" s="3" t="s">
        <v>122</v>
      </c>
      <c r="J69" t="s">
        <v>54</v>
      </c>
      <c r="K69" s="15">
        <v>930000</v>
      </c>
      <c r="L69" s="5" t="str">
        <f t="shared" si="1"/>
        <v>15 +</v>
      </c>
    </row>
    <row r="70" spans="3:12" hidden="1">
      <c r="C70" t="s">
        <v>31</v>
      </c>
      <c r="D70" t="s">
        <v>73</v>
      </c>
      <c r="E70">
        <v>5</v>
      </c>
      <c r="F70" t="s">
        <v>18</v>
      </c>
      <c r="G70" t="s">
        <v>51</v>
      </c>
      <c r="H70" t="s">
        <v>92</v>
      </c>
      <c r="I70" s="3" t="s">
        <v>123</v>
      </c>
      <c r="J70" t="s">
        <v>54</v>
      </c>
      <c r="K70" s="15">
        <v>580000</v>
      </c>
      <c r="L70" s="5" t="str">
        <f t="shared" si="1"/>
        <v>5  - 8</v>
      </c>
    </row>
    <row r="71" spans="3:12" hidden="1">
      <c r="C71" t="s">
        <v>31</v>
      </c>
      <c r="D71" t="s">
        <v>73</v>
      </c>
      <c r="E71">
        <v>5</v>
      </c>
      <c r="F71" t="s">
        <v>18</v>
      </c>
      <c r="G71" t="s">
        <v>51</v>
      </c>
      <c r="H71" t="s">
        <v>92</v>
      </c>
      <c r="I71" s="3" t="s">
        <v>69</v>
      </c>
      <c r="J71" t="s">
        <v>66</v>
      </c>
      <c r="K71" s="15">
        <v>750000</v>
      </c>
      <c r="L71" s="5" t="str">
        <f t="shared" si="1"/>
        <v>5  - 8</v>
      </c>
    </row>
    <row r="72" spans="3:12" hidden="1">
      <c r="C72" t="s">
        <v>31</v>
      </c>
      <c r="D72" t="s">
        <v>64</v>
      </c>
      <c r="E72">
        <v>20</v>
      </c>
      <c r="F72" t="s">
        <v>14</v>
      </c>
      <c r="G72" t="s">
        <v>59</v>
      </c>
      <c r="H72" t="s">
        <v>92</v>
      </c>
      <c r="I72" s="3" t="s">
        <v>124</v>
      </c>
      <c r="J72" t="s">
        <v>54</v>
      </c>
      <c r="K72" s="15">
        <v>515000</v>
      </c>
      <c r="L72" s="5" t="str">
        <f t="shared" si="1"/>
        <v>15 +</v>
      </c>
    </row>
    <row r="73" spans="3:12" hidden="1">
      <c r="C73" t="s">
        <v>31</v>
      </c>
      <c r="D73" t="s">
        <v>73</v>
      </c>
      <c r="E73">
        <v>13</v>
      </c>
      <c r="F73" t="s">
        <v>14</v>
      </c>
      <c r="G73" t="s">
        <v>51</v>
      </c>
      <c r="H73" t="s">
        <v>92</v>
      </c>
      <c r="I73" s="3" t="s">
        <v>126</v>
      </c>
      <c r="J73" t="s">
        <v>54</v>
      </c>
      <c r="K73" s="15">
        <v>925000</v>
      </c>
      <c r="L73" s="5" t="str">
        <f t="shared" si="1"/>
        <v>9 - 14</v>
      </c>
    </row>
    <row r="74" spans="3:12" hidden="1">
      <c r="C74" t="s">
        <v>31</v>
      </c>
      <c r="D74" t="s">
        <v>73</v>
      </c>
      <c r="E74">
        <v>7</v>
      </c>
      <c r="F74" t="s">
        <v>14</v>
      </c>
      <c r="G74" t="s">
        <v>127</v>
      </c>
      <c r="H74" t="s">
        <v>92</v>
      </c>
      <c r="I74" s="3" t="s">
        <v>117</v>
      </c>
      <c r="J74" t="s">
        <v>54</v>
      </c>
      <c r="K74" s="15">
        <v>2400000</v>
      </c>
      <c r="L74" s="5" t="str">
        <f t="shared" si="1"/>
        <v>5  - 8</v>
      </c>
    </row>
    <row r="75" spans="3:12" hidden="1">
      <c r="C75" t="s">
        <v>31</v>
      </c>
      <c r="D75" t="s">
        <v>101</v>
      </c>
      <c r="E75">
        <v>30</v>
      </c>
      <c r="F75" t="s">
        <v>15</v>
      </c>
      <c r="G75" t="s">
        <v>57</v>
      </c>
      <c r="H75" t="s">
        <v>92</v>
      </c>
      <c r="I75" s="3" t="s">
        <v>128</v>
      </c>
      <c r="J75" t="s">
        <v>54</v>
      </c>
      <c r="K75" s="15">
        <v>1014000</v>
      </c>
      <c r="L75" s="5" t="str">
        <f t="shared" si="1"/>
        <v>15 +</v>
      </c>
    </row>
    <row r="76" spans="3:12" hidden="1">
      <c r="C76" t="s">
        <v>31</v>
      </c>
      <c r="D76" t="s">
        <v>67</v>
      </c>
      <c r="E76">
        <v>24</v>
      </c>
      <c r="F76" t="s">
        <v>15</v>
      </c>
      <c r="G76" t="s">
        <v>51</v>
      </c>
      <c r="H76" t="s">
        <v>92</v>
      </c>
      <c r="I76" s="3" t="s">
        <v>129</v>
      </c>
      <c r="J76" t="s">
        <v>66</v>
      </c>
      <c r="K76" s="15">
        <v>1150000</v>
      </c>
      <c r="L76" s="5" t="str">
        <f t="shared" si="1"/>
        <v>15 +</v>
      </c>
    </row>
    <row r="77" spans="3:12" hidden="1">
      <c r="C77" t="s">
        <v>31</v>
      </c>
      <c r="D77" t="s">
        <v>55</v>
      </c>
      <c r="E77">
        <v>8</v>
      </c>
      <c r="F77" t="s">
        <v>15</v>
      </c>
      <c r="G77" t="s">
        <v>59</v>
      </c>
      <c r="H77" t="s">
        <v>92</v>
      </c>
      <c r="I77" s="3" t="s">
        <v>60</v>
      </c>
      <c r="J77" t="s">
        <v>66</v>
      </c>
      <c r="K77" s="15">
        <v>1500000</v>
      </c>
      <c r="L77" s="5" t="str">
        <f t="shared" si="1"/>
        <v>5  - 8</v>
      </c>
    </row>
    <row r="78" spans="3:12" hidden="1">
      <c r="C78" t="s">
        <v>31</v>
      </c>
      <c r="D78" t="s">
        <v>73</v>
      </c>
      <c r="E78">
        <v>5</v>
      </c>
      <c r="F78" t="s">
        <v>15</v>
      </c>
      <c r="G78" t="s">
        <v>59</v>
      </c>
      <c r="H78" t="s">
        <v>92</v>
      </c>
      <c r="I78" s="3" t="s">
        <v>130</v>
      </c>
      <c r="J78" t="s">
        <v>54</v>
      </c>
      <c r="K78" s="15">
        <v>950000</v>
      </c>
      <c r="L78" s="5" t="str">
        <f t="shared" si="1"/>
        <v>5  - 8</v>
      </c>
    </row>
    <row r="79" spans="3:12" hidden="1">
      <c r="C79" t="s">
        <v>31</v>
      </c>
      <c r="D79" t="s">
        <v>56</v>
      </c>
      <c r="E79">
        <v>0</v>
      </c>
      <c r="F79" t="s">
        <v>15</v>
      </c>
      <c r="G79" t="s">
        <v>51</v>
      </c>
      <c r="H79" t="s">
        <v>92</v>
      </c>
      <c r="I79" s="3" t="s">
        <v>131</v>
      </c>
      <c r="J79" t="s">
        <v>54</v>
      </c>
      <c r="K79" s="15">
        <v>485000</v>
      </c>
      <c r="L79" s="5" t="str">
        <f t="shared" si="1"/>
        <v>0 - 4</v>
      </c>
    </row>
    <row r="80" spans="3:12" hidden="1">
      <c r="C80" t="s">
        <v>31</v>
      </c>
      <c r="D80" t="s">
        <v>50</v>
      </c>
      <c r="E80">
        <v>12</v>
      </c>
      <c r="F80" t="s">
        <v>10</v>
      </c>
      <c r="G80" t="s">
        <v>59</v>
      </c>
      <c r="H80" t="s">
        <v>92</v>
      </c>
      <c r="I80" s="3" t="s">
        <v>133</v>
      </c>
      <c r="J80" t="s">
        <v>66</v>
      </c>
      <c r="K80" s="15">
        <v>960000</v>
      </c>
      <c r="L80" s="5" t="str">
        <f t="shared" si="1"/>
        <v>9 - 14</v>
      </c>
    </row>
    <row r="81" spans="3:12" hidden="1">
      <c r="C81" t="s">
        <v>31</v>
      </c>
      <c r="D81" t="s">
        <v>55</v>
      </c>
      <c r="E81">
        <v>8</v>
      </c>
      <c r="F81" t="s">
        <v>10</v>
      </c>
      <c r="G81" t="s">
        <v>127</v>
      </c>
      <c r="H81" t="s">
        <v>92</v>
      </c>
      <c r="I81" s="3" t="s">
        <v>134</v>
      </c>
      <c r="J81" t="s">
        <v>54</v>
      </c>
      <c r="K81" s="15">
        <v>1650000</v>
      </c>
      <c r="L81" s="5" t="str">
        <f t="shared" si="1"/>
        <v>5  - 8</v>
      </c>
    </row>
    <row r="82" spans="3:12" hidden="1">
      <c r="C82" t="s">
        <v>31</v>
      </c>
      <c r="D82" t="s">
        <v>55</v>
      </c>
      <c r="E82">
        <v>7</v>
      </c>
      <c r="F82" t="s">
        <v>10</v>
      </c>
      <c r="G82" t="s">
        <v>51</v>
      </c>
      <c r="H82" t="s">
        <v>92</v>
      </c>
      <c r="I82" s="3" t="s">
        <v>135</v>
      </c>
      <c r="J82" t="s">
        <v>66</v>
      </c>
      <c r="K82" s="15">
        <v>840000</v>
      </c>
      <c r="L82" s="5" t="str">
        <f t="shared" si="1"/>
        <v>5  - 8</v>
      </c>
    </row>
    <row r="83" spans="3:12" hidden="1">
      <c r="C83" t="s">
        <v>30</v>
      </c>
      <c r="D83" t="s">
        <v>55</v>
      </c>
      <c r="E83">
        <v>1</v>
      </c>
      <c r="F83" t="s">
        <v>12</v>
      </c>
      <c r="G83" t="s">
        <v>59</v>
      </c>
      <c r="H83" t="s">
        <v>92</v>
      </c>
      <c r="I83" s="3" t="s">
        <v>60</v>
      </c>
      <c r="J83" t="s">
        <v>54</v>
      </c>
      <c r="K83" s="15">
        <v>1500000</v>
      </c>
      <c r="L83" s="5" t="str">
        <f t="shared" si="1"/>
        <v>0 - 4</v>
      </c>
    </row>
    <row r="84" spans="3:12" hidden="1">
      <c r="C84" t="s">
        <v>31</v>
      </c>
      <c r="D84" t="s">
        <v>73</v>
      </c>
      <c r="E84">
        <v>12</v>
      </c>
      <c r="F84" t="s">
        <v>14</v>
      </c>
      <c r="G84" t="s">
        <v>51</v>
      </c>
      <c r="H84" t="s">
        <v>92</v>
      </c>
      <c r="I84" s="3" t="s">
        <v>136</v>
      </c>
      <c r="J84" t="s">
        <v>54</v>
      </c>
      <c r="K84" s="15">
        <v>310000</v>
      </c>
      <c r="L84" s="5" t="str">
        <f t="shared" si="1"/>
        <v>9 - 14</v>
      </c>
    </row>
    <row r="85" spans="3:12" hidden="1">
      <c r="C85" t="s">
        <v>31</v>
      </c>
      <c r="D85" t="s">
        <v>56</v>
      </c>
      <c r="E85">
        <v>8</v>
      </c>
      <c r="F85" t="s">
        <v>15</v>
      </c>
      <c r="G85" t="s">
        <v>51</v>
      </c>
      <c r="H85" t="s">
        <v>92</v>
      </c>
      <c r="I85" s="3" t="s">
        <v>137</v>
      </c>
      <c r="J85" t="s">
        <v>54</v>
      </c>
      <c r="K85" s="15">
        <v>683000</v>
      </c>
      <c r="L85" s="5" t="str">
        <f t="shared" si="1"/>
        <v>5  - 8</v>
      </c>
    </row>
    <row r="86" spans="3:12" hidden="1">
      <c r="C86" t="s">
        <v>30</v>
      </c>
      <c r="D86" t="s">
        <v>73</v>
      </c>
      <c r="E86">
        <v>7</v>
      </c>
      <c r="F86" t="s">
        <v>16</v>
      </c>
      <c r="G86" t="s">
        <v>57</v>
      </c>
      <c r="H86" t="s">
        <v>138</v>
      </c>
      <c r="I86" s="3" t="s">
        <v>96</v>
      </c>
      <c r="J86" t="s">
        <v>54</v>
      </c>
      <c r="K86" s="15">
        <v>780000</v>
      </c>
      <c r="L86" s="5" t="str">
        <f t="shared" si="1"/>
        <v>5  - 8</v>
      </c>
    </row>
    <row r="87" spans="3:12" hidden="1">
      <c r="C87" t="s">
        <v>31</v>
      </c>
      <c r="D87" t="s">
        <v>73</v>
      </c>
      <c r="E87">
        <v>0</v>
      </c>
      <c r="F87" t="s">
        <v>16</v>
      </c>
      <c r="G87" t="s">
        <v>51</v>
      </c>
      <c r="H87" t="s">
        <v>138</v>
      </c>
      <c r="I87" s="3" t="s">
        <v>139</v>
      </c>
      <c r="J87" t="s">
        <v>54</v>
      </c>
      <c r="K87" s="15">
        <v>600000</v>
      </c>
      <c r="L87" s="5" t="str">
        <f t="shared" si="1"/>
        <v>0 - 4</v>
      </c>
    </row>
    <row r="88" spans="3:12" hidden="1">
      <c r="C88" t="s">
        <v>31</v>
      </c>
      <c r="D88" t="s">
        <v>80</v>
      </c>
      <c r="E88">
        <v>30</v>
      </c>
      <c r="F88" t="s">
        <v>10</v>
      </c>
      <c r="G88" t="s">
        <v>127</v>
      </c>
      <c r="H88" t="s">
        <v>138</v>
      </c>
      <c r="I88" s="36" t="s">
        <v>60</v>
      </c>
      <c r="J88" t="s">
        <v>66</v>
      </c>
      <c r="K88" s="15">
        <v>1500000</v>
      </c>
      <c r="L88" s="5" t="str">
        <f t="shared" si="1"/>
        <v>15 +</v>
      </c>
    </row>
    <row r="89" spans="3:12" hidden="1">
      <c r="C89" t="s">
        <v>31</v>
      </c>
      <c r="D89" t="s">
        <v>49</v>
      </c>
      <c r="E89">
        <v>28</v>
      </c>
      <c r="F89" t="s">
        <v>10</v>
      </c>
      <c r="G89" t="s">
        <v>51</v>
      </c>
      <c r="H89" t="s">
        <v>138</v>
      </c>
      <c r="I89" s="36" t="s">
        <v>106</v>
      </c>
      <c r="J89" t="s">
        <v>54</v>
      </c>
      <c r="K89" s="15">
        <v>1100000</v>
      </c>
      <c r="L89" s="5" t="str">
        <f t="shared" si="1"/>
        <v>15 +</v>
      </c>
    </row>
    <row r="90" spans="3:12" hidden="1">
      <c r="C90" t="s">
        <v>31</v>
      </c>
      <c r="D90" t="s">
        <v>73</v>
      </c>
      <c r="E90">
        <v>25</v>
      </c>
      <c r="F90" t="s">
        <v>10</v>
      </c>
      <c r="G90" t="s">
        <v>51</v>
      </c>
      <c r="H90" t="s">
        <v>138</v>
      </c>
      <c r="I90" s="36" t="s">
        <v>140</v>
      </c>
      <c r="J90" t="s">
        <v>54</v>
      </c>
      <c r="K90" s="15">
        <v>735000</v>
      </c>
      <c r="L90" s="5" t="str">
        <f t="shared" si="1"/>
        <v>15 +</v>
      </c>
    </row>
    <row r="91" spans="3:12" hidden="1">
      <c r="C91" t="s">
        <v>31</v>
      </c>
      <c r="D91" t="s">
        <v>80</v>
      </c>
      <c r="E91">
        <v>14</v>
      </c>
      <c r="F91" t="s">
        <v>10</v>
      </c>
      <c r="G91" t="s">
        <v>51</v>
      </c>
      <c r="H91" t="s">
        <v>138</v>
      </c>
      <c r="I91" s="3" t="s">
        <v>79</v>
      </c>
      <c r="J91" t="s">
        <v>54</v>
      </c>
      <c r="K91" s="15">
        <v>900000</v>
      </c>
      <c r="L91" s="5" t="str">
        <f t="shared" si="1"/>
        <v>9 - 14</v>
      </c>
    </row>
    <row r="92" spans="3:12" hidden="1">
      <c r="C92" t="s">
        <v>31</v>
      </c>
      <c r="D92" t="s">
        <v>73</v>
      </c>
      <c r="E92">
        <v>13</v>
      </c>
      <c r="F92" t="s">
        <v>10</v>
      </c>
      <c r="G92" t="s">
        <v>59</v>
      </c>
      <c r="H92" t="s">
        <v>138</v>
      </c>
      <c r="I92" s="3" t="s">
        <v>106</v>
      </c>
      <c r="J92" t="s">
        <v>66</v>
      </c>
      <c r="K92" s="15">
        <v>1100000</v>
      </c>
      <c r="L92" s="5" t="str">
        <f t="shared" si="1"/>
        <v>9 - 14</v>
      </c>
    </row>
    <row r="93" spans="3:12" hidden="1">
      <c r="C93" t="s">
        <v>31</v>
      </c>
      <c r="D93" t="s">
        <v>50</v>
      </c>
      <c r="E93">
        <v>12</v>
      </c>
      <c r="F93" t="s">
        <v>10</v>
      </c>
      <c r="G93" t="s">
        <v>127</v>
      </c>
      <c r="H93" t="s">
        <v>138</v>
      </c>
      <c r="I93" s="3" t="s">
        <v>141</v>
      </c>
      <c r="J93" t="s">
        <v>66</v>
      </c>
      <c r="K93" s="15">
        <v>940000</v>
      </c>
      <c r="L93" s="5" t="str">
        <f t="shared" si="1"/>
        <v>9 - 14</v>
      </c>
    </row>
    <row r="94" spans="3:12" hidden="1">
      <c r="C94" t="s">
        <v>31</v>
      </c>
      <c r="D94" t="s">
        <v>73</v>
      </c>
      <c r="E94">
        <v>12</v>
      </c>
      <c r="F94" t="s">
        <v>10</v>
      </c>
      <c r="G94" t="s">
        <v>51</v>
      </c>
      <c r="H94" t="s">
        <v>138</v>
      </c>
      <c r="I94" s="3" t="s">
        <v>142</v>
      </c>
      <c r="J94" t="s">
        <v>54</v>
      </c>
      <c r="K94" s="15">
        <v>1135000</v>
      </c>
      <c r="L94" s="5" t="str">
        <f t="shared" si="1"/>
        <v>9 - 14</v>
      </c>
    </row>
    <row r="95" spans="3:12" hidden="1">
      <c r="C95" t="s">
        <v>31</v>
      </c>
      <c r="D95" t="s">
        <v>73</v>
      </c>
      <c r="E95">
        <v>10</v>
      </c>
      <c r="F95" t="s">
        <v>10</v>
      </c>
      <c r="G95" t="s">
        <v>57</v>
      </c>
      <c r="H95" t="s">
        <v>138</v>
      </c>
      <c r="I95" s="3" t="s">
        <v>70</v>
      </c>
      <c r="J95" t="s">
        <v>54</v>
      </c>
      <c r="K95" s="15">
        <v>910000</v>
      </c>
      <c r="L95" s="5" t="str">
        <f t="shared" si="1"/>
        <v>9 - 14</v>
      </c>
    </row>
    <row r="96" spans="3:12" hidden="1">
      <c r="C96" t="s">
        <v>31</v>
      </c>
      <c r="D96" t="s">
        <v>67</v>
      </c>
      <c r="E96">
        <v>10</v>
      </c>
      <c r="F96" t="s">
        <v>10</v>
      </c>
      <c r="G96" t="s">
        <v>51</v>
      </c>
      <c r="H96" t="s">
        <v>138</v>
      </c>
      <c r="I96" s="3" t="s">
        <v>130</v>
      </c>
      <c r="J96" t="s">
        <v>54</v>
      </c>
      <c r="K96" s="15">
        <v>950000</v>
      </c>
      <c r="L96" s="5" t="str">
        <f t="shared" si="1"/>
        <v>9 - 14</v>
      </c>
    </row>
    <row r="97" spans="3:12" hidden="1">
      <c r="C97" t="s">
        <v>31</v>
      </c>
      <c r="D97" t="s">
        <v>73</v>
      </c>
      <c r="E97">
        <v>10</v>
      </c>
      <c r="F97" t="s">
        <v>10</v>
      </c>
      <c r="G97" t="s">
        <v>57</v>
      </c>
      <c r="H97" t="s">
        <v>138</v>
      </c>
      <c r="I97" s="3" t="s">
        <v>143</v>
      </c>
      <c r="J97" t="s">
        <v>54</v>
      </c>
      <c r="K97" s="15">
        <v>969000</v>
      </c>
      <c r="L97" s="5" t="str">
        <f t="shared" si="1"/>
        <v>9 - 14</v>
      </c>
    </row>
    <row r="98" spans="3:12" hidden="1">
      <c r="C98" t="s">
        <v>31</v>
      </c>
      <c r="D98" t="s">
        <v>55</v>
      </c>
      <c r="E98">
        <v>10</v>
      </c>
      <c r="F98" t="s">
        <v>10</v>
      </c>
      <c r="G98" t="s">
        <v>59</v>
      </c>
      <c r="H98" t="s">
        <v>138</v>
      </c>
      <c r="I98" s="3" t="s">
        <v>110</v>
      </c>
      <c r="J98" t="s">
        <v>66</v>
      </c>
      <c r="K98" s="15">
        <v>1000000</v>
      </c>
      <c r="L98" s="5" t="str">
        <f t="shared" si="1"/>
        <v>9 - 14</v>
      </c>
    </row>
    <row r="99" spans="3:12" hidden="1">
      <c r="C99" t="s">
        <v>30</v>
      </c>
      <c r="D99" t="s">
        <v>55</v>
      </c>
      <c r="E99">
        <v>9</v>
      </c>
      <c r="F99" t="s">
        <v>10</v>
      </c>
      <c r="G99" t="s">
        <v>51</v>
      </c>
      <c r="H99" t="s">
        <v>138</v>
      </c>
      <c r="I99" s="3" t="s">
        <v>144</v>
      </c>
      <c r="J99" t="s">
        <v>54</v>
      </c>
      <c r="K99" s="15">
        <v>970000</v>
      </c>
      <c r="L99" s="5" t="str">
        <f t="shared" si="1"/>
        <v>9 - 14</v>
      </c>
    </row>
    <row r="100" spans="3:12" hidden="1">
      <c r="C100" t="s">
        <v>30</v>
      </c>
      <c r="D100" t="s">
        <v>73</v>
      </c>
      <c r="E100">
        <v>9</v>
      </c>
      <c r="F100" t="s">
        <v>10</v>
      </c>
      <c r="G100" t="s">
        <v>51</v>
      </c>
      <c r="H100" t="s">
        <v>138</v>
      </c>
      <c r="I100" s="3" t="s">
        <v>145</v>
      </c>
      <c r="J100" t="s">
        <v>54</v>
      </c>
      <c r="K100" s="15">
        <v>1115000</v>
      </c>
      <c r="L100" s="5" t="str">
        <f t="shared" si="1"/>
        <v>9 - 14</v>
      </c>
    </row>
    <row r="101" spans="3:12" hidden="1">
      <c r="C101" t="s">
        <v>31</v>
      </c>
      <c r="D101" t="s">
        <v>73</v>
      </c>
      <c r="E101">
        <v>9</v>
      </c>
      <c r="F101" t="s">
        <v>10</v>
      </c>
      <c r="G101" t="s">
        <v>51</v>
      </c>
      <c r="H101" t="s">
        <v>138</v>
      </c>
      <c r="I101" s="3" t="s">
        <v>146</v>
      </c>
      <c r="J101" t="s">
        <v>66</v>
      </c>
      <c r="K101" s="15">
        <v>1090000</v>
      </c>
      <c r="L101" s="5" t="str">
        <f t="shared" si="1"/>
        <v>9 - 14</v>
      </c>
    </row>
    <row r="102" spans="3:12" hidden="1">
      <c r="C102" t="s">
        <v>31</v>
      </c>
      <c r="D102" t="s">
        <v>73</v>
      </c>
      <c r="E102">
        <v>9</v>
      </c>
      <c r="F102" t="s">
        <v>10</v>
      </c>
      <c r="G102" t="s">
        <v>51</v>
      </c>
      <c r="H102" t="s">
        <v>138</v>
      </c>
      <c r="I102" s="3" t="s">
        <v>106</v>
      </c>
      <c r="J102" t="s">
        <v>54</v>
      </c>
      <c r="K102" s="15">
        <v>1100000</v>
      </c>
      <c r="L102" s="5" t="str">
        <f t="shared" si="1"/>
        <v>9 - 14</v>
      </c>
    </row>
    <row r="103" spans="3:12" hidden="1">
      <c r="C103" t="s">
        <v>31</v>
      </c>
      <c r="D103" t="s">
        <v>73</v>
      </c>
      <c r="E103">
        <v>8</v>
      </c>
      <c r="F103" t="s">
        <v>10</v>
      </c>
      <c r="G103" t="s">
        <v>51</v>
      </c>
      <c r="H103" t="s">
        <v>138</v>
      </c>
      <c r="I103" s="3" t="s">
        <v>147</v>
      </c>
      <c r="J103" t="s">
        <v>54</v>
      </c>
      <c r="K103" s="15">
        <v>840099</v>
      </c>
      <c r="L103" s="5" t="str">
        <f t="shared" si="1"/>
        <v>5  - 8</v>
      </c>
    </row>
    <row r="104" spans="3:12" hidden="1">
      <c r="C104" t="s">
        <v>31</v>
      </c>
      <c r="D104" t="s">
        <v>73</v>
      </c>
      <c r="E104">
        <v>8</v>
      </c>
      <c r="F104" t="s">
        <v>10</v>
      </c>
      <c r="G104" t="s">
        <v>51</v>
      </c>
      <c r="H104" t="s">
        <v>138</v>
      </c>
      <c r="I104" s="3" t="s">
        <v>79</v>
      </c>
      <c r="J104" t="s">
        <v>66</v>
      </c>
      <c r="K104" s="15">
        <v>900000</v>
      </c>
      <c r="L104" s="5" t="str">
        <f t="shared" si="1"/>
        <v>5  - 8</v>
      </c>
    </row>
    <row r="105" spans="3:12" hidden="1">
      <c r="C105" t="s">
        <v>31</v>
      </c>
      <c r="D105" t="s">
        <v>105</v>
      </c>
      <c r="E105">
        <v>8</v>
      </c>
      <c r="F105" t="s">
        <v>10</v>
      </c>
      <c r="G105" t="s">
        <v>51</v>
      </c>
      <c r="H105" t="s">
        <v>138</v>
      </c>
      <c r="I105" s="3" t="s">
        <v>130</v>
      </c>
      <c r="J105" t="s">
        <v>66</v>
      </c>
      <c r="K105" s="15">
        <v>950000</v>
      </c>
      <c r="L105" s="5" t="str">
        <f t="shared" si="1"/>
        <v>5  - 8</v>
      </c>
    </row>
    <row r="106" spans="3:12" hidden="1">
      <c r="C106" t="s">
        <v>31</v>
      </c>
      <c r="D106" t="s">
        <v>73</v>
      </c>
      <c r="E106">
        <v>8</v>
      </c>
      <c r="F106" t="s">
        <v>10</v>
      </c>
      <c r="G106" t="s">
        <v>57</v>
      </c>
      <c r="H106" t="s">
        <v>138</v>
      </c>
      <c r="I106" s="3" t="s">
        <v>148</v>
      </c>
      <c r="J106" t="s">
        <v>54</v>
      </c>
      <c r="K106" s="15">
        <v>1050000</v>
      </c>
      <c r="L106" s="5" t="str">
        <f t="shared" si="1"/>
        <v>5  - 8</v>
      </c>
    </row>
    <row r="107" spans="3:12" hidden="1">
      <c r="C107" t="s">
        <v>30</v>
      </c>
      <c r="D107" t="s">
        <v>73</v>
      </c>
      <c r="E107">
        <v>7</v>
      </c>
      <c r="F107" t="s">
        <v>10</v>
      </c>
      <c r="G107" t="s">
        <v>51</v>
      </c>
      <c r="H107" t="s">
        <v>138</v>
      </c>
      <c r="I107" s="3" t="s">
        <v>106</v>
      </c>
      <c r="J107" t="s">
        <v>54</v>
      </c>
      <c r="K107" s="15">
        <v>1100000</v>
      </c>
      <c r="L107" s="5" t="str">
        <f t="shared" si="1"/>
        <v>5  - 8</v>
      </c>
    </row>
    <row r="108" spans="3:12" hidden="1">
      <c r="C108" t="s">
        <v>31</v>
      </c>
      <c r="D108" t="s">
        <v>55</v>
      </c>
      <c r="E108">
        <v>6</v>
      </c>
      <c r="F108" t="s">
        <v>10</v>
      </c>
      <c r="G108" t="s">
        <v>51</v>
      </c>
      <c r="H108" t="s">
        <v>138</v>
      </c>
      <c r="I108" s="3" t="s">
        <v>69</v>
      </c>
      <c r="J108" t="s">
        <v>66</v>
      </c>
      <c r="K108" s="15">
        <v>750000</v>
      </c>
      <c r="L108" s="5" t="str">
        <f t="shared" si="1"/>
        <v>5  - 8</v>
      </c>
    </row>
    <row r="109" spans="3:12" hidden="1">
      <c r="C109" t="s">
        <v>31</v>
      </c>
      <c r="D109" t="s">
        <v>91</v>
      </c>
      <c r="E109">
        <v>6</v>
      </c>
      <c r="F109" t="s">
        <v>10</v>
      </c>
      <c r="G109" t="s">
        <v>51</v>
      </c>
      <c r="H109" t="s">
        <v>138</v>
      </c>
      <c r="I109" s="3" t="s">
        <v>130</v>
      </c>
      <c r="J109" t="s">
        <v>66</v>
      </c>
      <c r="K109" s="15">
        <v>950000</v>
      </c>
      <c r="L109" s="5" t="str">
        <f t="shared" si="1"/>
        <v>5  - 8</v>
      </c>
    </row>
    <row r="110" spans="3:12" hidden="1">
      <c r="C110" t="s">
        <v>31</v>
      </c>
      <c r="D110" t="s">
        <v>67</v>
      </c>
      <c r="E110">
        <v>6</v>
      </c>
      <c r="F110" t="s">
        <v>10</v>
      </c>
      <c r="G110" t="s">
        <v>51</v>
      </c>
      <c r="H110" t="s">
        <v>138</v>
      </c>
      <c r="I110" s="3" t="s">
        <v>149</v>
      </c>
      <c r="J110" t="s">
        <v>54</v>
      </c>
      <c r="K110" s="15">
        <v>1015000</v>
      </c>
      <c r="L110" s="5" t="str">
        <f t="shared" si="1"/>
        <v>5  - 8</v>
      </c>
    </row>
    <row r="111" spans="3:12" hidden="1">
      <c r="C111" t="s">
        <v>30</v>
      </c>
      <c r="D111" t="s">
        <v>55</v>
      </c>
      <c r="E111">
        <v>5</v>
      </c>
      <c r="F111" t="s">
        <v>10</v>
      </c>
      <c r="G111" t="s">
        <v>51</v>
      </c>
      <c r="H111" t="s">
        <v>138</v>
      </c>
      <c r="I111" s="3" t="s">
        <v>150</v>
      </c>
      <c r="J111" t="s">
        <v>66</v>
      </c>
      <c r="K111" s="15">
        <v>930318</v>
      </c>
      <c r="L111" s="5" t="str">
        <f t="shared" si="1"/>
        <v>5  - 8</v>
      </c>
    </row>
    <row r="112" spans="3:12" hidden="1">
      <c r="C112" t="s">
        <v>31</v>
      </c>
      <c r="D112" t="s">
        <v>73</v>
      </c>
      <c r="E112">
        <v>5</v>
      </c>
      <c r="F112" t="s">
        <v>10</v>
      </c>
      <c r="G112" t="s">
        <v>57</v>
      </c>
      <c r="H112" t="s">
        <v>138</v>
      </c>
      <c r="I112" s="3" t="s">
        <v>151</v>
      </c>
      <c r="J112" t="s">
        <v>54</v>
      </c>
      <c r="K112" s="15">
        <v>690000</v>
      </c>
      <c r="L112" s="5" t="str">
        <f t="shared" si="1"/>
        <v>5  - 8</v>
      </c>
    </row>
    <row r="113" spans="3:12" hidden="1">
      <c r="C113" t="s">
        <v>31</v>
      </c>
      <c r="D113" t="s">
        <v>73</v>
      </c>
      <c r="E113">
        <v>5</v>
      </c>
      <c r="F113" t="s">
        <v>10</v>
      </c>
      <c r="G113" t="s">
        <v>51</v>
      </c>
      <c r="H113" t="s">
        <v>138</v>
      </c>
      <c r="I113" s="3" t="s">
        <v>116</v>
      </c>
      <c r="J113" t="s">
        <v>54</v>
      </c>
      <c r="K113" s="15">
        <v>800000</v>
      </c>
      <c r="L113" s="5" t="str">
        <f t="shared" si="1"/>
        <v>5  - 8</v>
      </c>
    </row>
    <row r="114" spans="3:12" hidden="1">
      <c r="C114" t="s">
        <v>30</v>
      </c>
      <c r="D114" t="s">
        <v>67</v>
      </c>
      <c r="E114">
        <v>4</v>
      </c>
      <c r="F114" t="s">
        <v>10</v>
      </c>
      <c r="G114" t="s">
        <v>51</v>
      </c>
      <c r="H114" t="s">
        <v>138</v>
      </c>
      <c r="I114" s="3" t="s">
        <v>152</v>
      </c>
      <c r="J114" t="s">
        <v>54</v>
      </c>
      <c r="K114" s="15">
        <v>758000</v>
      </c>
      <c r="L114" s="5" t="str">
        <f t="shared" si="1"/>
        <v>0 - 4</v>
      </c>
    </row>
    <row r="115" spans="3:12" hidden="1">
      <c r="C115" t="s">
        <v>31</v>
      </c>
      <c r="D115" t="s">
        <v>73</v>
      </c>
      <c r="E115">
        <v>4</v>
      </c>
      <c r="F115" t="s">
        <v>10</v>
      </c>
      <c r="G115" t="s">
        <v>51</v>
      </c>
      <c r="H115" t="s">
        <v>138</v>
      </c>
      <c r="I115" s="3" t="s">
        <v>116</v>
      </c>
      <c r="J115" t="s">
        <v>54</v>
      </c>
      <c r="K115" s="15">
        <v>800000</v>
      </c>
      <c r="L115" s="5" t="str">
        <f t="shared" si="1"/>
        <v>0 - 4</v>
      </c>
    </row>
    <row r="116" spans="3:12" hidden="1">
      <c r="C116" t="s">
        <v>31</v>
      </c>
      <c r="D116" t="s">
        <v>73</v>
      </c>
      <c r="E116">
        <v>4</v>
      </c>
      <c r="F116" t="s">
        <v>10</v>
      </c>
      <c r="G116" t="s">
        <v>51</v>
      </c>
      <c r="H116" t="s">
        <v>138</v>
      </c>
      <c r="I116" s="3" t="s">
        <v>153</v>
      </c>
      <c r="J116" t="s">
        <v>66</v>
      </c>
      <c r="K116" s="15">
        <v>835000</v>
      </c>
      <c r="L116" s="5" t="str">
        <f t="shared" si="1"/>
        <v>0 - 4</v>
      </c>
    </row>
    <row r="117" spans="3:12" hidden="1">
      <c r="C117" t="s">
        <v>31</v>
      </c>
      <c r="D117" t="s">
        <v>49</v>
      </c>
      <c r="E117">
        <v>4</v>
      </c>
      <c r="F117" t="s">
        <v>10</v>
      </c>
      <c r="G117" t="s">
        <v>51</v>
      </c>
      <c r="H117" t="s">
        <v>138</v>
      </c>
      <c r="I117" s="3" t="s">
        <v>154</v>
      </c>
      <c r="J117" t="s">
        <v>54</v>
      </c>
      <c r="K117" s="15">
        <v>875000</v>
      </c>
      <c r="L117" s="5" t="str">
        <f t="shared" si="1"/>
        <v>0 - 4</v>
      </c>
    </row>
    <row r="118" spans="3:12" hidden="1">
      <c r="C118" t="s">
        <v>31</v>
      </c>
      <c r="D118" t="s">
        <v>73</v>
      </c>
      <c r="E118">
        <v>4</v>
      </c>
      <c r="F118" t="s">
        <v>10</v>
      </c>
      <c r="G118" t="s">
        <v>59</v>
      </c>
      <c r="H118" t="s">
        <v>138</v>
      </c>
      <c r="I118" s="3" t="s">
        <v>155</v>
      </c>
      <c r="J118" t="s">
        <v>54</v>
      </c>
      <c r="K118" s="15">
        <v>1750000</v>
      </c>
      <c r="L118" s="5" t="str">
        <f t="shared" si="1"/>
        <v>0 - 4</v>
      </c>
    </row>
    <row r="119" spans="3:12" hidden="1">
      <c r="C119" t="s">
        <v>30</v>
      </c>
      <c r="D119" t="s">
        <v>73</v>
      </c>
      <c r="E119">
        <v>3</v>
      </c>
      <c r="F119" t="s">
        <v>10</v>
      </c>
      <c r="G119" t="s">
        <v>51</v>
      </c>
      <c r="H119" t="s">
        <v>138</v>
      </c>
      <c r="I119" s="3" t="s">
        <v>140</v>
      </c>
      <c r="J119" t="s">
        <v>54</v>
      </c>
      <c r="K119" s="15">
        <v>735000</v>
      </c>
      <c r="L119" s="5" t="str">
        <f t="shared" si="1"/>
        <v>0 - 4</v>
      </c>
    </row>
    <row r="120" spans="3:12" hidden="1">
      <c r="C120" t="s">
        <v>30</v>
      </c>
      <c r="D120" t="s">
        <v>73</v>
      </c>
      <c r="E120">
        <v>3</v>
      </c>
      <c r="F120" t="s">
        <v>10</v>
      </c>
      <c r="G120" t="s">
        <v>51</v>
      </c>
      <c r="H120" t="s">
        <v>138</v>
      </c>
      <c r="I120" s="3" t="s">
        <v>156</v>
      </c>
      <c r="J120" t="s">
        <v>54</v>
      </c>
      <c r="K120" s="15">
        <v>770000</v>
      </c>
      <c r="L120" s="5" t="str">
        <f t="shared" si="1"/>
        <v>0 - 4</v>
      </c>
    </row>
    <row r="121" spans="3:12" hidden="1">
      <c r="C121" t="s">
        <v>31</v>
      </c>
      <c r="D121" t="s">
        <v>73</v>
      </c>
      <c r="E121">
        <v>3</v>
      </c>
      <c r="F121" t="s">
        <v>10</v>
      </c>
      <c r="G121" t="s">
        <v>51</v>
      </c>
      <c r="H121" t="s">
        <v>138</v>
      </c>
      <c r="I121" s="3" t="s">
        <v>151</v>
      </c>
      <c r="J121" t="s">
        <v>54</v>
      </c>
      <c r="K121" s="15">
        <v>690000</v>
      </c>
      <c r="L121" s="5" t="str">
        <f t="shared" si="1"/>
        <v>0 - 4</v>
      </c>
    </row>
    <row r="122" spans="3:12" hidden="1">
      <c r="C122" t="s">
        <v>31</v>
      </c>
      <c r="D122" t="s">
        <v>73</v>
      </c>
      <c r="E122">
        <v>3</v>
      </c>
      <c r="F122" t="s">
        <v>10</v>
      </c>
      <c r="G122" t="s">
        <v>59</v>
      </c>
      <c r="H122" t="s">
        <v>138</v>
      </c>
      <c r="I122" s="3" t="s">
        <v>108</v>
      </c>
      <c r="J122" t="s">
        <v>54</v>
      </c>
      <c r="K122" s="15">
        <v>700000</v>
      </c>
      <c r="L122" s="5" t="str">
        <f t="shared" si="1"/>
        <v>0 - 4</v>
      </c>
    </row>
    <row r="123" spans="3:12" hidden="1">
      <c r="C123" t="s">
        <v>31</v>
      </c>
      <c r="D123" t="s">
        <v>73</v>
      </c>
      <c r="E123">
        <v>3</v>
      </c>
      <c r="F123" t="s">
        <v>10</v>
      </c>
      <c r="G123" t="s">
        <v>57</v>
      </c>
      <c r="H123" t="s">
        <v>138</v>
      </c>
      <c r="I123" s="3" t="s">
        <v>108</v>
      </c>
      <c r="J123" t="s">
        <v>54</v>
      </c>
      <c r="K123" s="15">
        <v>700000</v>
      </c>
      <c r="L123" s="5" t="str">
        <f t="shared" si="1"/>
        <v>0 - 4</v>
      </c>
    </row>
    <row r="124" spans="3:12" hidden="1">
      <c r="C124" t="s">
        <v>31</v>
      </c>
      <c r="D124" t="s">
        <v>55</v>
      </c>
      <c r="E124">
        <v>3</v>
      </c>
      <c r="F124" t="s">
        <v>10</v>
      </c>
      <c r="G124" t="s">
        <v>59</v>
      </c>
      <c r="H124" t="s">
        <v>138</v>
      </c>
      <c r="I124" s="3" t="s">
        <v>72</v>
      </c>
      <c r="J124" t="s">
        <v>54</v>
      </c>
      <c r="K124" s="15">
        <v>850000</v>
      </c>
      <c r="L124" s="5" t="str">
        <f t="shared" si="1"/>
        <v>0 - 4</v>
      </c>
    </row>
    <row r="125" spans="3:12" hidden="1">
      <c r="C125" t="s">
        <v>30</v>
      </c>
      <c r="D125" t="s">
        <v>73</v>
      </c>
      <c r="E125">
        <v>2</v>
      </c>
      <c r="F125" t="s">
        <v>10</v>
      </c>
      <c r="G125" t="s">
        <v>57</v>
      </c>
      <c r="H125" t="s">
        <v>138</v>
      </c>
      <c r="I125" s="3" t="s">
        <v>113</v>
      </c>
      <c r="J125" t="s">
        <v>54</v>
      </c>
      <c r="K125" s="15">
        <v>590000</v>
      </c>
      <c r="L125" s="5" t="str">
        <f t="shared" si="1"/>
        <v>0 - 4</v>
      </c>
    </row>
    <row r="126" spans="3:12" hidden="1">
      <c r="C126" t="s">
        <v>30</v>
      </c>
      <c r="D126" t="s">
        <v>49</v>
      </c>
      <c r="E126">
        <v>2</v>
      </c>
      <c r="F126" t="s">
        <v>10</v>
      </c>
      <c r="G126" t="s">
        <v>57</v>
      </c>
      <c r="H126" t="s">
        <v>138</v>
      </c>
      <c r="I126" s="3" t="s">
        <v>157</v>
      </c>
      <c r="J126" t="s">
        <v>54</v>
      </c>
      <c r="K126" s="15">
        <v>625000</v>
      </c>
      <c r="L126" s="5" t="str">
        <f t="shared" si="1"/>
        <v>0 - 4</v>
      </c>
    </row>
    <row r="127" spans="3:12" hidden="1">
      <c r="C127" t="s">
        <v>31</v>
      </c>
      <c r="D127" t="s">
        <v>77</v>
      </c>
      <c r="E127">
        <v>2</v>
      </c>
      <c r="F127" t="s">
        <v>10</v>
      </c>
      <c r="G127" t="s">
        <v>59</v>
      </c>
      <c r="H127" t="s">
        <v>138</v>
      </c>
      <c r="I127" s="3" t="s">
        <v>158</v>
      </c>
      <c r="J127" t="s">
        <v>54</v>
      </c>
      <c r="K127" s="15">
        <v>510000</v>
      </c>
      <c r="L127" s="5" t="str">
        <f t="shared" si="1"/>
        <v>0 - 4</v>
      </c>
    </row>
    <row r="128" spans="3:12" hidden="1">
      <c r="C128" t="s">
        <v>31</v>
      </c>
      <c r="D128" t="s">
        <v>73</v>
      </c>
      <c r="E128">
        <v>2</v>
      </c>
      <c r="F128" t="s">
        <v>10</v>
      </c>
      <c r="G128" t="s">
        <v>57</v>
      </c>
      <c r="H128" t="s">
        <v>138</v>
      </c>
      <c r="I128" s="3" t="s">
        <v>159</v>
      </c>
      <c r="J128" t="s">
        <v>54</v>
      </c>
      <c r="K128" s="15">
        <v>680000</v>
      </c>
      <c r="L128" s="5" t="str">
        <f t="shared" si="1"/>
        <v>0 - 4</v>
      </c>
    </row>
    <row r="129" spans="3:12" hidden="1">
      <c r="C129" t="s">
        <v>30</v>
      </c>
      <c r="D129" t="s">
        <v>73</v>
      </c>
      <c r="E129">
        <v>1</v>
      </c>
      <c r="F129" t="s">
        <v>10</v>
      </c>
      <c r="G129" t="s">
        <v>51</v>
      </c>
      <c r="H129" t="s">
        <v>138</v>
      </c>
      <c r="I129" s="3" t="s">
        <v>139</v>
      </c>
      <c r="J129" t="s">
        <v>54</v>
      </c>
      <c r="K129" s="15">
        <v>600000</v>
      </c>
      <c r="L129" s="5" t="str">
        <f t="shared" si="1"/>
        <v>0 - 4</v>
      </c>
    </row>
    <row r="130" spans="3:12" hidden="1">
      <c r="C130" t="s">
        <v>31</v>
      </c>
      <c r="D130" t="s">
        <v>55</v>
      </c>
      <c r="E130">
        <v>1</v>
      </c>
      <c r="F130" t="s">
        <v>10</v>
      </c>
      <c r="G130" t="s">
        <v>59</v>
      </c>
      <c r="H130" t="s">
        <v>138</v>
      </c>
      <c r="I130" s="3" t="s">
        <v>119</v>
      </c>
      <c r="J130" t="s">
        <v>54</v>
      </c>
      <c r="K130" s="15">
        <v>630000</v>
      </c>
      <c r="L130" s="5" t="str">
        <f t="shared" si="1"/>
        <v>0 - 4</v>
      </c>
    </row>
    <row r="131" spans="3:12" hidden="1">
      <c r="C131" t="s">
        <v>31</v>
      </c>
      <c r="D131" t="s">
        <v>55</v>
      </c>
      <c r="E131">
        <v>1</v>
      </c>
      <c r="F131" t="s">
        <v>10</v>
      </c>
      <c r="G131" t="s">
        <v>59</v>
      </c>
      <c r="H131" t="s">
        <v>138</v>
      </c>
      <c r="I131" s="3" t="s">
        <v>96</v>
      </c>
      <c r="J131" t="s">
        <v>54</v>
      </c>
      <c r="K131" s="15">
        <v>780000</v>
      </c>
      <c r="L131" s="5" t="str">
        <f t="shared" ref="L131:L194" si="2">_xlfn.XLOOKUP(E131,$P$2:$P$5,$O$2:$O$5,,1)</f>
        <v>0 - 4</v>
      </c>
    </row>
    <row r="132" spans="3:12" hidden="1">
      <c r="C132" t="s">
        <v>30</v>
      </c>
      <c r="D132" t="s">
        <v>55</v>
      </c>
      <c r="E132">
        <v>0</v>
      </c>
      <c r="F132" t="s">
        <v>10</v>
      </c>
      <c r="G132" t="s">
        <v>59</v>
      </c>
      <c r="H132" t="s">
        <v>138</v>
      </c>
      <c r="I132" s="3" t="s">
        <v>119</v>
      </c>
      <c r="J132" t="s">
        <v>54</v>
      </c>
      <c r="K132" s="15">
        <v>630000</v>
      </c>
      <c r="L132" s="5" t="str">
        <f t="shared" si="2"/>
        <v>0 - 4</v>
      </c>
    </row>
    <row r="133" spans="3:12" hidden="1">
      <c r="C133" t="s">
        <v>31</v>
      </c>
      <c r="D133" t="s">
        <v>55</v>
      </c>
      <c r="E133">
        <v>0</v>
      </c>
      <c r="F133" t="s">
        <v>10</v>
      </c>
      <c r="G133" t="s">
        <v>59</v>
      </c>
      <c r="H133" t="s">
        <v>138</v>
      </c>
      <c r="I133" s="3" t="s">
        <v>94</v>
      </c>
      <c r="J133" t="s">
        <v>54</v>
      </c>
      <c r="K133" s="15">
        <v>550000</v>
      </c>
      <c r="L133" s="5" t="str">
        <f t="shared" si="2"/>
        <v>0 - 4</v>
      </c>
    </row>
    <row r="134" spans="3:12" hidden="1">
      <c r="C134" t="s">
        <v>31</v>
      </c>
      <c r="D134" t="s">
        <v>73</v>
      </c>
      <c r="E134">
        <v>0</v>
      </c>
      <c r="F134" t="s">
        <v>10</v>
      </c>
      <c r="G134" t="s">
        <v>57</v>
      </c>
      <c r="H134" t="s">
        <v>138</v>
      </c>
      <c r="I134" s="3" t="s">
        <v>119</v>
      </c>
      <c r="J134" t="s">
        <v>54</v>
      </c>
      <c r="K134" s="15">
        <v>630000</v>
      </c>
      <c r="L134" s="5" t="str">
        <f t="shared" si="2"/>
        <v>0 - 4</v>
      </c>
    </row>
    <row r="135" spans="3:12" hidden="1">
      <c r="C135" t="s">
        <v>31</v>
      </c>
      <c r="D135" t="s">
        <v>62</v>
      </c>
      <c r="E135">
        <v>0</v>
      </c>
      <c r="F135" t="s">
        <v>10</v>
      </c>
      <c r="G135" t="s">
        <v>51</v>
      </c>
      <c r="H135" t="s">
        <v>138</v>
      </c>
      <c r="I135" s="3" t="s">
        <v>85</v>
      </c>
      <c r="J135" t="s">
        <v>54</v>
      </c>
      <c r="K135" s="15">
        <v>650000</v>
      </c>
      <c r="L135" s="5" t="str">
        <f t="shared" si="2"/>
        <v>0 - 4</v>
      </c>
    </row>
    <row r="136" spans="3:12" hidden="1">
      <c r="C136" t="s">
        <v>31</v>
      </c>
      <c r="D136" t="s">
        <v>80</v>
      </c>
      <c r="E136">
        <v>20</v>
      </c>
      <c r="F136" t="s">
        <v>11</v>
      </c>
      <c r="G136" t="s">
        <v>59</v>
      </c>
      <c r="H136" t="s">
        <v>138</v>
      </c>
      <c r="I136" s="3" t="s">
        <v>148</v>
      </c>
      <c r="J136" t="s">
        <v>66</v>
      </c>
      <c r="K136" s="15">
        <v>1050000</v>
      </c>
      <c r="L136" s="5" t="str">
        <f t="shared" si="2"/>
        <v>15 +</v>
      </c>
    </row>
    <row r="137" spans="3:12" hidden="1">
      <c r="C137" t="s">
        <v>31</v>
      </c>
      <c r="D137" t="s">
        <v>73</v>
      </c>
      <c r="E137">
        <v>7</v>
      </c>
      <c r="F137" t="s">
        <v>11</v>
      </c>
      <c r="G137" t="s">
        <v>59</v>
      </c>
      <c r="H137" t="s">
        <v>138</v>
      </c>
      <c r="I137" s="3" t="s">
        <v>96</v>
      </c>
      <c r="J137" t="s">
        <v>66</v>
      </c>
      <c r="K137" s="15">
        <v>780000</v>
      </c>
      <c r="L137" s="5" t="str">
        <f t="shared" si="2"/>
        <v>5  - 8</v>
      </c>
    </row>
    <row r="138" spans="3:12" hidden="1">
      <c r="C138" t="s">
        <v>31</v>
      </c>
      <c r="D138" t="s">
        <v>73</v>
      </c>
      <c r="E138">
        <v>3</v>
      </c>
      <c r="F138" t="s">
        <v>11</v>
      </c>
      <c r="G138" t="s">
        <v>51</v>
      </c>
      <c r="H138" t="s">
        <v>138</v>
      </c>
      <c r="I138" s="3" t="s">
        <v>69</v>
      </c>
      <c r="J138" t="s">
        <v>54</v>
      </c>
      <c r="K138" s="15">
        <v>750000</v>
      </c>
      <c r="L138" s="5" t="str">
        <f t="shared" si="2"/>
        <v>0 - 4</v>
      </c>
    </row>
    <row r="139" spans="3:12" hidden="1">
      <c r="C139" t="s">
        <v>31</v>
      </c>
      <c r="D139" t="s">
        <v>73</v>
      </c>
      <c r="E139">
        <v>3</v>
      </c>
      <c r="F139" t="s">
        <v>12</v>
      </c>
      <c r="G139" t="s">
        <v>51</v>
      </c>
      <c r="H139" t="s">
        <v>138</v>
      </c>
      <c r="I139" s="3" t="s">
        <v>140</v>
      </c>
      <c r="J139" t="s">
        <v>54</v>
      </c>
      <c r="K139" s="15">
        <v>735000</v>
      </c>
      <c r="L139" s="5" t="str">
        <f t="shared" si="2"/>
        <v>0 - 4</v>
      </c>
    </row>
    <row r="140" spans="3:12" hidden="1">
      <c r="C140" t="s">
        <v>31</v>
      </c>
      <c r="D140" t="s">
        <v>63</v>
      </c>
      <c r="E140">
        <v>18</v>
      </c>
      <c r="F140" t="s">
        <v>13</v>
      </c>
      <c r="G140" t="s">
        <v>51</v>
      </c>
      <c r="H140" t="s">
        <v>138</v>
      </c>
      <c r="I140" s="3" t="s">
        <v>129</v>
      </c>
      <c r="J140" t="s">
        <v>66</v>
      </c>
      <c r="K140" s="15">
        <v>1150000</v>
      </c>
      <c r="L140" s="5" t="str">
        <f t="shared" si="2"/>
        <v>15 +</v>
      </c>
    </row>
    <row r="141" spans="3:12" hidden="1">
      <c r="C141" t="s">
        <v>31</v>
      </c>
      <c r="D141" t="s">
        <v>73</v>
      </c>
      <c r="E141">
        <v>14</v>
      </c>
      <c r="F141" t="s">
        <v>13</v>
      </c>
      <c r="G141" t="s">
        <v>51</v>
      </c>
      <c r="H141" t="s">
        <v>138</v>
      </c>
      <c r="I141" s="3" t="s">
        <v>156</v>
      </c>
      <c r="J141" t="s">
        <v>54</v>
      </c>
      <c r="K141" s="15">
        <v>770000</v>
      </c>
      <c r="L141" s="5" t="str">
        <f t="shared" si="2"/>
        <v>9 - 14</v>
      </c>
    </row>
    <row r="142" spans="3:12" hidden="1">
      <c r="C142" t="s">
        <v>31</v>
      </c>
      <c r="D142" t="s">
        <v>73</v>
      </c>
      <c r="E142">
        <v>13</v>
      </c>
      <c r="F142" t="s">
        <v>13</v>
      </c>
      <c r="G142" t="s">
        <v>51</v>
      </c>
      <c r="H142" t="s">
        <v>138</v>
      </c>
      <c r="I142" s="3" t="s">
        <v>160</v>
      </c>
      <c r="J142" t="s">
        <v>54</v>
      </c>
      <c r="K142" s="15">
        <v>903000</v>
      </c>
      <c r="L142" s="5" t="str">
        <f t="shared" si="2"/>
        <v>9 - 14</v>
      </c>
    </row>
    <row r="143" spans="3:12" hidden="1">
      <c r="C143" t="s">
        <v>31</v>
      </c>
      <c r="D143" t="s">
        <v>91</v>
      </c>
      <c r="E143">
        <v>8</v>
      </c>
      <c r="F143" t="s">
        <v>13</v>
      </c>
      <c r="G143" t="s">
        <v>51</v>
      </c>
      <c r="H143" t="s">
        <v>138</v>
      </c>
      <c r="I143" s="3" t="s">
        <v>116</v>
      </c>
      <c r="J143" t="s">
        <v>54</v>
      </c>
      <c r="K143" s="15">
        <v>800000</v>
      </c>
      <c r="L143" s="5" t="str">
        <f t="shared" si="2"/>
        <v>5  - 8</v>
      </c>
    </row>
    <row r="144" spans="3:12" hidden="1">
      <c r="C144" t="s">
        <v>30</v>
      </c>
      <c r="D144" t="s">
        <v>55</v>
      </c>
      <c r="E144">
        <v>5</v>
      </c>
      <c r="F144" t="s">
        <v>13</v>
      </c>
      <c r="G144" t="s">
        <v>57</v>
      </c>
      <c r="H144" t="s">
        <v>138</v>
      </c>
      <c r="I144" s="3" t="s">
        <v>161</v>
      </c>
      <c r="J144" t="s">
        <v>54</v>
      </c>
      <c r="K144" s="15">
        <v>765000</v>
      </c>
      <c r="L144" s="5" t="str">
        <f t="shared" si="2"/>
        <v>5  - 8</v>
      </c>
    </row>
    <row r="145" spans="3:12" hidden="1">
      <c r="C145" t="s">
        <v>31</v>
      </c>
      <c r="D145" t="s">
        <v>56</v>
      </c>
      <c r="E145">
        <v>4</v>
      </c>
      <c r="F145" t="s">
        <v>13</v>
      </c>
      <c r="G145" t="s">
        <v>59</v>
      </c>
      <c r="H145" t="s">
        <v>138</v>
      </c>
      <c r="I145" s="3" t="s">
        <v>159</v>
      </c>
      <c r="J145" t="s">
        <v>54</v>
      </c>
      <c r="K145" s="15">
        <v>680000</v>
      </c>
      <c r="L145" s="5" t="str">
        <f t="shared" si="2"/>
        <v>0 - 4</v>
      </c>
    </row>
    <row r="146" spans="3:12" hidden="1">
      <c r="C146" t="s">
        <v>30</v>
      </c>
      <c r="D146" t="s">
        <v>73</v>
      </c>
      <c r="E146">
        <v>3</v>
      </c>
      <c r="F146" t="s">
        <v>13</v>
      </c>
      <c r="G146" t="s">
        <v>51</v>
      </c>
      <c r="H146" t="s">
        <v>138</v>
      </c>
      <c r="I146" s="3" t="s">
        <v>162</v>
      </c>
      <c r="J146" t="s">
        <v>54</v>
      </c>
      <c r="K146" s="15">
        <v>726000</v>
      </c>
      <c r="L146" s="5" t="str">
        <f t="shared" si="2"/>
        <v>0 - 4</v>
      </c>
    </row>
    <row r="147" spans="3:12" hidden="1">
      <c r="C147" t="s">
        <v>31</v>
      </c>
      <c r="D147" t="s">
        <v>55</v>
      </c>
      <c r="E147">
        <v>1</v>
      </c>
      <c r="F147" t="s">
        <v>17</v>
      </c>
      <c r="G147" t="s">
        <v>57</v>
      </c>
      <c r="H147" t="s">
        <v>138</v>
      </c>
      <c r="I147" s="3" t="s">
        <v>163</v>
      </c>
      <c r="J147" t="s">
        <v>66</v>
      </c>
      <c r="K147" s="15">
        <v>774201</v>
      </c>
      <c r="L147" s="5" t="str">
        <f t="shared" si="2"/>
        <v>0 - 4</v>
      </c>
    </row>
    <row r="148" spans="3:12" hidden="1">
      <c r="C148" t="s">
        <v>30</v>
      </c>
      <c r="D148" t="s">
        <v>56</v>
      </c>
      <c r="E148">
        <v>5</v>
      </c>
      <c r="F148" t="s">
        <v>18</v>
      </c>
      <c r="G148" t="s">
        <v>59</v>
      </c>
      <c r="H148" t="s">
        <v>138</v>
      </c>
      <c r="I148" s="3" t="s">
        <v>159</v>
      </c>
      <c r="J148" t="s">
        <v>66</v>
      </c>
      <c r="K148" s="15">
        <v>680000</v>
      </c>
      <c r="L148" s="5" t="str">
        <f t="shared" si="2"/>
        <v>5  - 8</v>
      </c>
    </row>
    <row r="149" spans="3:12" hidden="1">
      <c r="C149" t="s">
        <v>31</v>
      </c>
      <c r="D149" t="s">
        <v>73</v>
      </c>
      <c r="E149">
        <v>22</v>
      </c>
      <c r="F149" t="s">
        <v>14</v>
      </c>
      <c r="G149" t="s">
        <v>51</v>
      </c>
      <c r="H149" t="s">
        <v>138</v>
      </c>
      <c r="I149" s="3" t="s">
        <v>164</v>
      </c>
      <c r="J149" t="s">
        <v>54</v>
      </c>
      <c r="K149" s="15">
        <v>887000</v>
      </c>
      <c r="L149" s="5" t="str">
        <f t="shared" si="2"/>
        <v>15 +</v>
      </c>
    </row>
    <row r="150" spans="3:12" hidden="1">
      <c r="C150" t="s">
        <v>31</v>
      </c>
      <c r="D150" t="s">
        <v>73</v>
      </c>
      <c r="E150">
        <v>20</v>
      </c>
      <c r="F150" t="s">
        <v>14</v>
      </c>
      <c r="G150" t="s">
        <v>51</v>
      </c>
      <c r="H150" t="s">
        <v>138</v>
      </c>
      <c r="I150" s="3" t="s">
        <v>165</v>
      </c>
      <c r="J150" t="s">
        <v>66</v>
      </c>
      <c r="K150" s="15">
        <v>720000</v>
      </c>
      <c r="L150" s="5" t="str">
        <f t="shared" si="2"/>
        <v>15 +</v>
      </c>
    </row>
    <row r="151" spans="3:12" hidden="1">
      <c r="C151" t="s">
        <v>31</v>
      </c>
      <c r="D151" t="s">
        <v>55</v>
      </c>
      <c r="E151">
        <v>9</v>
      </c>
      <c r="F151" t="s">
        <v>14</v>
      </c>
      <c r="G151" t="s">
        <v>59</v>
      </c>
      <c r="H151" t="s">
        <v>138</v>
      </c>
      <c r="I151" s="3" t="s">
        <v>166</v>
      </c>
      <c r="J151" t="s">
        <v>54</v>
      </c>
      <c r="K151" s="15">
        <v>890000</v>
      </c>
      <c r="L151" s="5" t="str">
        <f t="shared" si="2"/>
        <v>9 - 14</v>
      </c>
    </row>
    <row r="152" spans="3:12" hidden="1">
      <c r="C152" t="s">
        <v>31</v>
      </c>
      <c r="D152" t="s">
        <v>55</v>
      </c>
      <c r="E152">
        <v>6</v>
      </c>
      <c r="F152" t="s">
        <v>14</v>
      </c>
      <c r="G152" t="s">
        <v>59</v>
      </c>
      <c r="H152" t="s">
        <v>138</v>
      </c>
      <c r="I152" s="3" t="s">
        <v>167</v>
      </c>
      <c r="J152" t="s">
        <v>54</v>
      </c>
      <c r="K152" s="15">
        <v>860000</v>
      </c>
      <c r="L152" s="5" t="str">
        <f t="shared" si="2"/>
        <v>5  - 8</v>
      </c>
    </row>
    <row r="153" spans="3:12" hidden="1">
      <c r="C153" t="s">
        <v>31</v>
      </c>
      <c r="D153" t="s">
        <v>55</v>
      </c>
      <c r="E153">
        <v>0</v>
      </c>
      <c r="F153" t="s">
        <v>14</v>
      </c>
      <c r="G153" t="s">
        <v>59</v>
      </c>
      <c r="H153" t="s">
        <v>138</v>
      </c>
      <c r="I153" s="3" t="s">
        <v>94</v>
      </c>
      <c r="J153" t="s">
        <v>66</v>
      </c>
      <c r="K153" s="15">
        <v>550000</v>
      </c>
      <c r="L153" s="5" t="str">
        <f t="shared" si="2"/>
        <v>0 - 4</v>
      </c>
    </row>
    <row r="154" spans="3:12" hidden="1">
      <c r="C154" t="s">
        <v>31</v>
      </c>
      <c r="D154" t="s">
        <v>55</v>
      </c>
      <c r="E154">
        <v>0</v>
      </c>
      <c r="F154" t="s">
        <v>14</v>
      </c>
      <c r="G154" t="s">
        <v>59</v>
      </c>
      <c r="H154" t="s">
        <v>138</v>
      </c>
      <c r="I154" s="3" t="s">
        <v>157</v>
      </c>
      <c r="J154" t="s">
        <v>66</v>
      </c>
      <c r="K154" s="15">
        <v>625000</v>
      </c>
      <c r="L154" s="5" t="str">
        <f t="shared" si="2"/>
        <v>0 - 4</v>
      </c>
    </row>
    <row r="155" spans="3:12" hidden="1">
      <c r="C155" t="s">
        <v>31</v>
      </c>
      <c r="D155" t="s">
        <v>73</v>
      </c>
      <c r="E155">
        <v>14</v>
      </c>
      <c r="F155" t="s">
        <v>15</v>
      </c>
      <c r="G155" t="s">
        <v>59</v>
      </c>
      <c r="H155" t="s">
        <v>138</v>
      </c>
      <c r="I155" s="3" t="s">
        <v>168</v>
      </c>
      <c r="J155" t="s">
        <v>54</v>
      </c>
      <c r="K155" s="15">
        <v>880000</v>
      </c>
      <c r="L155" s="5" t="str">
        <f t="shared" si="2"/>
        <v>9 - 14</v>
      </c>
    </row>
    <row r="156" spans="3:12" hidden="1">
      <c r="C156" t="s">
        <v>31</v>
      </c>
      <c r="D156" t="s">
        <v>73</v>
      </c>
      <c r="E156">
        <v>11</v>
      </c>
      <c r="F156" t="s">
        <v>15</v>
      </c>
      <c r="G156" t="s">
        <v>59</v>
      </c>
      <c r="H156" t="s">
        <v>138</v>
      </c>
      <c r="I156" s="3" t="s">
        <v>106</v>
      </c>
      <c r="J156" t="s">
        <v>54</v>
      </c>
      <c r="K156" s="15">
        <v>1100000</v>
      </c>
      <c r="L156" s="5" t="str">
        <f t="shared" si="2"/>
        <v>9 - 14</v>
      </c>
    </row>
    <row r="157" spans="3:12" hidden="1">
      <c r="C157" t="s">
        <v>32</v>
      </c>
      <c r="D157" t="s">
        <v>73</v>
      </c>
      <c r="E157">
        <v>3</v>
      </c>
      <c r="F157" t="s">
        <v>15</v>
      </c>
      <c r="G157" t="s">
        <v>51</v>
      </c>
      <c r="H157" t="s">
        <v>138</v>
      </c>
      <c r="I157" s="3" t="s">
        <v>170</v>
      </c>
      <c r="J157" t="s">
        <v>54</v>
      </c>
      <c r="K157" s="15">
        <v>556000</v>
      </c>
      <c r="L157" s="5" t="str">
        <f t="shared" si="2"/>
        <v>0 - 4</v>
      </c>
    </row>
    <row r="158" spans="3:12" hidden="1">
      <c r="C158" t="s">
        <v>31</v>
      </c>
      <c r="D158" t="s">
        <v>55</v>
      </c>
      <c r="E158">
        <v>20</v>
      </c>
      <c r="F158" t="s">
        <v>8</v>
      </c>
      <c r="G158" t="s">
        <v>51</v>
      </c>
      <c r="H158" t="s">
        <v>171</v>
      </c>
      <c r="I158" s="3" t="s">
        <v>61</v>
      </c>
      <c r="J158" t="s">
        <v>54</v>
      </c>
      <c r="K158" s="15">
        <v>1200000</v>
      </c>
      <c r="L158" s="5" t="str">
        <f t="shared" si="2"/>
        <v>15 +</v>
      </c>
    </row>
    <row r="159" spans="3:12" hidden="1">
      <c r="C159" t="s">
        <v>32</v>
      </c>
      <c r="D159" t="s">
        <v>50</v>
      </c>
      <c r="E159">
        <v>30</v>
      </c>
      <c r="F159" t="s">
        <v>16</v>
      </c>
      <c r="G159" t="s">
        <v>57</v>
      </c>
      <c r="H159" t="s">
        <v>171</v>
      </c>
      <c r="I159" s="3" t="s">
        <v>130</v>
      </c>
      <c r="J159" t="s">
        <v>54</v>
      </c>
      <c r="K159" s="15">
        <v>950000</v>
      </c>
      <c r="L159" s="5" t="str">
        <f t="shared" si="2"/>
        <v>15 +</v>
      </c>
    </row>
    <row r="160" spans="3:12" hidden="1">
      <c r="C160" t="s">
        <v>31</v>
      </c>
      <c r="D160" t="s">
        <v>73</v>
      </c>
      <c r="E160">
        <v>28</v>
      </c>
      <c r="F160" t="s">
        <v>16</v>
      </c>
      <c r="G160" t="s">
        <v>51</v>
      </c>
      <c r="H160" t="s">
        <v>171</v>
      </c>
      <c r="I160" s="3" t="s">
        <v>106</v>
      </c>
      <c r="J160" t="s">
        <v>54</v>
      </c>
      <c r="K160" s="15">
        <v>1100000</v>
      </c>
      <c r="L160" s="5" t="str">
        <f t="shared" si="2"/>
        <v>15 +</v>
      </c>
    </row>
    <row r="161" spans="3:12" hidden="1">
      <c r="C161" t="s">
        <v>31</v>
      </c>
      <c r="D161" t="s">
        <v>64</v>
      </c>
      <c r="E161">
        <v>25</v>
      </c>
      <c r="F161" t="s">
        <v>16</v>
      </c>
      <c r="G161" t="s">
        <v>59</v>
      </c>
      <c r="H161" t="s">
        <v>171</v>
      </c>
      <c r="I161" s="3" t="s">
        <v>110</v>
      </c>
      <c r="J161" t="s">
        <v>54</v>
      </c>
      <c r="K161" s="15">
        <v>1000000</v>
      </c>
      <c r="L161" s="5" t="str">
        <f t="shared" si="2"/>
        <v>15 +</v>
      </c>
    </row>
    <row r="162" spans="3:12" hidden="1">
      <c r="C162" t="s">
        <v>31</v>
      </c>
      <c r="D162" t="s">
        <v>49</v>
      </c>
      <c r="E162">
        <v>21</v>
      </c>
      <c r="F162" t="s">
        <v>16</v>
      </c>
      <c r="G162" t="s">
        <v>57</v>
      </c>
      <c r="H162" t="s">
        <v>171</v>
      </c>
      <c r="I162" s="3" t="s">
        <v>110</v>
      </c>
      <c r="J162" t="s">
        <v>54</v>
      </c>
      <c r="K162" s="15">
        <v>1000000</v>
      </c>
      <c r="L162" s="5" t="str">
        <f t="shared" si="2"/>
        <v>15 +</v>
      </c>
    </row>
    <row r="163" spans="3:12" hidden="1">
      <c r="C163" t="s">
        <v>31</v>
      </c>
      <c r="D163" t="s">
        <v>73</v>
      </c>
      <c r="E163">
        <v>16</v>
      </c>
      <c r="F163" t="s">
        <v>16</v>
      </c>
      <c r="G163" t="s">
        <v>57</v>
      </c>
      <c r="H163" t="s">
        <v>171</v>
      </c>
      <c r="I163" s="3" t="s">
        <v>130</v>
      </c>
      <c r="J163" t="s">
        <v>54</v>
      </c>
      <c r="K163" s="15">
        <v>950000</v>
      </c>
      <c r="L163" s="5" t="str">
        <f t="shared" si="2"/>
        <v>15 +</v>
      </c>
    </row>
    <row r="164" spans="3:12" hidden="1">
      <c r="C164" t="s">
        <v>31</v>
      </c>
      <c r="D164" t="s">
        <v>73</v>
      </c>
      <c r="E164">
        <v>34</v>
      </c>
      <c r="F164" t="s">
        <v>19</v>
      </c>
      <c r="G164" t="s">
        <v>51</v>
      </c>
      <c r="H164" t="s">
        <v>171</v>
      </c>
      <c r="I164" s="3" t="s">
        <v>61</v>
      </c>
      <c r="J164" t="s">
        <v>54</v>
      </c>
      <c r="K164" s="15">
        <v>1200000</v>
      </c>
      <c r="L164" s="5" t="str">
        <f t="shared" si="2"/>
        <v>15 +</v>
      </c>
    </row>
    <row r="165" spans="3:12" hidden="1">
      <c r="C165" t="s">
        <v>31</v>
      </c>
      <c r="D165" t="s">
        <v>73</v>
      </c>
      <c r="E165">
        <v>25</v>
      </c>
      <c r="F165" t="s">
        <v>19</v>
      </c>
      <c r="G165" t="s">
        <v>59</v>
      </c>
      <c r="H165" t="s">
        <v>171</v>
      </c>
      <c r="I165" s="3" t="s">
        <v>172</v>
      </c>
      <c r="J165" t="s">
        <v>66</v>
      </c>
      <c r="K165" s="15">
        <v>775000</v>
      </c>
      <c r="L165" s="5" t="str">
        <f t="shared" si="2"/>
        <v>15 +</v>
      </c>
    </row>
    <row r="166" spans="3:12" hidden="1">
      <c r="C166" t="s">
        <v>31</v>
      </c>
      <c r="D166" t="s">
        <v>73</v>
      </c>
      <c r="E166">
        <v>16</v>
      </c>
      <c r="F166" t="s">
        <v>19</v>
      </c>
      <c r="G166" t="s">
        <v>59</v>
      </c>
      <c r="H166" t="s">
        <v>171</v>
      </c>
      <c r="I166" s="3" t="s">
        <v>79</v>
      </c>
      <c r="J166" t="s">
        <v>54</v>
      </c>
      <c r="K166" s="15">
        <v>900000</v>
      </c>
      <c r="L166" s="5" t="str">
        <f t="shared" si="2"/>
        <v>15 +</v>
      </c>
    </row>
    <row r="167" spans="3:12" hidden="1">
      <c r="C167" t="s">
        <v>31</v>
      </c>
      <c r="D167" t="s">
        <v>73</v>
      </c>
      <c r="E167">
        <v>14</v>
      </c>
      <c r="F167" t="s">
        <v>19</v>
      </c>
      <c r="G167" t="s">
        <v>51</v>
      </c>
      <c r="H167" t="s">
        <v>171</v>
      </c>
      <c r="I167" s="3" t="s">
        <v>106</v>
      </c>
      <c r="J167" t="s">
        <v>54</v>
      </c>
      <c r="K167" s="15">
        <v>1100000</v>
      </c>
      <c r="L167" s="5" t="str">
        <f t="shared" si="2"/>
        <v>9 - 14</v>
      </c>
    </row>
    <row r="168" spans="3:12" hidden="1">
      <c r="C168" t="s">
        <v>31</v>
      </c>
      <c r="D168" t="s">
        <v>55</v>
      </c>
      <c r="E168">
        <v>14</v>
      </c>
      <c r="F168" t="s">
        <v>9</v>
      </c>
      <c r="G168" t="s">
        <v>51</v>
      </c>
      <c r="H168" t="s">
        <v>171</v>
      </c>
      <c r="I168" s="3" t="s">
        <v>106</v>
      </c>
      <c r="J168" t="s">
        <v>66</v>
      </c>
      <c r="K168" s="15">
        <v>1100000</v>
      </c>
      <c r="L168" s="5" t="str">
        <f t="shared" si="2"/>
        <v>9 - 14</v>
      </c>
    </row>
    <row r="169" spans="3:12" hidden="1">
      <c r="C169" t="s">
        <v>31</v>
      </c>
      <c r="D169" t="s">
        <v>55</v>
      </c>
      <c r="E169">
        <v>44</v>
      </c>
      <c r="F169" t="s">
        <v>10</v>
      </c>
      <c r="G169" t="s">
        <v>51</v>
      </c>
      <c r="H169" t="s">
        <v>171</v>
      </c>
      <c r="I169" s="36" t="s">
        <v>68</v>
      </c>
      <c r="J169" t="s">
        <v>54</v>
      </c>
      <c r="K169" s="15">
        <v>980000</v>
      </c>
      <c r="L169" s="5" t="str">
        <f t="shared" si="2"/>
        <v>15 +</v>
      </c>
    </row>
    <row r="170" spans="3:12" hidden="1">
      <c r="C170" t="s">
        <v>31</v>
      </c>
      <c r="D170" t="s">
        <v>55</v>
      </c>
      <c r="E170">
        <v>32</v>
      </c>
      <c r="F170" t="s">
        <v>10</v>
      </c>
      <c r="G170" t="s">
        <v>59</v>
      </c>
      <c r="H170" t="s">
        <v>171</v>
      </c>
      <c r="I170" s="36" t="s">
        <v>104</v>
      </c>
      <c r="J170" t="s">
        <v>54</v>
      </c>
      <c r="K170" s="15">
        <v>1300000</v>
      </c>
      <c r="L170" s="5" t="str">
        <f t="shared" si="2"/>
        <v>15 +</v>
      </c>
    </row>
    <row r="171" spans="3:12" hidden="1">
      <c r="C171" t="s">
        <v>31</v>
      </c>
      <c r="D171" t="s">
        <v>55</v>
      </c>
      <c r="E171">
        <v>31</v>
      </c>
      <c r="F171" t="s">
        <v>10</v>
      </c>
      <c r="G171" t="s">
        <v>59</v>
      </c>
      <c r="H171" t="s">
        <v>171</v>
      </c>
      <c r="I171" s="36" t="s">
        <v>173</v>
      </c>
      <c r="J171" t="s">
        <v>54</v>
      </c>
      <c r="K171" s="15">
        <v>1250000</v>
      </c>
      <c r="L171" s="5" t="str">
        <f t="shared" si="2"/>
        <v>15 +</v>
      </c>
    </row>
    <row r="172" spans="3:12" hidden="1">
      <c r="C172" t="s">
        <v>31</v>
      </c>
      <c r="D172" t="s">
        <v>73</v>
      </c>
      <c r="E172">
        <v>30</v>
      </c>
      <c r="F172" t="s">
        <v>10</v>
      </c>
      <c r="G172" t="s">
        <v>59</v>
      </c>
      <c r="H172" t="s">
        <v>171</v>
      </c>
      <c r="I172" s="36" t="s">
        <v>106</v>
      </c>
      <c r="J172" t="s">
        <v>54</v>
      </c>
      <c r="K172" s="15">
        <v>1100000</v>
      </c>
      <c r="L172" s="5" t="str">
        <f t="shared" si="2"/>
        <v>15 +</v>
      </c>
    </row>
    <row r="173" spans="3:12" hidden="1">
      <c r="C173" t="s">
        <v>31</v>
      </c>
      <c r="D173" t="s">
        <v>55</v>
      </c>
      <c r="E173">
        <v>30</v>
      </c>
      <c r="F173" t="s">
        <v>10</v>
      </c>
      <c r="G173" t="s">
        <v>51</v>
      </c>
      <c r="H173" t="s">
        <v>171</v>
      </c>
      <c r="I173" s="36" t="s">
        <v>174</v>
      </c>
      <c r="J173" t="s">
        <v>54</v>
      </c>
      <c r="K173" s="15">
        <v>1265000</v>
      </c>
      <c r="L173" s="5" t="str">
        <f t="shared" si="2"/>
        <v>15 +</v>
      </c>
    </row>
    <row r="174" spans="3:12" hidden="1">
      <c r="C174" t="s">
        <v>31</v>
      </c>
      <c r="D174" t="s">
        <v>73</v>
      </c>
      <c r="E174">
        <v>29</v>
      </c>
      <c r="F174" t="s">
        <v>10</v>
      </c>
      <c r="G174" t="s">
        <v>51</v>
      </c>
      <c r="H174" t="s">
        <v>171</v>
      </c>
      <c r="I174" s="36" t="s">
        <v>110</v>
      </c>
      <c r="J174" t="s">
        <v>54</v>
      </c>
      <c r="K174" s="15">
        <v>1000000</v>
      </c>
      <c r="L174" s="5" t="str">
        <f t="shared" si="2"/>
        <v>15 +</v>
      </c>
    </row>
    <row r="175" spans="3:12" hidden="1">
      <c r="C175" t="s">
        <v>31</v>
      </c>
      <c r="D175" t="s">
        <v>67</v>
      </c>
      <c r="E175">
        <v>27</v>
      </c>
      <c r="F175" t="s">
        <v>10</v>
      </c>
      <c r="G175" t="s">
        <v>59</v>
      </c>
      <c r="H175" t="s">
        <v>171</v>
      </c>
      <c r="I175" s="36" t="s">
        <v>110</v>
      </c>
      <c r="J175" t="s">
        <v>66</v>
      </c>
      <c r="K175" s="15">
        <v>1000000</v>
      </c>
      <c r="L175" s="5" t="str">
        <f t="shared" si="2"/>
        <v>15 +</v>
      </c>
    </row>
    <row r="176" spans="3:12" hidden="1">
      <c r="C176" t="s">
        <v>31</v>
      </c>
      <c r="D176" t="s">
        <v>73</v>
      </c>
      <c r="E176">
        <v>26</v>
      </c>
      <c r="F176" t="s">
        <v>10</v>
      </c>
      <c r="G176" t="s">
        <v>51</v>
      </c>
      <c r="H176" t="s">
        <v>171</v>
      </c>
      <c r="I176" s="36" t="s">
        <v>106</v>
      </c>
      <c r="J176" t="s">
        <v>54</v>
      </c>
      <c r="K176" s="15">
        <v>1100000</v>
      </c>
      <c r="L176" s="5" t="str">
        <f t="shared" si="2"/>
        <v>15 +</v>
      </c>
    </row>
    <row r="177" spans="3:12" hidden="1">
      <c r="C177" t="s">
        <v>31</v>
      </c>
      <c r="D177" t="s">
        <v>73</v>
      </c>
      <c r="E177">
        <v>26</v>
      </c>
      <c r="F177" t="s">
        <v>10</v>
      </c>
      <c r="G177" t="s">
        <v>59</v>
      </c>
      <c r="H177" t="s">
        <v>171</v>
      </c>
      <c r="I177" s="36" t="s">
        <v>175</v>
      </c>
      <c r="J177" t="s">
        <v>54</v>
      </c>
      <c r="K177" s="15">
        <v>1400000</v>
      </c>
      <c r="L177" s="5" t="str">
        <f t="shared" si="2"/>
        <v>15 +</v>
      </c>
    </row>
    <row r="178" spans="3:12" hidden="1">
      <c r="C178" t="s">
        <v>31</v>
      </c>
      <c r="D178" t="s">
        <v>49</v>
      </c>
      <c r="E178">
        <v>25</v>
      </c>
      <c r="F178" t="s">
        <v>10</v>
      </c>
      <c r="G178" t="s">
        <v>51</v>
      </c>
      <c r="H178" t="s">
        <v>171</v>
      </c>
      <c r="I178" s="36" t="s">
        <v>176</v>
      </c>
      <c r="J178" t="s">
        <v>54</v>
      </c>
      <c r="K178" s="15">
        <v>1005000</v>
      </c>
      <c r="L178" s="5" t="str">
        <f t="shared" si="2"/>
        <v>15 +</v>
      </c>
    </row>
    <row r="179" spans="3:12" hidden="1">
      <c r="C179" t="s">
        <v>31</v>
      </c>
      <c r="D179" t="s">
        <v>95</v>
      </c>
      <c r="E179">
        <v>25</v>
      </c>
      <c r="F179" t="s">
        <v>10</v>
      </c>
      <c r="G179" t="s">
        <v>59</v>
      </c>
      <c r="H179" t="s">
        <v>171</v>
      </c>
      <c r="I179" s="36" t="s">
        <v>177</v>
      </c>
      <c r="J179" t="s">
        <v>66</v>
      </c>
      <c r="K179" s="15">
        <v>1360000</v>
      </c>
      <c r="L179" s="5" t="str">
        <f t="shared" si="2"/>
        <v>15 +</v>
      </c>
    </row>
    <row r="180" spans="3:12" hidden="1">
      <c r="C180" t="s">
        <v>31</v>
      </c>
      <c r="D180" t="s">
        <v>55</v>
      </c>
      <c r="E180">
        <v>25</v>
      </c>
      <c r="F180" t="s">
        <v>10</v>
      </c>
      <c r="G180" t="s">
        <v>59</v>
      </c>
      <c r="H180" t="s">
        <v>171</v>
      </c>
      <c r="I180" s="36" t="s">
        <v>175</v>
      </c>
      <c r="J180" t="s">
        <v>66</v>
      </c>
      <c r="K180" s="15">
        <v>1400000</v>
      </c>
      <c r="L180" s="5" t="str">
        <f t="shared" si="2"/>
        <v>15 +</v>
      </c>
    </row>
    <row r="181" spans="3:12" hidden="1">
      <c r="C181" t="s">
        <v>31</v>
      </c>
      <c r="D181" t="s">
        <v>55</v>
      </c>
      <c r="E181">
        <v>24</v>
      </c>
      <c r="F181" t="s">
        <v>10</v>
      </c>
      <c r="G181" t="s">
        <v>57</v>
      </c>
      <c r="H181" t="s">
        <v>171</v>
      </c>
      <c r="I181" s="36" t="s">
        <v>178</v>
      </c>
      <c r="J181" t="s">
        <v>54</v>
      </c>
      <c r="K181" s="15">
        <v>1138300</v>
      </c>
      <c r="L181" s="5" t="str">
        <f t="shared" si="2"/>
        <v>15 +</v>
      </c>
    </row>
    <row r="182" spans="3:12" hidden="1">
      <c r="C182" t="s">
        <v>31</v>
      </c>
      <c r="D182" t="s">
        <v>121</v>
      </c>
      <c r="E182">
        <v>22</v>
      </c>
      <c r="F182" t="s">
        <v>10</v>
      </c>
      <c r="G182" t="s">
        <v>57</v>
      </c>
      <c r="H182" t="s">
        <v>171</v>
      </c>
      <c r="I182" s="36" t="s">
        <v>179</v>
      </c>
      <c r="J182" t="s">
        <v>54</v>
      </c>
      <c r="K182" s="15">
        <v>1230000</v>
      </c>
      <c r="L182" s="5" t="str">
        <f t="shared" si="2"/>
        <v>15 +</v>
      </c>
    </row>
    <row r="183" spans="3:12" hidden="1">
      <c r="C183" t="s">
        <v>31</v>
      </c>
      <c r="D183" t="s">
        <v>55</v>
      </c>
      <c r="E183">
        <v>21</v>
      </c>
      <c r="F183" t="s">
        <v>10</v>
      </c>
      <c r="G183" t="s">
        <v>57</v>
      </c>
      <c r="H183" t="s">
        <v>171</v>
      </c>
      <c r="I183" s="36" t="s">
        <v>180</v>
      </c>
      <c r="J183" t="s">
        <v>66</v>
      </c>
      <c r="K183" s="15">
        <v>1290000</v>
      </c>
      <c r="L183" s="5" t="str">
        <f t="shared" si="2"/>
        <v>15 +</v>
      </c>
    </row>
    <row r="184" spans="3:12" hidden="1">
      <c r="C184" t="s">
        <v>30</v>
      </c>
      <c r="D184" t="s">
        <v>55</v>
      </c>
      <c r="E184">
        <v>20</v>
      </c>
      <c r="F184" t="s">
        <v>10</v>
      </c>
      <c r="G184" t="s">
        <v>57</v>
      </c>
      <c r="H184" t="s">
        <v>171</v>
      </c>
      <c r="I184" s="36" t="s">
        <v>181</v>
      </c>
      <c r="J184" t="s">
        <v>66</v>
      </c>
      <c r="K184" s="15">
        <v>1030000</v>
      </c>
      <c r="L184" s="5" t="str">
        <f t="shared" si="2"/>
        <v>15 +</v>
      </c>
    </row>
    <row r="185" spans="3:12" hidden="1">
      <c r="C185" t="s">
        <v>31</v>
      </c>
      <c r="D185" t="s">
        <v>73</v>
      </c>
      <c r="E185">
        <v>20</v>
      </c>
      <c r="F185" t="s">
        <v>10</v>
      </c>
      <c r="G185" t="s">
        <v>51</v>
      </c>
      <c r="H185" t="s">
        <v>171</v>
      </c>
      <c r="I185" s="36" t="s">
        <v>79</v>
      </c>
      <c r="J185" t="s">
        <v>54</v>
      </c>
      <c r="K185" s="15">
        <v>900000</v>
      </c>
      <c r="L185" s="5" t="str">
        <f t="shared" si="2"/>
        <v>15 +</v>
      </c>
    </row>
    <row r="186" spans="3:12" hidden="1">
      <c r="C186" t="s">
        <v>31</v>
      </c>
      <c r="D186" t="s">
        <v>49</v>
      </c>
      <c r="E186">
        <v>20</v>
      </c>
      <c r="F186" t="s">
        <v>10</v>
      </c>
      <c r="G186" t="s">
        <v>59</v>
      </c>
      <c r="H186" t="s">
        <v>171</v>
      </c>
      <c r="I186" s="36" t="s">
        <v>110</v>
      </c>
      <c r="J186" t="s">
        <v>66</v>
      </c>
      <c r="K186" s="15">
        <v>1000000</v>
      </c>
      <c r="L186" s="5" t="str">
        <f t="shared" si="2"/>
        <v>15 +</v>
      </c>
    </row>
    <row r="187" spans="3:12" hidden="1">
      <c r="C187" t="s">
        <v>31</v>
      </c>
      <c r="D187" t="s">
        <v>56</v>
      </c>
      <c r="E187">
        <v>20</v>
      </c>
      <c r="F187" t="s">
        <v>10</v>
      </c>
      <c r="G187" t="s">
        <v>51</v>
      </c>
      <c r="H187" t="s">
        <v>171</v>
      </c>
      <c r="I187" s="36" t="s">
        <v>148</v>
      </c>
      <c r="J187" t="s">
        <v>54</v>
      </c>
      <c r="K187" s="15">
        <v>1050000</v>
      </c>
      <c r="L187" s="5" t="str">
        <f t="shared" si="2"/>
        <v>15 +</v>
      </c>
    </row>
    <row r="188" spans="3:12" hidden="1">
      <c r="C188" t="s">
        <v>31</v>
      </c>
      <c r="D188" t="s">
        <v>77</v>
      </c>
      <c r="E188">
        <v>20</v>
      </c>
      <c r="F188" t="s">
        <v>10</v>
      </c>
      <c r="G188" t="s">
        <v>59</v>
      </c>
      <c r="H188" t="s">
        <v>171</v>
      </c>
      <c r="I188" s="36" t="s">
        <v>129</v>
      </c>
      <c r="J188" t="s">
        <v>66</v>
      </c>
      <c r="K188" s="15">
        <v>1150000</v>
      </c>
      <c r="L188" s="5" t="str">
        <f t="shared" si="2"/>
        <v>15 +</v>
      </c>
    </row>
    <row r="189" spans="3:12" hidden="1">
      <c r="C189" t="s">
        <v>31</v>
      </c>
      <c r="D189" t="s">
        <v>55</v>
      </c>
      <c r="E189">
        <v>20</v>
      </c>
      <c r="F189" t="s">
        <v>10</v>
      </c>
      <c r="G189" t="s">
        <v>51</v>
      </c>
      <c r="H189" t="s">
        <v>171</v>
      </c>
      <c r="I189" s="36" t="s">
        <v>61</v>
      </c>
      <c r="J189" t="s">
        <v>54</v>
      </c>
      <c r="K189" s="15">
        <v>1200000</v>
      </c>
      <c r="L189" s="5" t="str">
        <f t="shared" si="2"/>
        <v>15 +</v>
      </c>
    </row>
    <row r="190" spans="3:12" hidden="1">
      <c r="C190" t="s">
        <v>31</v>
      </c>
      <c r="D190" t="s">
        <v>73</v>
      </c>
      <c r="E190">
        <v>20</v>
      </c>
      <c r="F190" t="s">
        <v>10</v>
      </c>
      <c r="G190" t="s">
        <v>59</v>
      </c>
      <c r="H190" t="s">
        <v>171</v>
      </c>
      <c r="I190" s="36" t="s">
        <v>182</v>
      </c>
      <c r="J190" t="s">
        <v>66</v>
      </c>
      <c r="K190" s="15">
        <v>1450000</v>
      </c>
      <c r="L190" s="5" t="str">
        <f t="shared" si="2"/>
        <v>15 +</v>
      </c>
    </row>
    <row r="191" spans="3:12" hidden="1">
      <c r="C191" t="s">
        <v>31</v>
      </c>
      <c r="D191" t="s">
        <v>73</v>
      </c>
      <c r="E191">
        <v>20</v>
      </c>
      <c r="F191" t="s">
        <v>10</v>
      </c>
      <c r="G191" t="s">
        <v>59</v>
      </c>
      <c r="H191" t="s">
        <v>171</v>
      </c>
      <c r="I191" s="36" t="s">
        <v>183</v>
      </c>
      <c r="J191" t="s">
        <v>54</v>
      </c>
      <c r="K191" s="15">
        <v>1627000</v>
      </c>
      <c r="L191" s="5" t="str">
        <f t="shared" si="2"/>
        <v>15 +</v>
      </c>
    </row>
    <row r="192" spans="3:12" hidden="1">
      <c r="C192" t="s">
        <v>31</v>
      </c>
      <c r="D192" t="s">
        <v>88</v>
      </c>
      <c r="E192">
        <v>19</v>
      </c>
      <c r="F192" t="s">
        <v>10</v>
      </c>
      <c r="G192" t="s">
        <v>51</v>
      </c>
      <c r="H192" t="s">
        <v>171</v>
      </c>
      <c r="I192" s="36" t="s">
        <v>184</v>
      </c>
      <c r="J192" t="s">
        <v>54</v>
      </c>
      <c r="K192" s="15">
        <v>1350000</v>
      </c>
      <c r="L192" s="5" t="str">
        <f t="shared" si="2"/>
        <v>15 +</v>
      </c>
    </row>
    <row r="193" spans="3:12" hidden="1">
      <c r="C193" t="s">
        <v>31</v>
      </c>
      <c r="D193" t="s">
        <v>55</v>
      </c>
      <c r="E193">
        <v>18</v>
      </c>
      <c r="F193" t="s">
        <v>10</v>
      </c>
      <c r="G193" t="s">
        <v>59</v>
      </c>
      <c r="H193" t="s">
        <v>171</v>
      </c>
      <c r="I193" s="36" t="s">
        <v>173</v>
      </c>
      <c r="J193" t="s">
        <v>66</v>
      </c>
      <c r="K193" s="15">
        <v>1250000</v>
      </c>
      <c r="L193" s="5" t="str">
        <f t="shared" si="2"/>
        <v>15 +</v>
      </c>
    </row>
    <row r="194" spans="3:12" hidden="1">
      <c r="C194" t="s">
        <v>31</v>
      </c>
      <c r="D194" t="s">
        <v>55</v>
      </c>
      <c r="E194">
        <v>18</v>
      </c>
      <c r="F194" t="s">
        <v>10</v>
      </c>
      <c r="G194" t="s">
        <v>51</v>
      </c>
      <c r="H194" t="s">
        <v>171</v>
      </c>
      <c r="I194" s="36" t="s">
        <v>104</v>
      </c>
      <c r="J194" t="s">
        <v>66</v>
      </c>
      <c r="K194" s="15">
        <v>1300000</v>
      </c>
      <c r="L194" s="5" t="str">
        <f t="shared" si="2"/>
        <v>15 +</v>
      </c>
    </row>
    <row r="195" spans="3:12" hidden="1">
      <c r="C195" t="s">
        <v>31</v>
      </c>
      <c r="D195" t="s">
        <v>62</v>
      </c>
      <c r="E195">
        <v>18</v>
      </c>
      <c r="F195" t="s">
        <v>10</v>
      </c>
      <c r="G195" t="s">
        <v>59</v>
      </c>
      <c r="H195" t="s">
        <v>171</v>
      </c>
      <c r="I195" s="36" t="s">
        <v>104</v>
      </c>
      <c r="J195" t="s">
        <v>66</v>
      </c>
      <c r="K195" s="15">
        <v>1300000</v>
      </c>
      <c r="L195" s="5" t="str">
        <f t="shared" ref="L195:L258" si="3">_xlfn.XLOOKUP(E195,$P$2:$P$5,$O$2:$O$5,,1)</f>
        <v>15 +</v>
      </c>
    </row>
    <row r="196" spans="3:12" hidden="1">
      <c r="C196" t="s">
        <v>31</v>
      </c>
      <c r="D196" t="s">
        <v>55</v>
      </c>
      <c r="E196">
        <v>17</v>
      </c>
      <c r="F196" t="s">
        <v>10</v>
      </c>
      <c r="G196" t="s">
        <v>57</v>
      </c>
      <c r="H196" t="s">
        <v>171</v>
      </c>
      <c r="I196" s="36" t="s">
        <v>110</v>
      </c>
      <c r="J196" t="s">
        <v>54</v>
      </c>
      <c r="K196" s="15">
        <v>1000000</v>
      </c>
      <c r="L196" s="5" t="str">
        <f t="shared" si="3"/>
        <v>15 +</v>
      </c>
    </row>
    <row r="197" spans="3:12" hidden="1">
      <c r="C197" t="s">
        <v>31</v>
      </c>
      <c r="D197" t="s">
        <v>73</v>
      </c>
      <c r="E197">
        <v>17</v>
      </c>
      <c r="F197" t="s">
        <v>10</v>
      </c>
      <c r="G197" t="s">
        <v>59</v>
      </c>
      <c r="H197" t="s">
        <v>171</v>
      </c>
      <c r="I197" s="36" t="s">
        <v>110</v>
      </c>
      <c r="J197" t="s">
        <v>54</v>
      </c>
      <c r="K197" s="15">
        <v>1000000</v>
      </c>
      <c r="L197" s="5" t="str">
        <f t="shared" si="3"/>
        <v>15 +</v>
      </c>
    </row>
    <row r="198" spans="3:12" hidden="1">
      <c r="C198" t="s">
        <v>30</v>
      </c>
      <c r="D198" t="s">
        <v>121</v>
      </c>
      <c r="E198">
        <v>16</v>
      </c>
      <c r="F198" t="s">
        <v>10</v>
      </c>
      <c r="G198" t="s">
        <v>51</v>
      </c>
      <c r="H198" t="s">
        <v>171</v>
      </c>
      <c r="I198" s="36" t="s">
        <v>185</v>
      </c>
      <c r="J198" t="s">
        <v>66</v>
      </c>
      <c r="K198" s="15">
        <v>1240000</v>
      </c>
      <c r="L198" s="5" t="str">
        <f t="shared" si="3"/>
        <v>15 +</v>
      </c>
    </row>
    <row r="199" spans="3:12" hidden="1">
      <c r="C199" t="s">
        <v>30</v>
      </c>
      <c r="D199" t="s">
        <v>77</v>
      </c>
      <c r="E199">
        <v>15</v>
      </c>
      <c r="F199" t="s">
        <v>10</v>
      </c>
      <c r="G199" t="s">
        <v>57</v>
      </c>
      <c r="H199" t="s">
        <v>171</v>
      </c>
      <c r="I199" s="36" t="s">
        <v>69</v>
      </c>
      <c r="J199" t="s">
        <v>54</v>
      </c>
      <c r="K199" s="15">
        <v>750000</v>
      </c>
      <c r="L199" s="5" t="str">
        <f t="shared" si="3"/>
        <v>15 +</v>
      </c>
    </row>
    <row r="200" spans="3:12" hidden="1">
      <c r="C200" t="s">
        <v>31</v>
      </c>
      <c r="D200" t="s">
        <v>73</v>
      </c>
      <c r="E200">
        <v>15</v>
      </c>
      <c r="F200" t="s">
        <v>10</v>
      </c>
      <c r="G200" t="s">
        <v>59</v>
      </c>
      <c r="H200" t="s">
        <v>171</v>
      </c>
      <c r="I200" s="36" t="s">
        <v>106</v>
      </c>
      <c r="J200" t="s">
        <v>66</v>
      </c>
      <c r="K200" s="15">
        <v>1100000</v>
      </c>
      <c r="L200" s="5" t="str">
        <f t="shared" si="3"/>
        <v>15 +</v>
      </c>
    </row>
    <row r="201" spans="3:12" hidden="1">
      <c r="C201" t="s">
        <v>31</v>
      </c>
      <c r="D201" t="s">
        <v>77</v>
      </c>
      <c r="E201">
        <v>15</v>
      </c>
      <c r="F201" t="s">
        <v>10</v>
      </c>
      <c r="G201" t="s">
        <v>59</v>
      </c>
      <c r="H201" t="s">
        <v>171</v>
      </c>
      <c r="I201" s="36" t="s">
        <v>173</v>
      </c>
      <c r="J201" t="s">
        <v>66</v>
      </c>
      <c r="K201" s="15">
        <v>1250000</v>
      </c>
      <c r="L201" s="5" t="str">
        <f t="shared" si="3"/>
        <v>15 +</v>
      </c>
    </row>
    <row r="202" spans="3:12" hidden="1">
      <c r="C202" t="s">
        <v>31</v>
      </c>
      <c r="D202" t="s">
        <v>77</v>
      </c>
      <c r="E202">
        <v>14</v>
      </c>
      <c r="F202" t="s">
        <v>10</v>
      </c>
      <c r="G202" t="s">
        <v>59</v>
      </c>
      <c r="H202" t="s">
        <v>171</v>
      </c>
      <c r="I202" s="3" t="s">
        <v>104</v>
      </c>
      <c r="J202" t="s">
        <v>54</v>
      </c>
      <c r="K202" s="15">
        <v>1300000</v>
      </c>
      <c r="L202" s="5" t="str">
        <f t="shared" si="3"/>
        <v>9 - 14</v>
      </c>
    </row>
    <row r="203" spans="3:12" hidden="1">
      <c r="C203" t="s">
        <v>31</v>
      </c>
      <c r="D203" t="s">
        <v>73</v>
      </c>
      <c r="E203">
        <v>13</v>
      </c>
      <c r="F203" t="s">
        <v>10</v>
      </c>
      <c r="G203" t="s">
        <v>59</v>
      </c>
      <c r="H203" t="s">
        <v>171</v>
      </c>
      <c r="I203" s="3" t="s">
        <v>173</v>
      </c>
      <c r="J203" t="s">
        <v>66</v>
      </c>
      <c r="K203" s="15">
        <v>1250000</v>
      </c>
      <c r="L203" s="5" t="str">
        <f t="shared" si="3"/>
        <v>9 - 14</v>
      </c>
    </row>
    <row r="204" spans="3:12" hidden="1">
      <c r="C204" t="s">
        <v>31</v>
      </c>
      <c r="D204" t="s">
        <v>73</v>
      </c>
      <c r="E204">
        <v>13</v>
      </c>
      <c r="F204" t="s">
        <v>10</v>
      </c>
      <c r="G204" t="s">
        <v>51</v>
      </c>
      <c r="H204" t="s">
        <v>171</v>
      </c>
      <c r="I204" s="3" t="s">
        <v>104</v>
      </c>
      <c r="J204" t="s">
        <v>54</v>
      </c>
      <c r="K204" s="15">
        <v>1300000</v>
      </c>
      <c r="L204" s="5" t="str">
        <f t="shared" si="3"/>
        <v>9 - 14</v>
      </c>
    </row>
    <row r="205" spans="3:12" hidden="1">
      <c r="C205" t="s">
        <v>31</v>
      </c>
      <c r="D205" t="s">
        <v>55</v>
      </c>
      <c r="E205">
        <v>12</v>
      </c>
      <c r="F205" t="s">
        <v>10</v>
      </c>
      <c r="G205" t="s">
        <v>57</v>
      </c>
      <c r="H205" t="s">
        <v>171</v>
      </c>
      <c r="I205" s="3" t="s">
        <v>148</v>
      </c>
      <c r="J205" t="s">
        <v>54</v>
      </c>
      <c r="K205" s="15">
        <v>1050000</v>
      </c>
      <c r="L205" s="5" t="str">
        <f t="shared" si="3"/>
        <v>9 - 14</v>
      </c>
    </row>
    <row r="206" spans="3:12" hidden="1">
      <c r="C206" t="s">
        <v>31</v>
      </c>
      <c r="D206" t="s">
        <v>55</v>
      </c>
      <c r="E206">
        <v>12</v>
      </c>
      <c r="F206" t="s">
        <v>10</v>
      </c>
      <c r="G206" t="s">
        <v>59</v>
      </c>
      <c r="H206" t="s">
        <v>171</v>
      </c>
      <c r="I206" s="3" t="s">
        <v>186</v>
      </c>
      <c r="J206" t="s">
        <v>54</v>
      </c>
      <c r="K206" s="15">
        <v>1271000</v>
      </c>
      <c r="L206" s="5" t="str">
        <f t="shared" si="3"/>
        <v>9 - 14</v>
      </c>
    </row>
    <row r="207" spans="3:12" hidden="1">
      <c r="C207" t="s">
        <v>31</v>
      </c>
      <c r="D207" t="s">
        <v>77</v>
      </c>
      <c r="E207">
        <v>12</v>
      </c>
      <c r="F207" t="s">
        <v>10</v>
      </c>
      <c r="G207" t="s">
        <v>59</v>
      </c>
      <c r="H207" t="s">
        <v>171</v>
      </c>
      <c r="I207" s="3" t="s">
        <v>187</v>
      </c>
      <c r="J207" t="s">
        <v>66</v>
      </c>
      <c r="K207" s="15">
        <v>1900000</v>
      </c>
      <c r="L207" s="5" t="str">
        <f t="shared" si="3"/>
        <v>9 - 14</v>
      </c>
    </row>
    <row r="208" spans="3:12" hidden="1">
      <c r="C208" t="s">
        <v>30</v>
      </c>
      <c r="D208" t="s">
        <v>77</v>
      </c>
      <c r="E208">
        <v>10</v>
      </c>
      <c r="F208" t="s">
        <v>10</v>
      </c>
      <c r="G208" t="s">
        <v>59</v>
      </c>
      <c r="H208" t="s">
        <v>171</v>
      </c>
      <c r="I208" s="3" t="s">
        <v>141</v>
      </c>
      <c r="J208" t="s">
        <v>66</v>
      </c>
      <c r="K208" s="15">
        <v>940000</v>
      </c>
      <c r="L208" s="5" t="str">
        <f t="shared" si="3"/>
        <v>9 - 14</v>
      </c>
    </row>
    <row r="209" spans="3:12" hidden="1">
      <c r="C209" t="s">
        <v>30</v>
      </c>
      <c r="D209" t="s">
        <v>95</v>
      </c>
      <c r="E209">
        <v>10</v>
      </c>
      <c r="F209" t="s">
        <v>10</v>
      </c>
      <c r="G209" t="s">
        <v>59</v>
      </c>
      <c r="H209" t="s">
        <v>171</v>
      </c>
      <c r="I209" s="3" t="s">
        <v>61</v>
      </c>
      <c r="J209" t="s">
        <v>66</v>
      </c>
      <c r="K209" s="15">
        <v>1200000</v>
      </c>
      <c r="L209" s="5" t="str">
        <f t="shared" si="3"/>
        <v>9 - 14</v>
      </c>
    </row>
    <row r="210" spans="3:12" hidden="1">
      <c r="C210" t="s">
        <v>31</v>
      </c>
      <c r="D210" t="s">
        <v>67</v>
      </c>
      <c r="E210">
        <v>10</v>
      </c>
      <c r="F210" t="s">
        <v>10</v>
      </c>
      <c r="G210" t="s">
        <v>59</v>
      </c>
      <c r="H210" t="s">
        <v>171</v>
      </c>
      <c r="I210" s="3" t="s">
        <v>188</v>
      </c>
      <c r="J210" t="s">
        <v>54</v>
      </c>
      <c r="K210" s="15">
        <v>1467000</v>
      </c>
      <c r="L210" s="5" t="str">
        <f t="shared" si="3"/>
        <v>9 - 14</v>
      </c>
    </row>
    <row r="211" spans="3:12" hidden="1">
      <c r="C211" t="s">
        <v>31</v>
      </c>
      <c r="D211" t="s">
        <v>77</v>
      </c>
      <c r="E211">
        <v>10</v>
      </c>
      <c r="F211" t="s">
        <v>10</v>
      </c>
      <c r="G211" t="s">
        <v>51</v>
      </c>
      <c r="H211" t="s">
        <v>171</v>
      </c>
      <c r="I211" s="3" t="s">
        <v>155</v>
      </c>
      <c r="J211" t="s">
        <v>66</v>
      </c>
      <c r="K211" s="15">
        <v>1750000</v>
      </c>
      <c r="L211" s="5" t="str">
        <f t="shared" si="3"/>
        <v>9 - 14</v>
      </c>
    </row>
    <row r="212" spans="3:12" hidden="1">
      <c r="C212" t="s">
        <v>31</v>
      </c>
      <c r="D212" t="s">
        <v>73</v>
      </c>
      <c r="E212">
        <v>9</v>
      </c>
      <c r="F212" t="s">
        <v>10</v>
      </c>
      <c r="G212" t="s">
        <v>59</v>
      </c>
      <c r="H212" t="s">
        <v>171</v>
      </c>
      <c r="I212" s="3" t="s">
        <v>184</v>
      </c>
      <c r="J212" t="s">
        <v>66</v>
      </c>
      <c r="K212" s="15">
        <v>1350000</v>
      </c>
      <c r="L212" s="5" t="str">
        <f t="shared" si="3"/>
        <v>9 - 14</v>
      </c>
    </row>
    <row r="213" spans="3:12" hidden="1">
      <c r="C213" t="s">
        <v>31</v>
      </c>
      <c r="D213" t="s">
        <v>73</v>
      </c>
      <c r="E213">
        <v>8</v>
      </c>
      <c r="F213" t="s">
        <v>10</v>
      </c>
      <c r="G213" t="s">
        <v>57</v>
      </c>
      <c r="H213" t="s">
        <v>171</v>
      </c>
      <c r="I213" s="3" t="s">
        <v>189</v>
      </c>
      <c r="J213" t="s">
        <v>54</v>
      </c>
      <c r="K213" s="15">
        <v>955000</v>
      </c>
      <c r="L213" s="5" t="str">
        <f t="shared" si="3"/>
        <v>5  - 8</v>
      </c>
    </row>
    <row r="214" spans="3:12" hidden="1">
      <c r="C214" t="s">
        <v>32</v>
      </c>
      <c r="D214" t="s">
        <v>73</v>
      </c>
      <c r="E214">
        <v>7</v>
      </c>
      <c r="F214" t="s">
        <v>10</v>
      </c>
      <c r="G214" t="s">
        <v>51</v>
      </c>
      <c r="H214" t="s">
        <v>171</v>
      </c>
      <c r="I214" s="3" t="s">
        <v>184</v>
      </c>
      <c r="J214" t="s">
        <v>54</v>
      </c>
      <c r="K214" s="15">
        <v>1350000</v>
      </c>
      <c r="L214" s="5" t="str">
        <f t="shared" si="3"/>
        <v>5  - 8</v>
      </c>
    </row>
    <row r="215" spans="3:12" hidden="1">
      <c r="C215" t="s">
        <v>30</v>
      </c>
      <c r="D215" t="s">
        <v>55</v>
      </c>
      <c r="E215">
        <v>6</v>
      </c>
      <c r="F215" t="s">
        <v>10</v>
      </c>
      <c r="G215" t="s">
        <v>59</v>
      </c>
      <c r="H215" t="s">
        <v>171</v>
      </c>
      <c r="I215" s="3" t="s">
        <v>148</v>
      </c>
      <c r="J215" t="s">
        <v>66</v>
      </c>
      <c r="K215" s="15">
        <v>1050000</v>
      </c>
      <c r="L215" s="5" t="str">
        <f t="shared" si="3"/>
        <v>5  - 8</v>
      </c>
    </row>
    <row r="216" spans="3:12" hidden="1">
      <c r="C216" t="s">
        <v>31</v>
      </c>
      <c r="D216" t="s">
        <v>55</v>
      </c>
      <c r="E216">
        <v>6</v>
      </c>
      <c r="F216" t="s">
        <v>10</v>
      </c>
      <c r="G216" t="s">
        <v>51</v>
      </c>
      <c r="H216" t="s">
        <v>171</v>
      </c>
      <c r="I216" s="3" t="s">
        <v>60</v>
      </c>
      <c r="J216" t="s">
        <v>54</v>
      </c>
      <c r="K216" s="15">
        <v>1500000</v>
      </c>
      <c r="L216" s="5" t="str">
        <f t="shared" si="3"/>
        <v>5  - 8</v>
      </c>
    </row>
    <row r="217" spans="3:12" hidden="1">
      <c r="C217" t="s">
        <v>30</v>
      </c>
      <c r="D217" t="s">
        <v>73</v>
      </c>
      <c r="E217">
        <v>5</v>
      </c>
      <c r="F217" t="s">
        <v>10</v>
      </c>
      <c r="G217" t="s">
        <v>59</v>
      </c>
      <c r="H217" t="s">
        <v>171</v>
      </c>
      <c r="I217" s="3" t="s">
        <v>106</v>
      </c>
      <c r="J217" t="s">
        <v>66</v>
      </c>
      <c r="K217" s="15">
        <v>1100000</v>
      </c>
      <c r="L217" s="5" t="str">
        <f t="shared" si="3"/>
        <v>5  - 8</v>
      </c>
    </row>
    <row r="218" spans="3:12" hidden="1">
      <c r="C218" t="s">
        <v>31</v>
      </c>
      <c r="D218" t="s">
        <v>55</v>
      </c>
      <c r="E218">
        <v>5</v>
      </c>
      <c r="F218" t="s">
        <v>10</v>
      </c>
      <c r="G218" t="s">
        <v>59</v>
      </c>
      <c r="H218" t="s">
        <v>171</v>
      </c>
      <c r="I218" s="3" t="s">
        <v>168</v>
      </c>
      <c r="J218" t="s">
        <v>66</v>
      </c>
      <c r="K218" s="15">
        <v>880000</v>
      </c>
      <c r="L218" s="5" t="str">
        <f t="shared" si="3"/>
        <v>5  - 8</v>
      </c>
    </row>
    <row r="219" spans="3:12" hidden="1">
      <c r="C219" t="s">
        <v>31</v>
      </c>
      <c r="D219" t="s">
        <v>55</v>
      </c>
      <c r="E219">
        <v>5</v>
      </c>
      <c r="F219" t="s">
        <v>10</v>
      </c>
      <c r="G219" t="s">
        <v>59</v>
      </c>
      <c r="H219" t="s">
        <v>171</v>
      </c>
      <c r="I219" s="3" t="s">
        <v>190</v>
      </c>
      <c r="J219" t="s">
        <v>54</v>
      </c>
      <c r="K219" s="15">
        <v>920501</v>
      </c>
      <c r="L219" s="5" t="str">
        <f t="shared" si="3"/>
        <v>5  - 8</v>
      </c>
    </row>
    <row r="220" spans="3:12" hidden="1">
      <c r="C220" t="s">
        <v>31</v>
      </c>
      <c r="D220" t="s">
        <v>55</v>
      </c>
      <c r="E220">
        <v>5</v>
      </c>
      <c r="F220" t="s">
        <v>10</v>
      </c>
      <c r="G220" t="s">
        <v>51</v>
      </c>
      <c r="H220" t="s">
        <v>171</v>
      </c>
      <c r="I220" s="3" t="s">
        <v>144</v>
      </c>
      <c r="J220" t="s">
        <v>66</v>
      </c>
      <c r="K220" s="15">
        <v>970000</v>
      </c>
      <c r="L220" s="5" t="str">
        <f t="shared" si="3"/>
        <v>5  - 8</v>
      </c>
    </row>
    <row r="221" spans="3:12" hidden="1">
      <c r="C221" t="s">
        <v>31</v>
      </c>
      <c r="D221" t="s">
        <v>55</v>
      </c>
      <c r="E221">
        <v>4</v>
      </c>
      <c r="F221" t="s">
        <v>10</v>
      </c>
      <c r="G221" t="s">
        <v>59</v>
      </c>
      <c r="H221" t="s">
        <v>171</v>
      </c>
      <c r="I221" s="3" t="s">
        <v>110</v>
      </c>
      <c r="J221" t="s">
        <v>66</v>
      </c>
      <c r="K221" s="15">
        <v>1000000</v>
      </c>
      <c r="L221" s="5" t="str">
        <f t="shared" si="3"/>
        <v>0 - 4</v>
      </c>
    </row>
    <row r="222" spans="3:12" hidden="1">
      <c r="C222" t="s">
        <v>31</v>
      </c>
      <c r="D222" t="s">
        <v>55</v>
      </c>
      <c r="E222">
        <v>3</v>
      </c>
      <c r="F222" t="s">
        <v>10</v>
      </c>
      <c r="G222" t="s">
        <v>51</v>
      </c>
      <c r="H222" t="s">
        <v>171</v>
      </c>
      <c r="I222" s="3" t="s">
        <v>96</v>
      </c>
      <c r="J222" t="s">
        <v>66</v>
      </c>
      <c r="K222" s="15">
        <v>780000</v>
      </c>
      <c r="L222" s="5" t="str">
        <f t="shared" si="3"/>
        <v>0 - 4</v>
      </c>
    </row>
    <row r="223" spans="3:12" hidden="1">
      <c r="C223" t="s">
        <v>31</v>
      </c>
      <c r="D223" t="s">
        <v>55</v>
      </c>
      <c r="E223">
        <v>2</v>
      </c>
      <c r="F223" t="s">
        <v>10</v>
      </c>
      <c r="G223" t="s">
        <v>59</v>
      </c>
      <c r="H223" t="s">
        <v>171</v>
      </c>
      <c r="I223" s="3" t="s">
        <v>85</v>
      </c>
      <c r="J223" t="s">
        <v>54</v>
      </c>
      <c r="K223" s="15">
        <v>650000</v>
      </c>
      <c r="L223" s="5" t="str">
        <f t="shared" si="3"/>
        <v>0 - 4</v>
      </c>
    </row>
    <row r="224" spans="3:12" hidden="1">
      <c r="C224" t="s">
        <v>31</v>
      </c>
      <c r="D224" t="s">
        <v>73</v>
      </c>
      <c r="E224">
        <v>1</v>
      </c>
      <c r="F224" t="s">
        <v>10</v>
      </c>
      <c r="G224" t="s">
        <v>59</v>
      </c>
      <c r="H224" t="s">
        <v>171</v>
      </c>
      <c r="I224" s="3" t="s">
        <v>191</v>
      </c>
      <c r="J224" t="s">
        <v>54</v>
      </c>
      <c r="K224" s="15">
        <v>530000</v>
      </c>
      <c r="L224" s="5" t="str">
        <f t="shared" si="3"/>
        <v>0 - 4</v>
      </c>
    </row>
    <row r="225" spans="3:12" hidden="1">
      <c r="C225" t="s">
        <v>31</v>
      </c>
      <c r="D225" t="s">
        <v>55</v>
      </c>
      <c r="E225">
        <v>1</v>
      </c>
      <c r="F225" t="s">
        <v>10</v>
      </c>
      <c r="G225" t="s">
        <v>51</v>
      </c>
      <c r="H225" t="s">
        <v>171</v>
      </c>
      <c r="I225" s="3" t="s">
        <v>69</v>
      </c>
      <c r="J225" t="s">
        <v>54</v>
      </c>
      <c r="K225" s="15">
        <v>750000</v>
      </c>
      <c r="L225" s="5" t="str">
        <f t="shared" si="3"/>
        <v>0 - 4</v>
      </c>
    </row>
    <row r="226" spans="3:12" hidden="1">
      <c r="C226" t="s">
        <v>31</v>
      </c>
      <c r="D226" t="s">
        <v>121</v>
      </c>
      <c r="E226">
        <v>30</v>
      </c>
      <c r="F226" t="s">
        <v>11</v>
      </c>
      <c r="G226" t="s">
        <v>59</v>
      </c>
      <c r="H226" t="s">
        <v>171</v>
      </c>
      <c r="I226" s="3" t="s">
        <v>192</v>
      </c>
      <c r="J226" t="s">
        <v>66</v>
      </c>
      <c r="K226" s="15">
        <v>1600000</v>
      </c>
      <c r="L226" s="5" t="str">
        <f t="shared" si="3"/>
        <v>15 +</v>
      </c>
    </row>
    <row r="227" spans="3:12" hidden="1">
      <c r="C227" t="s">
        <v>31</v>
      </c>
      <c r="D227" t="s">
        <v>55</v>
      </c>
      <c r="E227">
        <v>26</v>
      </c>
      <c r="F227" t="s">
        <v>11</v>
      </c>
      <c r="G227" t="s">
        <v>59</v>
      </c>
      <c r="H227" t="s">
        <v>171</v>
      </c>
      <c r="I227" s="3" t="s">
        <v>193</v>
      </c>
      <c r="J227" t="s">
        <v>54</v>
      </c>
      <c r="K227" s="15">
        <v>990000</v>
      </c>
      <c r="L227" s="5" t="str">
        <f t="shared" si="3"/>
        <v>15 +</v>
      </c>
    </row>
    <row r="228" spans="3:12" hidden="1">
      <c r="C228" t="s">
        <v>30</v>
      </c>
      <c r="D228" t="s">
        <v>49</v>
      </c>
      <c r="E228">
        <v>24</v>
      </c>
      <c r="F228" t="s">
        <v>11</v>
      </c>
      <c r="G228" t="s">
        <v>51</v>
      </c>
      <c r="H228" t="s">
        <v>171</v>
      </c>
      <c r="I228" s="3" t="s">
        <v>146</v>
      </c>
      <c r="J228" t="s">
        <v>54</v>
      </c>
      <c r="K228" s="15">
        <v>1090000</v>
      </c>
      <c r="L228" s="5" t="str">
        <f t="shared" si="3"/>
        <v>15 +</v>
      </c>
    </row>
    <row r="229" spans="3:12" hidden="1">
      <c r="C229" t="s">
        <v>31</v>
      </c>
      <c r="D229" t="s">
        <v>73</v>
      </c>
      <c r="E229">
        <v>17</v>
      </c>
      <c r="F229" t="s">
        <v>11</v>
      </c>
      <c r="G229" t="s">
        <v>59</v>
      </c>
      <c r="H229" t="s">
        <v>171</v>
      </c>
      <c r="I229" s="3" t="s">
        <v>194</v>
      </c>
      <c r="J229" t="s">
        <v>54</v>
      </c>
      <c r="K229" s="15">
        <v>1016000</v>
      </c>
      <c r="L229" s="5" t="str">
        <f t="shared" si="3"/>
        <v>15 +</v>
      </c>
    </row>
    <row r="230" spans="3:12" hidden="1">
      <c r="C230" t="s">
        <v>31</v>
      </c>
      <c r="D230" t="s">
        <v>55</v>
      </c>
      <c r="E230">
        <v>16</v>
      </c>
      <c r="F230" t="s">
        <v>11</v>
      </c>
      <c r="G230" t="s">
        <v>57</v>
      </c>
      <c r="H230" t="s">
        <v>171</v>
      </c>
      <c r="I230" s="3" t="s">
        <v>110</v>
      </c>
      <c r="J230" t="s">
        <v>54</v>
      </c>
      <c r="K230" s="15">
        <v>1000000</v>
      </c>
      <c r="L230" s="5" t="str">
        <f t="shared" si="3"/>
        <v>15 +</v>
      </c>
    </row>
    <row r="231" spans="3:12" hidden="1">
      <c r="C231" t="s">
        <v>31</v>
      </c>
      <c r="D231" t="s">
        <v>77</v>
      </c>
      <c r="E231">
        <v>14</v>
      </c>
      <c r="F231" t="s">
        <v>11</v>
      </c>
      <c r="G231" t="s">
        <v>59</v>
      </c>
      <c r="H231" t="s">
        <v>171</v>
      </c>
      <c r="I231" s="3" t="s">
        <v>68</v>
      </c>
      <c r="J231" t="s">
        <v>54</v>
      </c>
      <c r="K231" s="15">
        <v>980000</v>
      </c>
      <c r="L231" s="5" t="str">
        <f t="shared" si="3"/>
        <v>9 - 14</v>
      </c>
    </row>
    <row r="232" spans="3:12" hidden="1">
      <c r="C232" t="s">
        <v>31</v>
      </c>
      <c r="D232" t="s">
        <v>56</v>
      </c>
      <c r="E232">
        <v>12</v>
      </c>
      <c r="F232" t="s">
        <v>11</v>
      </c>
      <c r="G232" t="s">
        <v>59</v>
      </c>
      <c r="H232" t="s">
        <v>171</v>
      </c>
      <c r="I232" s="3" t="s">
        <v>109</v>
      </c>
      <c r="J232" t="s">
        <v>66</v>
      </c>
      <c r="K232" s="15">
        <v>1025000</v>
      </c>
      <c r="L232" s="5" t="str">
        <f t="shared" si="3"/>
        <v>9 - 14</v>
      </c>
    </row>
    <row r="233" spans="3:12" hidden="1">
      <c r="C233" t="s">
        <v>31</v>
      </c>
      <c r="D233" t="s">
        <v>91</v>
      </c>
      <c r="E233">
        <v>10</v>
      </c>
      <c r="F233" t="s">
        <v>11</v>
      </c>
      <c r="G233" t="s">
        <v>51</v>
      </c>
      <c r="H233" t="s">
        <v>171</v>
      </c>
      <c r="I233" s="3" t="s">
        <v>195</v>
      </c>
      <c r="J233" t="s">
        <v>54</v>
      </c>
      <c r="K233" s="15">
        <v>2000000</v>
      </c>
      <c r="L233" s="5" t="str">
        <f t="shared" si="3"/>
        <v>9 - 14</v>
      </c>
    </row>
    <row r="234" spans="3:12" hidden="1">
      <c r="C234" t="s">
        <v>31</v>
      </c>
      <c r="D234" t="s">
        <v>73</v>
      </c>
      <c r="E234">
        <v>7</v>
      </c>
      <c r="F234" t="s">
        <v>11</v>
      </c>
      <c r="G234" t="s">
        <v>51</v>
      </c>
      <c r="H234" t="s">
        <v>171</v>
      </c>
      <c r="I234" s="3" t="s">
        <v>108</v>
      </c>
      <c r="J234" t="s">
        <v>54</v>
      </c>
      <c r="K234" s="15">
        <v>700000</v>
      </c>
      <c r="L234" s="5" t="str">
        <f t="shared" si="3"/>
        <v>5  - 8</v>
      </c>
    </row>
    <row r="235" spans="3:12" hidden="1">
      <c r="C235" t="s">
        <v>31</v>
      </c>
      <c r="D235" t="s">
        <v>49</v>
      </c>
      <c r="E235">
        <v>5</v>
      </c>
      <c r="F235" t="s">
        <v>11</v>
      </c>
      <c r="G235" t="s">
        <v>59</v>
      </c>
      <c r="H235" t="s">
        <v>171</v>
      </c>
      <c r="I235" s="3" t="s">
        <v>130</v>
      </c>
      <c r="J235" t="s">
        <v>66</v>
      </c>
      <c r="K235" s="15">
        <v>950000</v>
      </c>
      <c r="L235" s="5" t="str">
        <f t="shared" si="3"/>
        <v>5  - 8</v>
      </c>
    </row>
    <row r="236" spans="3:12" hidden="1">
      <c r="C236" t="s">
        <v>31</v>
      </c>
      <c r="D236" t="s">
        <v>77</v>
      </c>
      <c r="E236">
        <v>28</v>
      </c>
      <c r="F236" t="s">
        <v>13</v>
      </c>
      <c r="G236" t="s">
        <v>51</v>
      </c>
      <c r="H236" t="s">
        <v>171</v>
      </c>
      <c r="I236" s="3" t="s">
        <v>196</v>
      </c>
      <c r="J236" t="s">
        <v>66</v>
      </c>
      <c r="K236" s="15">
        <v>1700000</v>
      </c>
      <c r="L236" s="5" t="str">
        <f t="shared" si="3"/>
        <v>15 +</v>
      </c>
    </row>
    <row r="237" spans="3:12" hidden="1">
      <c r="C237" t="s">
        <v>31</v>
      </c>
      <c r="D237" t="s">
        <v>105</v>
      </c>
      <c r="E237">
        <v>25</v>
      </c>
      <c r="F237" t="s">
        <v>13</v>
      </c>
      <c r="G237" t="s">
        <v>57</v>
      </c>
      <c r="H237" t="s">
        <v>171</v>
      </c>
      <c r="I237" s="3" t="s">
        <v>197</v>
      </c>
      <c r="J237" t="s">
        <v>54</v>
      </c>
      <c r="K237" s="15">
        <v>1182000</v>
      </c>
      <c r="L237" s="5" t="str">
        <f t="shared" si="3"/>
        <v>15 +</v>
      </c>
    </row>
    <row r="238" spans="3:12" hidden="1">
      <c r="C238" t="s">
        <v>31</v>
      </c>
      <c r="D238" t="s">
        <v>77</v>
      </c>
      <c r="E238">
        <v>25</v>
      </c>
      <c r="F238" t="s">
        <v>13</v>
      </c>
      <c r="G238" t="s">
        <v>51</v>
      </c>
      <c r="H238" t="s">
        <v>171</v>
      </c>
      <c r="I238" s="3" t="s">
        <v>61</v>
      </c>
      <c r="J238" t="s">
        <v>54</v>
      </c>
      <c r="K238" s="15">
        <v>1200000</v>
      </c>
      <c r="L238" s="5" t="str">
        <f t="shared" si="3"/>
        <v>15 +</v>
      </c>
    </row>
    <row r="239" spans="3:12" hidden="1">
      <c r="C239" t="s">
        <v>31</v>
      </c>
      <c r="D239" t="s">
        <v>55</v>
      </c>
      <c r="E239">
        <v>17</v>
      </c>
      <c r="F239" t="s">
        <v>13</v>
      </c>
      <c r="G239" t="s">
        <v>59</v>
      </c>
      <c r="H239" t="s">
        <v>171</v>
      </c>
      <c r="I239" s="3" t="s">
        <v>184</v>
      </c>
      <c r="J239" t="s">
        <v>54</v>
      </c>
      <c r="K239" s="15">
        <v>1350000</v>
      </c>
      <c r="L239" s="5" t="str">
        <f t="shared" si="3"/>
        <v>15 +</v>
      </c>
    </row>
    <row r="240" spans="3:12" hidden="1">
      <c r="C240" t="s">
        <v>31</v>
      </c>
      <c r="D240" t="s">
        <v>55</v>
      </c>
      <c r="E240">
        <v>15</v>
      </c>
      <c r="F240" t="s">
        <v>13</v>
      </c>
      <c r="G240" t="s">
        <v>51</v>
      </c>
      <c r="H240" t="s">
        <v>171</v>
      </c>
      <c r="I240" s="3" t="s">
        <v>198</v>
      </c>
      <c r="J240" t="s">
        <v>54</v>
      </c>
      <c r="K240" s="15">
        <v>1000010</v>
      </c>
      <c r="L240" s="5" t="str">
        <f t="shared" si="3"/>
        <v>15 +</v>
      </c>
    </row>
    <row r="241" spans="3:12" hidden="1">
      <c r="C241" t="s">
        <v>31</v>
      </c>
      <c r="D241" t="s">
        <v>73</v>
      </c>
      <c r="E241">
        <v>12</v>
      </c>
      <c r="F241" t="s">
        <v>13</v>
      </c>
      <c r="G241" t="s">
        <v>51</v>
      </c>
      <c r="H241" t="s">
        <v>171</v>
      </c>
      <c r="I241" s="3" t="s">
        <v>130</v>
      </c>
      <c r="J241" t="s">
        <v>54</v>
      </c>
      <c r="K241" s="15">
        <v>950000</v>
      </c>
      <c r="L241" s="5" t="str">
        <f t="shared" si="3"/>
        <v>9 - 14</v>
      </c>
    </row>
    <row r="242" spans="3:12" hidden="1">
      <c r="C242" t="s">
        <v>30</v>
      </c>
      <c r="D242" t="s">
        <v>67</v>
      </c>
      <c r="E242">
        <v>0</v>
      </c>
      <c r="F242" t="s">
        <v>13</v>
      </c>
      <c r="G242" t="s">
        <v>59</v>
      </c>
      <c r="H242" t="s">
        <v>171</v>
      </c>
      <c r="I242" s="3" t="s">
        <v>159</v>
      </c>
      <c r="J242" t="s">
        <v>54</v>
      </c>
      <c r="K242" s="15">
        <v>680000</v>
      </c>
      <c r="L242" s="5" t="str">
        <f t="shared" si="3"/>
        <v>0 - 4</v>
      </c>
    </row>
    <row r="243" spans="3:12" hidden="1">
      <c r="C243" t="s">
        <v>31</v>
      </c>
      <c r="D243" t="s">
        <v>77</v>
      </c>
      <c r="E243">
        <v>30</v>
      </c>
      <c r="F243" t="s">
        <v>18</v>
      </c>
      <c r="G243" t="s">
        <v>51</v>
      </c>
      <c r="H243" t="s">
        <v>171</v>
      </c>
      <c r="I243" s="3" t="s">
        <v>184</v>
      </c>
      <c r="J243" t="s">
        <v>54</v>
      </c>
      <c r="K243" s="15">
        <v>1350000</v>
      </c>
      <c r="L243" s="5" t="str">
        <f t="shared" si="3"/>
        <v>15 +</v>
      </c>
    </row>
    <row r="244" spans="3:12" hidden="1">
      <c r="C244" t="s">
        <v>31</v>
      </c>
      <c r="D244" t="s">
        <v>77</v>
      </c>
      <c r="E244">
        <v>18</v>
      </c>
      <c r="F244" t="s">
        <v>18</v>
      </c>
      <c r="G244" t="s">
        <v>59</v>
      </c>
      <c r="H244" t="s">
        <v>171</v>
      </c>
      <c r="I244" s="3" t="s">
        <v>104</v>
      </c>
      <c r="J244" t="s">
        <v>54</v>
      </c>
      <c r="K244" s="15">
        <v>1300000</v>
      </c>
      <c r="L244" s="5" t="str">
        <f t="shared" si="3"/>
        <v>15 +</v>
      </c>
    </row>
    <row r="245" spans="3:12" hidden="1">
      <c r="C245" t="s">
        <v>31</v>
      </c>
      <c r="D245" t="s">
        <v>73</v>
      </c>
      <c r="E245">
        <v>15</v>
      </c>
      <c r="F245" t="s">
        <v>18</v>
      </c>
      <c r="G245" t="s">
        <v>51</v>
      </c>
      <c r="H245" t="s">
        <v>171</v>
      </c>
      <c r="I245" s="3" t="s">
        <v>106</v>
      </c>
      <c r="J245" t="s">
        <v>54</v>
      </c>
      <c r="K245" s="15">
        <v>1100000</v>
      </c>
      <c r="L245" s="5" t="str">
        <f t="shared" si="3"/>
        <v>15 +</v>
      </c>
    </row>
    <row r="246" spans="3:12" hidden="1">
      <c r="C246" t="s">
        <v>31</v>
      </c>
      <c r="D246" t="s">
        <v>73</v>
      </c>
      <c r="E246">
        <v>12</v>
      </c>
      <c r="F246" t="s">
        <v>18</v>
      </c>
      <c r="G246" t="s">
        <v>51</v>
      </c>
      <c r="H246" t="s">
        <v>171</v>
      </c>
      <c r="I246" s="3" t="s">
        <v>199</v>
      </c>
      <c r="J246" t="s">
        <v>66</v>
      </c>
      <c r="K246" s="15">
        <v>862000</v>
      </c>
      <c r="L246" s="5" t="str">
        <f t="shared" si="3"/>
        <v>9 - 14</v>
      </c>
    </row>
    <row r="247" spans="3:12" hidden="1">
      <c r="C247" t="s">
        <v>31</v>
      </c>
      <c r="D247" t="s">
        <v>55</v>
      </c>
      <c r="E247">
        <v>8</v>
      </c>
      <c r="F247" t="s">
        <v>18</v>
      </c>
      <c r="G247" t="s">
        <v>59</v>
      </c>
      <c r="H247" t="s">
        <v>171</v>
      </c>
      <c r="I247" s="3" t="s">
        <v>154</v>
      </c>
      <c r="J247" t="s">
        <v>66</v>
      </c>
      <c r="K247" s="15">
        <v>875000</v>
      </c>
      <c r="L247" s="5" t="str">
        <f t="shared" si="3"/>
        <v>5  - 8</v>
      </c>
    </row>
    <row r="248" spans="3:12" hidden="1">
      <c r="C248" t="s">
        <v>31</v>
      </c>
      <c r="D248" t="s">
        <v>73</v>
      </c>
      <c r="E248">
        <v>6</v>
      </c>
      <c r="F248" t="s">
        <v>18</v>
      </c>
      <c r="G248" t="s">
        <v>51</v>
      </c>
      <c r="H248" t="s">
        <v>171</v>
      </c>
      <c r="I248" s="3" t="s">
        <v>110</v>
      </c>
      <c r="J248" t="s">
        <v>54</v>
      </c>
      <c r="K248" s="15">
        <v>1000000</v>
      </c>
      <c r="L248" s="5" t="str">
        <f t="shared" si="3"/>
        <v>5  - 8</v>
      </c>
    </row>
    <row r="249" spans="3:12" hidden="1">
      <c r="C249" t="s">
        <v>31</v>
      </c>
      <c r="D249" t="s">
        <v>73</v>
      </c>
      <c r="E249">
        <v>3</v>
      </c>
      <c r="F249" t="s">
        <v>18</v>
      </c>
      <c r="G249" t="s">
        <v>51</v>
      </c>
      <c r="H249" t="s">
        <v>171</v>
      </c>
      <c r="I249" s="3" t="s">
        <v>200</v>
      </c>
      <c r="J249" t="s">
        <v>54</v>
      </c>
      <c r="K249" s="15">
        <v>845000</v>
      </c>
      <c r="L249" s="5" t="str">
        <f t="shared" si="3"/>
        <v>0 - 4</v>
      </c>
    </row>
    <row r="250" spans="3:12" hidden="1">
      <c r="C250" t="s">
        <v>31</v>
      </c>
      <c r="D250" t="s">
        <v>49</v>
      </c>
      <c r="E250">
        <v>21</v>
      </c>
      <c r="F250" t="s">
        <v>14</v>
      </c>
      <c r="G250" t="s">
        <v>51</v>
      </c>
      <c r="H250" t="s">
        <v>171</v>
      </c>
      <c r="I250" s="3" t="s">
        <v>110</v>
      </c>
      <c r="J250" t="s">
        <v>54</v>
      </c>
      <c r="K250" s="15">
        <v>1000000</v>
      </c>
      <c r="L250" s="5" t="str">
        <f t="shared" si="3"/>
        <v>15 +</v>
      </c>
    </row>
    <row r="251" spans="3:12" hidden="1">
      <c r="C251" t="s">
        <v>31</v>
      </c>
      <c r="D251" t="s">
        <v>56</v>
      </c>
      <c r="E251">
        <v>20</v>
      </c>
      <c r="F251" t="s">
        <v>14</v>
      </c>
      <c r="G251" t="s">
        <v>51</v>
      </c>
      <c r="H251" t="s">
        <v>171</v>
      </c>
      <c r="I251" s="3" t="s">
        <v>200</v>
      </c>
      <c r="J251" t="s">
        <v>54</v>
      </c>
      <c r="K251" s="15">
        <v>845000</v>
      </c>
      <c r="L251" s="5" t="str">
        <f t="shared" si="3"/>
        <v>15 +</v>
      </c>
    </row>
    <row r="252" spans="3:12" hidden="1">
      <c r="C252" t="s">
        <v>31</v>
      </c>
      <c r="D252" t="s">
        <v>73</v>
      </c>
      <c r="E252">
        <v>20</v>
      </c>
      <c r="F252" t="s">
        <v>14</v>
      </c>
      <c r="G252" t="s">
        <v>51</v>
      </c>
      <c r="H252" t="s">
        <v>171</v>
      </c>
      <c r="I252" s="3" t="s">
        <v>201</v>
      </c>
      <c r="J252" t="s">
        <v>54</v>
      </c>
      <c r="K252" s="15">
        <v>968000</v>
      </c>
      <c r="L252" s="5" t="str">
        <f t="shared" si="3"/>
        <v>15 +</v>
      </c>
    </row>
    <row r="253" spans="3:12" hidden="1">
      <c r="C253" t="s">
        <v>31</v>
      </c>
      <c r="D253" t="s">
        <v>49</v>
      </c>
      <c r="E253">
        <v>20</v>
      </c>
      <c r="F253" t="s">
        <v>14</v>
      </c>
      <c r="G253" t="s">
        <v>57</v>
      </c>
      <c r="H253" t="s">
        <v>171</v>
      </c>
      <c r="I253" s="3" t="s">
        <v>107</v>
      </c>
      <c r="J253" t="s">
        <v>54</v>
      </c>
      <c r="K253" s="15">
        <v>1210000</v>
      </c>
      <c r="L253" s="5" t="str">
        <f t="shared" si="3"/>
        <v>15 +</v>
      </c>
    </row>
    <row r="254" spans="3:12" hidden="1">
      <c r="C254" t="s">
        <v>31</v>
      </c>
      <c r="D254" t="s">
        <v>55</v>
      </c>
      <c r="E254">
        <v>20</v>
      </c>
      <c r="F254" t="s">
        <v>14</v>
      </c>
      <c r="G254" t="s">
        <v>59</v>
      </c>
      <c r="H254" t="s">
        <v>171</v>
      </c>
      <c r="I254" s="3" t="s">
        <v>173</v>
      </c>
      <c r="J254" t="s">
        <v>66</v>
      </c>
      <c r="K254" s="15">
        <v>1250000</v>
      </c>
      <c r="L254" s="5" t="str">
        <f t="shared" si="3"/>
        <v>15 +</v>
      </c>
    </row>
    <row r="255" spans="3:12" hidden="1">
      <c r="C255" t="s">
        <v>31</v>
      </c>
      <c r="D255" t="s">
        <v>55</v>
      </c>
      <c r="E255">
        <v>18</v>
      </c>
      <c r="F255" t="s">
        <v>14</v>
      </c>
      <c r="G255" t="s">
        <v>51</v>
      </c>
      <c r="H255" t="s">
        <v>171</v>
      </c>
      <c r="I255" s="3" t="s">
        <v>106</v>
      </c>
      <c r="J255" t="s">
        <v>66</v>
      </c>
      <c r="K255" s="15">
        <v>1100000</v>
      </c>
      <c r="L255" s="5" t="str">
        <f t="shared" si="3"/>
        <v>15 +</v>
      </c>
    </row>
    <row r="256" spans="3:12" hidden="1">
      <c r="C256" t="s">
        <v>31</v>
      </c>
      <c r="D256" t="s">
        <v>88</v>
      </c>
      <c r="E256">
        <v>16</v>
      </c>
      <c r="F256" t="s">
        <v>14</v>
      </c>
      <c r="G256" t="s">
        <v>51</v>
      </c>
      <c r="H256" t="s">
        <v>171</v>
      </c>
      <c r="I256" s="3" t="s">
        <v>173</v>
      </c>
      <c r="J256" t="s">
        <v>54</v>
      </c>
      <c r="K256" s="15">
        <v>1250000</v>
      </c>
      <c r="L256" s="5" t="str">
        <f t="shared" si="3"/>
        <v>15 +</v>
      </c>
    </row>
    <row r="257" spans="3:12" hidden="1">
      <c r="C257" t="s">
        <v>31</v>
      </c>
      <c r="D257" t="s">
        <v>55</v>
      </c>
      <c r="E257">
        <v>14</v>
      </c>
      <c r="F257" t="s">
        <v>14</v>
      </c>
      <c r="G257" t="s">
        <v>51</v>
      </c>
      <c r="H257" t="s">
        <v>171</v>
      </c>
      <c r="I257" s="3" t="s">
        <v>202</v>
      </c>
      <c r="J257" t="s">
        <v>54</v>
      </c>
      <c r="K257" s="15">
        <v>1040000</v>
      </c>
      <c r="L257" s="5" t="str">
        <f t="shared" si="3"/>
        <v>9 - 14</v>
      </c>
    </row>
    <row r="258" spans="3:12" hidden="1">
      <c r="C258" t="s">
        <v>31</v>
      </c>
      <c r="D258" t="s">
        <v>55</v>
      </c>
      <c r="E258">
        <v>13</v>
      </c>
      <c r="F258" t="s">
        <v>14</v>
      </c>
      <c r="G258" t="s">
        <v>51</v>
      </c>
      <c r="H258" t="s">
        <v>171</v>
      </c>
      <c r="I258" s="3" t="s">
        <v>203</v>
      </c>
      <c r="J258" t="s">
        <v>54</v>
      </c>
      <c r="K258" s="15">
        <v>1071293</v>
      </c>
      <c r="L258" s="5" t="str">
        <f t="shared" si="3"/>
        <v>9 - 14</v>
      </c>
    </row>
    <row r="259" spans="3:12" hidden="1">
      <c r="C259" t="s">
        <v>31</v>
      </c>
      <c r="D259" t="s">
        <v>56</v>
      </c>
      <c r="E259">
        <v>5</v>
      </c>
      <c r="F259" t="s">
        <v>14</v>
      </c>
      <c r="G259" t="s">
        <v>51</v>
      </c>
      <c r="H259" t="s">
        <v>171</v>
      </c>
      <c r="I259" s="3" t="s">
        <v>104</v>
      </c>
      <c r="J259" t="s">
        <v>54</v>
      </c>
      <c r="K259" s="15">
        <v>1300000</v>
      </c>
      <c r="L259" s="5" t="str">
        <f t="shared" ref="L259:L322" si="4">_xlfn.XLOOKUP(E259,$P$2:$P$5,$O$2:$O$5,,1)</f>
        <v>5  - 8</v>
      </c>
    </row>
    <row r="260" spans="3:12" hidden="1">
      <c r="C260" t="s">
        <v>31</v>
      </c>
      <c r="D260" t="s">
        <v>73</v>
      </c>
      <c r="E260">
        <v>25</v>
      </c>
      <c r="F260" t="s">
        <v>15</v>
      </c>
      <c r="G260" t="s">
        <v>127</v>
      </c>
      <c r="H260" t="s">
        <v>171</v>
      </c>
      <c r="I260" s="3" t="s">
        <v>204</v>
      </c>
      <c r="J260" t="s">
        <v>54</v>
      </c>
      <c r="K260" s="15">
        <v>2450000</v>
      </c>
      <c r="L260" s="5" t="str">
        <f t="shared" si="4"/>
        <v>15 +</v>
      </c>
    </row>
    <row r="261" spans="3:12" hidden="1">
      <c r="C261" t="s">
        <v>31</v>
      </c>
      <c r="D261" t="s">
        <v>56</v>
      </c>
      <c r="E261">
        <v>23</v>
      </c>
      <c r="F261" t="s">
        <v>15</v>
      </c>
      <c r="G261" t="s">
        <v>57</v>
      </c>
      <c r="H261" t="s">
        <v>171</v>
      </c>
      <c r="I261" s="3" t="s">
        <v>130</v>
      </c>
      <c r="J261" t="s">
        <v>54</v>
      </c>
      <c r="K261" s="15">
        <v>950000</v>
      </c>
      <c r="L261" s="5" t="str">
        <f t="shared" si="4"/>
        <v>15 +</v>
      </c>
    </row>
    <row r="262" spans="3:12" hidden="1">
      <c r="C262" t="s">
        <v>31</v>
      </c>
      <c r="D262" t="s">
        <v>55</v>
      </c>
      <c r="E262">
        <v>23</v>
      </c>
      <c r="F262" t="s">
        <v>15</v>
      </c>
      <c r="G262" t="s">
        <v>51</v>
      </c>
      <c r="H262" t="s">
        <v>171</v>
      </c>
      <c r="I262" s="3" t="s">
        <v>173</v>
      </c>
      <c r="J262" t="s">
        <v>66</v>
      </c>
      <c r="K262" s="15">
        <v>1250000</v>
      </c>
      <c r="L262" s="5" t="str">
        <f t="shared" si="4"/>
        <v>15 +</v>
      </c>
    </row>
    <row r="263" spans="3:12" hidden="1">
      <c r="C263" t="s">
        <v>31</v>
      </c>
      <c r="D263" t="s">
        <v>55</v>
      </c>
      <c r="E263">
        <v>17</v>
      </c>
      <c r="F263" t="s">
        <v>15</v>
      </c>
      <c r="G263" t="s">
        <v>127</v>
      </c>
      <c r="H263" t="s">
        <v>171</v>
      </c>
      <c r="I263" s="3" t="s">
        <v>205</v>
      </c>
      <c r="J263" t="s">
        <v>54</v>
      </c>
      <c r="K263" s="15">
        <v>2500000</v>
      </c>
      <c r="L263" s="5" t="str">
        <f t="shared" si="4"/>
        <v>15 +</v>
      </c>
    </row>
    <row r="264" spans="3:12" hidden="1">
      <c r="C264" t="s">
        <v>31</v>
      </c>
      <c r="D264" t="s">
        <v>67</v>
      </c>
      <c r="E264">
        <v>15</v>
      </c>
      <c r="F264" t="s">
        <v>15</v>
      </c>
      <c r="G264" t="s">
        <v>59</v>
      </c>
      <c r="H264" t="s">
        <v>171</v>
      </c>
      <c r="I264" s="3" t="s">
        <v>106</v>
      </c>
      <c r="J264" t="s">
        <v>66</v>
      </c>
      <c r="K264" s="15">
        <v>1100000</v>
      </c>
      <c r="L264" s="5" t="str">
        <f t="shared" si="4"/>
        <v>15 +</v>
      </c>
    </row>
    <row r="265" spans="3:12" hidden="1">
      <c r="C265" t="s">
        <v>31</v>
      </c>
      <c r="D265" t="s">
        <v>73</v>
      </c>
      <c r="E265">
        <v>10</v>
      </c>
      <c r="F265" t="s">
        <v>15</v>
      </c>
      <c r="G265" t="s">
        <v>59</v>
      </c>
      <c r="H265" t="s">
        <v>171</v>
      </c>
      <c r="I265" s="3" t="s">
        <v>106</v>
      </c>
      <c r="J265" t="s">
        <v>66</v>
      </c>
      <c r="K265" s="15">
        <v>1100000</v>
      </c>
      <c r="L265" s="5" t="str">
        <f t="shared" si="4"/>
        <v>9 - 14</v>
      </c>
    </row>
    <row r="266" spans="3:12" hidden="1">
      <c r="C266" t="s">
        <v>31</v>
      </c>
      <c r="D266" t="s">
        <v>56</v>
      </c>
      <c r="E266">
        <v>7</v>
      </c>
      <c r="F266" t="s">
        <v>15</v>
      </c>
      <c r="G266" t="s">
        <v>51</v>
      </c>
      <c r="H266" t="s">
        <v>171</v>
      </c>
      <c r="I266" s="3" t="s">
        <v>130</v>
      </c>
      <c r="J266" t="s">
        <v>54</v>
      </c>
      <c r="K266" s="15">
        <v>950000</v>
      </c>
      <c r="L266" s="5" t="str">
        <f t="shared" si="4"/>
        <v>5  - 8</v>
      </c>
    </row>
    <row r="267" spans="3:12" hidden="1">
      <c r="C267" t="s">
        <v>31</v>
      </c>
      <c r="D267" t="s">
        <v>55</v>
      </c>
      <c r="E267">
        <v>7</v>
      </c>
      <c r="F267" t="s">
        <v>15</v>
      </c>
      <c r="G267" t="s">
        <v>51</v>
      </c>
      <c r="H267" t="s">
        <v>171</v>
      </c>
      <c r="I267" s="3" t="s">
        <v>110</v>
      </c>
      <c r="J267" t="s">
        <v>54</v>
      </c>
      <c r="K267" s="15">
        <v>1000000</v>
      </c>
      <c r="L267" s="5" t="str">
        <f t="shared" si="4"/>
        <v>5  - 8</v>
      </c>
    </row>
    <row r="268" spans="3:12" hidden="1">
      <c r="C268" t="s">
        <v>30</v>
      </c>
      <c r="D268" t="s">
        <v>49</v>
      </c>
      <c r="E268">
        <v>4</v>
      </c>
      <c r="F268" t="s">
        <v>15</v>
      </c>
      <c r="G268" t="s">
        <v>59</v>
      </c>
      <c r="H268" t="s">
        <v>171</v>
      </c>
      <c r="I268" s="3" t="s">
        <v>74</v>
      </c>
      <c r="J268" t="s">
        <v>66</v>
      </c>
      <c r="K268" s="15">
        <v>730000</v>
      </c>
      <c r="L268" s="5" t="str">
        <f t="shared" si="4"/>
        <v>0 - 4</v>
      </c>
    </row>
    <row r="269" spans="3:12" hidden="1">
      <c r="C269" t="s">
        <v>31</v>
      </c>
      <c r="D269" t="s">
        <v>73</v>
      </c>
      <c r="E269">
        <v>3</v>
      </c>
      <c r="F269" t="s">
        <v>15</v>
      </c>
      <c r="G269" t="s">
        <v>59</v>
      </c>
      <c r="H269" t="s">
        <v>171</v>
      </c>
      <c r="I269" s="3" t="s">
        <v>206</v>
      </c>
      <c r="J269" t="s">
        <v>66</v>
      </c>
      <c r="K269" s="15">
        <v>540000</v>
      </c>
      <c r="L269" s="5" t="str">
        <f t="shared" si="4"/>
        <v>0 - 4</v>
      </c>
    </row>
    <row r="270" spans="3:12" hidden="1">
      <c r="C270" t="s">
        <v>31</v>
      </c>
      <c r="D270" t="s">
        <v>73</v>
      </c>
      <c r="E270">
        <v>3</v>
      </c>
      <c r="F270" t="s">
        <v>15</v>
      </c>
      <c r="G270" t="s">
        <v>51</v>
      </c>
      <c r="H270" t="s">
        <v>171</v>
      </c>
      <c r="I270" s="3" t="s">
        <v>69</v>
      </c>
      <c r="J270" t="s">
        <v>54</v>
      </c>
      <c r="K270" s="15">
        <v>750000</v>
      </c>
      <c r="L270" s="5" t="str">
        <f t="shared" si="4"/>
        <v>0 - 4</v>
      </c>
    </row>
    <row r="271" spans="3:12" hidden="1">
      <c r="C271" t="s">
        <v>31</v>
      </c>
      <c r="D271" t="s">
        <v>49</v>
      </c>
      <c r="E271">
        <v>5</v>
      </c>
      <c r="F271" t="s">
        <v>16</v>
      </c>
      <c r="G271" t="s">
        <v>51</v>
      </c>
      <c r="H271" t="s">
        <v>207</v>
      </c>
      <c r="I271" s="3" t="s">
        <v>116</v>
      </c>
      <c r="J271" t="s">
        <v>66</v>
      </c>
      <c r="K271" s="15">
        <v>800000</v>
      </c>
      <c r="L271" s="5" t="str">
        <f t="shared" si="4"/>
        <v>5  - 8</v>
      </c>
    </row>
    <row r="272" spans="3:12" hidden="1">
      <c r="C272" t="s">
        <v>31</v>
      </c>
      <c r="D272" t="s">
        <v>77</v>
      </c>
      <c r="E272">
        <v>3</v>
      </c>
      <c r="F272" t="s">
        <v>16</v>
      </c>
      <c r="G272" t="s">
        <v>57</v>
      </c>
      <c r="H272" t="s">
        <v>207</v>
      </c>
      <c r="I272" s="3" t="s">
        <v>208</v>
      </c>
      <c r="J272" t="s">
        <v>54</v>
      </c>
      <c r="K272" s="15">
        <v>664000</v>
      </c>
      <c r="L272" s="5" t="str">
        <f t="shared" si="4"/>
        <v>0 - 4</v>
      </c>
    </row>
    <row r="273" spans="3:12" hidden="1">
      <c r="C273" t="s">
        <v>31</v>
      </c>
      <c r="D273" t="s">
        <v>55</v>
      </c>
      <c r="E273">
        <v>16</v>
      </c>
      <c r="F273" t="s">
        <v>19</v>
      </c>
      <c r="G273" t="s">
        <v>51</v>
      </c>
      <c r="H273" t="s">
        <v>207</v>
      </c>
      <c r="I273" s="3" t="s">
        <v>72</v>
      </c>
      <c r="J273" t="s">
        <v>54</v>
      </c>
      <c r="K273" s="15">
        <v>850000</v>
      </c>
      <c r="L273" s="5" t="str">
        <f t="shared" si="4"/>
        <v>15 +</v>
      </c>
    </row>
    <row r="274" spans="3:12" hidden="1">
      <c r="C274" t="s">
        <v>31</v>
      </c>
      <c r="D274" t="s">
        <v>64</v>
      </c>
      <c r="E274">
        <v>28</v>
      </c>
      <c r="F274" t="s">
        <v>10</v>
      </c>
      <c r="G274" t="s">
        <v>51</v>
      </c>
      <c r="H274" t="s">
        <v>207</v>
      </c>
      <c r="I274" s="36" t="s">
        <v>209</v>
      </c>
      <c r="J274" t="s">
        <v>66</v>
      </c>
      <c r="K274" s="15">
        <v>1010000</v>
      </c>
      <c r="L274" s="5" t="str">
        <f t="shared" si="4"/>
        <v>15 +</v>
      </c>
    </row>
    <row r="275" spans="3:12" hidden="1">
      <c r="C275" t="s">
        <v>31</v>
      </c>
      <c r="D275" t="s">
        <v>49</v>
      </c>
      <c r="E275">
        <v>24</v>
      </c>
      <c r="F275" t="s">
        <v>10</v>
      </c>
      <c r="G275" t="s">
        <v>59</v>
      </c>
      <c r="H275" t="s">
        <v>207</v>
      </c>
      <c r="I275" s="36" t="s">
        <v>116</v>
      </c>
      <c r="J275" t="s">
        <v>66</v>
      </c>
      <c r="K275" s="15">
        <v>800000</v>
      </c>
      <c r="L275" s="5" t="str">
        <f t="shared" si="4"/>
        <v>15 +</v>
      </c>
    </row>
    <row r="276" spans="3:12" hidden="1">
      <c r="C276" t="s">
        <v>30</v>
      </c>
      <c r="D276" t="s">
        <v>88</v>
      </c>
      <c r="E276">
        <v>20</v>
      </c>
      <c r="F276" t="s">
        <v>10</v>
      </c>
      <c r="G276" t="s">
        <v>59</v>
      </c>
      <c r="H276" t="s">
        <v>207</v>
      </c>
      <c r="I276" s="36" t="s">
        <v>97</v>
      </c>
      <c r="J276" t="s">
        <v>66</v>
      </c>
      <c r="K276" s="15">
        <v>1800000</v>
      </c>
      <c r="L276" s="5" t="str">
        <f t="shared" si="4"/>
        <v>15 +</v>
      </c>
    </row>
    <row r="277" spans="3:12" hidden="1">
      <c r="C277" t="s">
        <v>31</v>
      </c>
      <c r="D277" t="s">
        <v>77</v>
      </c>
      <c r="E277">
        <v>16</v>
      </c>
      <c r="F277" t="s">
        <v>10</v>
      </c>
      <c r="G277" t="s">
        <v>51</v>
      </c>
      <c r="H277" t="s">
        <v>207</v>
      </c>
      <c r="I277" s="36" t="s">
        <v>106</v>
      </c>
      <c r="J277" t="s">
        <v>66</v>
      </c>
      <c r="K277" s="15">
        <v>1100000</v>
      </c>
      <c r="L277" s="5" t="str">
        <f t="shared" si="4"/>
        <v>15 +</v>
      </c>
    </row>
    <row r="278" spans="3:12" hidden="1">
      <c r="C278" t="s">
        <v>31</v>
      </c>
      <c r="D278" t="s">
        <v>73</v>
      </c>
      <c r="E278">
        <v>12</v>
      </c>
      <c r="F278" t="s">
        <v>10</v>
      </c>
      <c r="G278" t="s">
        <v>59</v>
      </c>
      <c r="H278" t="s">
        <v>207</v>
      </c>
      <c r="I278" s="3" t="s">
        <v>61</v>
      </c>
      <c r="J278" t="s">
        <v>66</v>
      </c>
      <c r="K278" s="15">
        <v>1200000</v>
      </c>
      <c r="L278" s="5" t="str">
        <f t="shared" si="4"/>
        <v>9 - 14</v>
      </c>
    </row>
    <row r="279" spans="3:12" hidden="1">
      <c r="C279" t="s">
        <v>31</v>
      </c>
      <c r="D279" t="s">
        <v>73</v>
      </c>
      <c r="E279">
        <v>11</v>
      </c>
      <c r="F279" t="s">
        <v>10</v>
      </c>
      <c r="G279" t="s">
        <v>51</v>
      </c>
      <c r="H279" t="s">
        <v>207</v>
      </c>
      <c r="I279" s="3" t="s">
        <v>71</v>
      </c>
      <c r="J279" t="s">
        <v>54</v>
      </c>
      <c r="K279" s="15">
        <v>820000</v>
      </c>
      <c r="L279" s="5" t="str">
        <f t="shared" si="4"/>
        <v>9 - 14</v>
      </c>
    </row>
    <row r="280" spans="3:12" hidden="1">
      <c r="C280" t="s">
        <v>30</v>
      </c>
      <c r="D280" t="s">
        <v>49</v>
      </c>
      <c r="E280">
        <v>10</v>
      </c>
      <c r="F280" t="s">
        <v>10</v>
      </c>
      <c r="G280" t="s">
        <v>57</v>
      </c>
      <c r="H280" t="s">
        <v>207</v>
      </c>
      <c r="I280" s="3" t="s">
        <v>210</v>
      </c>
      <c r="J280" t="s">
        <v>54</v>
      </c>
      <c r="K280" s="15">
        <v>874000</v>
      </c>
      <c r="L280" s="5" t="str">
        <f t="shared" si="4"/>
        <v>9 - 14</v>
      </c>
    </row>
    <row r="281" spans="3:12" hidden="1">
      <c r="C281" t="s">
        <v>31</v>
      </c>
      <c r="D281" t="s">
        <v>67</v>
      </c>
      <c r="E281">
        <v>9</v>
      </c>
      <c r="F281" t="s">
        <v>10</v>
      </c>
      <c r="G281" t="s">
        <v>59</v>
      </c>
      <c r="H281" t="s">
        <v>207</v>
      </c>
      <c r="I281" s="3" t="s">
        <v>97</v>
      </c>
      <c r="J281" t="s">
        <v>66</v>
      </c>
      <c r="K281" s="15">
        <v>1800000</v>
      </c>
      <c r="L281" s="5" t="str">
        <f t="shared" si="4"/>
        <v>9 - 14</v>
      </c>
    </row>
    <row r="282" spans="3:12" hidden="1">
      <c r="C282" t="s">
        <v>30</v>
      </c>
      <c r="D282" t="s">
        <v>73</v>
      </c>
      <c r="E282">
        <v>8</v>
      </c>
      <c r="F282" t="s">
        <v>10</v>
      </c>
      <c r="G282" t="s">
        <v>51</v>
      </c>
      <c r="H282" t="s">
        <v>207</v>
      </c>
      <c r="I282" s="3" t="s">
        <v>79</v>
      </c>
      <c r="J282" t="s">
        <v>54</v>
      </c>
      <c r="K282" s="15">
        <v>900000</v>
      </c>
      <c r="L282" s="5" t="str">
        <f t="shared" si="4"/>
        <v>5  - 8</v>
      </c>
    </row>
    <row r="283" spans="3:12" hidden="1">
      <c r="C283" t="s">
        <v>31</v>
      </c>
      <c r="D283" t="s">
        <v>49</v>
      </c>
      <c r="E283">
        <v>8</v>
      </c>
      <c r="F283" t="s">
        <v>10</v>
      </c>
      <c r="G283" t="s">
        <v>51</v>
      </c>
      <c r="H283" t="s">
        <v>207</v>
      </c>
      <c r="I283" s="3" t="s">
        <v>130</v>
      </c>
      <c r="J283" t="s">
        <v>54</v>
      </c>
      <c r="K283" s="15">
        <v>950000</v>
      </c>
      <c r="L283" s="5" t="str">
        <f t="shared" si="4"/>
        <v>5  - 8</v>
      </c>
    </row>
    <row r="284" spans="3:12" hidden="1">
      <c r="C284" t="s">
        <v>31</v>
      </c>
      <c r="D284" t="s">
        <v>55</v>
      </c>
      <c r="E284">
        <v>8</v>
      </c>
      <c r="F284" t="s">
        <v>10</v>
      </c>
      <c r="G284" t="s">
        <v>59</v>
      </c>
      <c r="H284" t="s">
        <v>207</v>
      </c>
      <c r="I284" s="3" t="s">
        <v>211</v>
      </c>
      <c r="J284" t="s">
        <v>54</v>
      </c>
      <c r="K284" s="15">
        <v>1060000</v>
      </c>
      <c r="L284" s="5" t="str">
        <f t="shared" si="4"/>
        <v>5  - 8</v>
      </c>
    </row>
    <row r="285" spans="3:12" hidden="1">
      <c r="C285" t="s">
        <v>30</v>
      </c>
      <c r="D285" t="s">
        <v>55</v>
      </c>
      <c r="E285">
        <v>5</v>
      </c>
      <c r="F285" t="s">
        <v>10</v>
      </c>
      <c r="G285" t="s">
        <v>51</v>
      </c>
      <c r="H285" t="s">
        <v>207</v>
      </c>
      <c r="I285" s="3" t="s">
        <v>83</v>
      </c>
      <c r="J285" t="s">
        <v>54</v>
      </c>
      <c r="K285" s="15">
        <v>810000</v>
      </c>
      <c r="L285" s="5" t="str">
        <f t="shared" si="4"/>
        <v>5  - 8</v>
      </c>
    </row>
    <row r="286" spans="3:12" hidden="1">
      <c r="C286" t="s">
        <v>31</v>
      </c>
      <c r="D286" t="s">
        <v>73</v>
      </c>
      <c r="E286">
        <v>4</v>
      </c>
      <c r="F286" t="s">
        <v>10</v>
      </c>
      <c r="G286" t="s">
        <v>59</v>
      </c>
      <c r="H286" t="s">
        <v>207</v>
      </c>
      <c r="I286" s="3" t="s">
        <v>72</v>
      </c>
      <c r="J286" t="s">
        <v>54</v>
      </c>
      <c r="K286" s="15">
        <v>850000</v>
      </c>
      <c r="L286" s="5" t="str">
        <f t="shared" si="4"/>
        <v>0 - 4</v>
      </c>
    </row>
    <row r="287" spans="3:12" hidden="1">
      <c r="C287" t="s">
        <v>31</v>
      </c>
      <c r="D287" t="s">
        <v>55</v>
      </c>
      <c r="E287">
        <v>4</v>
      </c>
      <c r="F287" t="s">
        <v>10</v>
      </c>
      <c r="G287" t="s">
        <v>59</v>
      </c>
      <c r="H287" t="s">
        <v>207</v>
      </c>
      <c r="I287" s="3" t="s">
        <v>72</v>
      </c>
      <c r="J287" t="s">
        <v>66</v>
      </c>
      <c r="K287" s="15">
        <v>850000</v>
      </c>
      <c r="L287" s="5" t="str">
        <f t="shared" si="4"/>
        <v>0 - 4</v>
      </c>
    </row>
    <row r="288" spans="3:12" hidden="1">
      <c r="C288" t="s">
        <v>30</v>
      </c>
      <c r="D288" t="s">
        <v>80</v>
      </c>
      <c r="E288">
        <v>2</v>
      </c>
      <c r="F288" t="s">
        <v>10</v>
      </c>
      <c r="G288" t="s">
        <v>51</v>
      </c>
      <c r="H288" t="s">
        <v>207</v>
      </c>
      <c r="I288" s="3" t="s">
        <v>85</v>
      </c>
      <c r="J288" t="s">
        <v>66</v>
      </c>
      <c r="K288" s="15">
        <v>650000</v>
      </c>
      <c r="L288" s="5" t="str">
        <f t="shared" si="4"/>
        <v>0 - 4</v>
      </c>
    </row>
    <row r="289" spans="3:12" hidden="1">
      <c r="C289" t="s">
        <v>31</v>
      </c>
      <c r="D289" t="s">
        <v>73</v>
      </c>
      <c r="E289">
        <v>2</v>
      </c>
      <c r="F289" t="s">
        <v>10</v>
      </c>
      <c r="G289" t="s">
        <v>59</v>
      </c>
      <c r="H289" t="s">
        <v>207</v>
      </c>
      <c r="I289" s="3" t="s">
        <v>108</v>
      </c>
      <c r="J289" t="s">
        <v>66</v>
      </c>
      <c r="K289" s="15">
        <v>700000</v>
      </c>
      <c r="L289" s="5" t="str">
        <f t="shared" si="4"/>
        <v>0 - 4</v>
      </c>
    </row>
    <row r="290" spans="3:12" hidden="1">
      <c r="C290" t="s">
        <v>31</v>
      </c>
      <c r="D290" t="s">
        <v>55</v>
      </c>
      <c r="E290">
        <v>2</v>
      </c>
      <c r="F290" t="s">
        <v>10</v>
      </c>
      <c r="G290" t="s">
        <v>59</v>
      </c>
      <c r="H290" t="s">
        <v>207</v>
      </c>
      <c r="I290" s="3" t="s">
        <v>69</v>
      </c>
      <c r="J290" t="s">
        <v>66</v>
      </c>
      <c r="K290" s="15">
        <v>750000</v>
      </c>
      <c r="L290" s="5" t="str">
        <f t="shared" si="4"/>
        <v>0 - 4</v>
      </c>
    </row>
    <row r="291" spans="3:12" hidden="1">
      <c r="C291" t="s">
        <v>31</v>
      </c>
      <c r="D291" t="s">
        <v>73</v>
      </c>
      <c r="E291">
        <v>30</v>
      </c>
      <c r="F291" t="s">
        <v>11</v>
      </c>
      <c r="G291" t="s">
        <v>59</v>
      </c>
      <c r="H291" t="s">
        <v>207</v>
      </c>
      <c r="I291" s="3" t="s">
        <v>184</v>
      </c>
      <c r="J291" t="s">
        <v>66</v>
      </c>
      <c r="K291" s="15">
        <v>1350000</v>
      </c>
      <c r="L291" s="5" t="str">
        <f t="shared" si="4"/>
        <v>15 +</v>
      </c>
    </row>
    <row r="292" spans="3:12" hidden="1">
      <c r="C292" t="s">
        <v>31</v>
      </c>
      <c r="D292" t="s">
        <v>56</v>
      </c>
      <c r="E292">
        <v>22</v>
      </c>
      <c r="F292" t="s">
        <v>11</v>
      </c>
      <c r="G292" t="s">
        <v>51</v>
      </c>
      <c r="H292" t="s">
        <v>207</v>
      </c>
      <c r="I292" s="3" t="s">
        <v>110</v>
      </c>
      <c r="J292" t="s">
        <v>54</v>
      </c>
      <c r="K292" s="15">
        <v>1000000</v>
      </c>
      <c r="L292" s="5" t="str">
        <f t="shared" si="4"/>
        <v>15 +</v>
      </c>
    </row>
    <row r="293" spans="3:12" hidden="1">
      <c r="C293" t="s">
        <v>31</v>
      </c>
      <c r="D293" t="s">
        <v>73</v>
      </c>
      <c r="E293">
        <v>15</v>
      </c>
      <c r="F293" t="s">
        <v>11</v>
      </c>
      <c r="G293" t="s">
        <v>51</v>
      </c>
      <c r="H293" t="s">
        <v>207</v>
      </c>
      <c r="I293" s="3" t="s">
        <v>71</v>
      </c>
      <c r="J293" t="s">
        <v>66</v>
      </c>
      <c r="K293" s="15">
        <v>820000</v>
      </c>
      <c r="L293" s="5" t="str">
        <f t="shared" si="4"/>
        <v>15 +</v>
      </c>
    </row>
    <row r="294" spans="3:12" hidden="1">
      <c r="C294" t="s">
        <v>31</v>
      </c>
      <c r="D294" t="s">
        <v>80</v>
      </c>
      <c r="E294">
        <v>10</v>
      </c>
      <c r="F294" t="s">
        <v>11</v>
      </c>
      <c r="G294" t="s">
        <v>51</v>
      </c>
      <c r="H294" t="s">
        <v>207</v>
      </c>
      <c r="I294" s="3" t="s">
        <v>212</v>
      </c>
      <c r="J294" t="s">
        <v>66</v>
      </c>
      <c r="K294" s="15">
        <v>573000</v>
      </c>
      <c r="L294" s="5" t="str">
        <f t="shared" si="4"/>
        <v>9 - 14</v>
      </c>
    </row>
    <row r="295" spans="3:12" hidden="1">
      <c r="C295" t="s">
        <v>30</v>
      </c>
      <c r="D295" t="s">
        <v>80</v>
      </c>
      <c r="E295">
        <v>0</v>
      </c>
      <c r="F295" t="s">
        <v>11</v>
      </c>
      <c r="G295" t="s">
        <v>51</v>
      </c>
      <c r="H295" t="s">
        <v>207</v>
      </c>
      <c r="I295" s="3" t="s">
        <v>213</v>
      </c>
      <c r="J295" t="s">
        <v>66</v>
      </c>
      <c r="K295" s="15">
        <v>620000</v>
      </c>
      <c r="L295" s="5" t="str">
        <f t="shared" si="4"/>
        <v>0 - 4</v>
      </c>
    </row>
    <row r="296" spans="3:12" hidden="1">
      <c r="C296" t="s">
        <v>31</v>
      </c>
      <c r="D296" t="s">
        <v>125</v>
      </c>
      <c r="E296">
        <v>19</v>
      </c>
      <c r="F296" t="s">
        <v>13</v>
      </c>
      <c r="G296" t="s">
        <v>59</v>
      </c>
      <c r="H296" t="s">
        <v>207</v>
      </c>
      <c r="I296" s="3" t="s">
        <v>181</v>
      </c>
      <c r="J296" t="s">
        <v>66</v>
      </c>
      <c r="K296" s="15">
        <v>1030000</v>
      </c>
      <c r="L296" s="5" t="str">
        <f t="shared" si="4"/>
        <v>15 +</v>
      </c>
    </row>
    <row r="297" spans="3:12" hidden="1">
      <c r="C297" t="s">
        <v>31</v>
      </c>
      <c r="D297" t="s">
        <v>67</v>
      </c>
      <c r="E297">
        <v>3</v>
      </c>
      <c r="F297" t="s">
        <v>13</v>
      </c>
      <c r="G297" t="s">
        <v>57</v>
      </c>
      <c r="H297" t="s">
        <v>207</v>
      </c>
      <c r="I297" s="3" t="s">
        <v>214</v>
      </c>
      <c r="J297" t="s">
        <v>54</v>
      </c>
      <c r="K297" s="15">
        <v>614000</v>
      </c>
      <c r="L297" s="5" t="str">
        <f t="shared" si="4"/>
        <v>0 - 4</v>
      </c>
    </row>
    <row r="298" spans="3:12" hidden="1">
      <c r="C298" t="s">
        <v>31</v>
      </c>
      <c r="D298" t="s">
        <v>55</v>
      </c>
      <c r="E298">
        <v>18</v>
      </c>
      <c r="F298" t="s">
        <v>17</v>
      </c>
      <c r="G298" t="s">
        <v>51</v>
      </c>
      <c r="H298" t="s">
        <v>207</v>
      </c>
      <c r="I298" s="3" t="s">
        <v>192</v>
      </c>
      <c r="J298" t="s">
        <v>66</v>
      </c>
      <c r="K298" s="15">
        <v>1600000</v>
      </c>
      <c r="L298" s="5" t="str">
        <f t="shared" si="4"/>
        <v>15 +</v>
      </c>
    </row>
    <row r="299" spans="3:12" hidden="1">
      <c r="C299" t="s">
        <v>31</v>
      </c>
      <c r="D299" t="s">
        <v>73</v>
      </c>
      <c r="E299">
        <v>4</v>
      </c>
      <c r="F299" t="s">
        <v>14</v>
      </c>
      <c r="G299" t="s">
        <v>51</v>
      </c>
      <c r="H299" t="s">
        <v>207</v>
      </c>
      <c r="I299" s="3" t="s">
        <v>120</v>
      </c>
      <c r="J299" t="s">
        <v>66</v>
      </c>
      <c r="K299" s="15">
        <v>740000</v>
      </c>
      <c r="L299" s="5" t="str">
        <f t="shared" si="4"/>
        <v>0 - 4</v>
      </c>
    </row>
    <row r="300" spans="3:12" hidden="1">
      <c r="C300" t="s">
        <v>31</v>
      </c>
      <c r="D300" t="s">
        <v>73</v>
      </c>
      <c r="E300">
        <v>0</v>
      </c>
      <c r="F300" t="s">
        <v>14</v>
      </c>
      <c r="G300" t="s">
        <v>51</v>
      </c>
      <c r="H300" t="s">
        <v>207</v>
      </c>
      <c r="I300" s="3" t="s">
        <v>215</v>
      </c>
      <c r="J300" t="s">
        <v>54</v>
      </c>
      <c r="K300" s="15">
        <v>350000</v>
      </c>
      <c r="L300" s="5" t="str">
        <f t="shared" si="4"/>
        <v>0 - 4</v>
      </c>
    </row>
    <row r="301" spans="3:12" hidden="1">
      <c r="C301" t="s">
        <v>31</v>
      </c>
      <c r="D301" t="s">
        <v>73</v>
      </c>
      <c r="E301">
        <v>4</v>
      </c>
      <c r="F301" t="s">
        <v>15</v>
      </c>
      <c r="G301" t="s">
        <v>51</v>
      </c>
      <c r="H301" t="s">
        <v>207</v>
      </c>
      <c r="I301" s="3" t="s">
        <v>116</v>
      </c>
      <c r="J301" t="s">
        <v>66</v>
      </c>
      <c r="K301" s="15">
        <v>800000</v>
      </c>
      <c r="L301" s="5" t="str">
        <f t="shared" si="4"/>
        <v>0 - 4</v>
      </c>
    </row>
    <row r="302" spans="3:12" hidden="1">
      <c r="C302" t="s">
        <v>30</v>
      </c>
      <c r="D302" t="s">
        <v>73</v>
      </c>
      <c r="E302">
        <v>3</v>
      </c>
      <c r="F302" t="s">
        <v>15</v>
      </c>
      <c r="G302" t="s">
        <v>51</v>
      </c>
      <c r="H302" t="s">
        <v>207</v>
      </c>
      <c r="I302" s="3" t="s">
        <v>216</v>
      </c>
      <c r="J302" t="s">
        <v>54</v>
      </c>
      <c r="K302" s="15">
        <v>568000</v>
      </c>
      <c r="L302" s="5" t="str">
        <f t="shared" si="4"/>
        <v>0 - 4</v>
      </c>
    </row>
    <row r="303" spans="3:12" hidden="1">
      <c r="C303" t="s">
        <v>31</v>
      </c>
      <c r="D303" t="s">
        <v>67</v>
      </c>
      <c r="E303">
        <v>29</v>
      </c>
      <c r="F303" t="s">
        <v>8</v>
      </c>
      <c r="G303" t="s">
        <v>59</v>
      </c>
      <c r="H303" t="s">
        <v>217</v>
      </c>
      <c r="I303" s="3" t="s">
        <v>202</v>
      </c>
      <c r="J303" t="s">
        <v>54</v>
      </c>
      <c r="K303" s="15">
        <v>1040000</v>
      </c>
      <c r="L303" s="5" t="str">
        <f t="shared" si="4"/>
        <v>15 +</v>
      </c>
    </row>
    <row r="304" spans="3:12" hidden="1">
      <c r="C304" t="s">
        <v>31</v>
      </c>
      <c r="D304" t="s">
        <v>67</v>
      </c>
      <c r="E304">
        <v>26</v>
      </c>
      <c r="F304" t="s">
        <v>8</v>
      </c>
      <c r="G304" t="s">
        <v>51</v>
      </c>
      <c r="H304" t="s">
        <v>217</v>
      </c>
      <c r="I304" s="3" t="s">
        <v>218</v>
      </c>
      <c r="J304" t="s">
        <v>54</v>
      </c>
      <c r="K304" s="15">
        <v>1136000</v>
      </c>
      <c r="L304" s="5" t="str">
        <f t="shared" si="4"/>
        <v>15 +</v>
      </c>
    </row>
    <row r="305" spans="3:12" hidden="1">
      <c r="C305" t="s">
        <v>31</v>
      </c>
      <c r="D305" t="s">
        <v>49</v>
      </c>
      <c r="E305">
        <v>21</v>
      </c>
      <c r="F305" t="s">
        <v>8</v>
      </c>
      <c r="G305" t="s">
        <v>57</v>
      </c>
      <c r="H305" t="s">
        <v>217</v>
      </c>
      <c r="I305" s="3" t="s">
        <v>130</v>
      </c>
      <c r="J305" t="s">
        <v>54</v>
      </c>
      <c r="K305" s="15">
        <v>950000</v>
      </c>
      <c r="L305" s="5" t="str">
        <f t="shared" si="4"/>
        <v>15 +</v>
      </c>
    </row>
    <row r="306" spans="3:12" hidden="1">
      <c r="C306" t="s">
        <v>31</v>
      </c>
      <c r="D306" t="s">
        <v>55</v>
      </c>
      <c r="E306">
        <v>21</v>
      </c>
      <c r="F306" t="s">
        <v>8</v>
      </c>
      <c r="G306" t="s">
        <v>51</v>
      </c>
      <c r="H306" t="s">
        <v>217</v>
      </c>
      <c r="I306" s="3" t="s">
        <v>61</v>
      </c>
      <c r="J306" t="s">
        <v>54</v>
      </c>
      <c r="K306" s="15">
        <v>1200000</v>
      </c>
      <c r="L306" s="5" t="str">
        <f t="shared" si="4"/>
        <v>15 +</v>
      </c>
    </row>
    <row r="307" spans="3:12" hidden="1">
      <c r="C307" t="s">
        <v>31</v>
      </c>
      <c r="D307" t="s">
        <v>56</v>
      </c>
      <c r="E307">
        <v>19</v>
      </c>
      <c r="F307" t="s">
        <v>8</v>
      </c>
      <c r="G307" t="s">
        <v>59</v>
      </c>
      <c r="H307" t="s">
        <v>217</v>
      </c>
      <c r="I307" s="3" t="s">
        <v>108</v>
      </c>
      <c r="J307" t="s">
        <v>54</v>
      </c>
      <c r="K307" s="15">
        <v>700000</v>
      </c>
      <c r="L307" s="5" t="str">
        <f t="shared" si="4"/>
        <v>15 +</v>
      </c>
    </row>
    <row r="308" spans="3:12" hidden="1">
      <c r="C308" t="s">
        <v>31</v>
      </c>
      <c r="D308" t="s">
        <v>55</v>
      </c>
      <c r="E308">
        <v>19</v>
      </c>
      <c r="F308" t="s">
        <v>8</v>
      </c>
      <c r="G308" t="s">
        <v>51</v>
      </c>
      <c r="H308" t="s">
        <v>217</v>
      </c>
      <c r="I308" s="3" t="s">
        <v>219</v>
      </c>
      <c r="J308" t="s">
        <v>54</v>
      </c>
      <c r="K308" s="15">
        <v>1140000</v>
      </c>
      <c r="L308" s="5" t="str">
        <f t="shared" si="4"/>
        <v>15 +</v>
      </c>
    </row>
    <row r="309" spans="3:12" hidden="1">
      <c r="C309" t="s">
        <v>31</v>
      </c>
      <c r="D309" t="s">
        <v>49</v>
      </c>
      <c r="E309">
        <v>13</v>
      </c>
      <c r="F309" t="s">
        <v>8</v>
      </c>
      <c r="G309" t="s">
        <v>51</v>
      </c>
      <c r="H309" t="s">
        <v>217</v>
      </c>
      <c r="I309" s="3" t="s">
        <v>220</v>
      </c>
      <c r="J309" t="s">
        <v>54</v>
      </c>
      <c r="K309" s="15">
        <v>760000</v>
      </c>
      <c r="L309" s="5" t="str">
        <f t="shared" si="4"/>
        <v>9 - 14</v>
      </c>
    </row>
    <row r="310" spans="3:12" hidden="1">
      <c r="C310" t="s">
        <v>31</v>
      </c>
      <c r="D310" t="s">
        <v>77</v>
      </c>
      <c r="E310">
        <v>12</v>
      </c>
      <c r="F310" t="s">
        <v>8</v>
      </c>
      <c r="G310" t="s">
        <v>51</v>
      </c>
      <c r="H310" t="s">
        <v>217</v>
      </c>
      <c r="I310" s="3" t="s">
        <v>159</v>
      </c>
      <c r="J310" t="s">
        <v>54</v>
      </c>
      <c r="K310" s="15">
        <v>680000</v>
      </c>
      <c r="L310" s="5" t="str">
        <f t="shared" si="4"/>
        <v>9 - 14</v>
      </c>
    </row>
    <row r="311" spans="3:12" hidden="1">
      <c r="C311" t="s">
        <v>31</v>
      </c>
      <c r="D311" t="s">
        <v>77</v>
      </c>
      <c r="E311">
        <v>10</v>
      </c>
      <c r="F311" t="s">
        <v>8</v>
      </c>
      <c r="G311" t="s">
        <v>57</v>
      </c>
      <c r="H311" t="s">
        <v>217</v>
      </c>
      <c r="I311" s="3" t="s">
        <v>166</v>
      </c>
      <c r="J311" t="s">
        <v>54</v>
      </c>
      <c r="K311" s="15">
        <v>890000</v>
      </c>
      <c r="L311" s="5" t="str">
        <f t="shared" si="4"/>
        <v>9 - 14</v>
      </c>
    </row>
    <row r="312" spans="3:12" hidden="1">
      <c r="C312" t="s">
        <v>31</v>
      </c>
      <c r="D312" t="s">
        <v>55</v>
      </c>
      <c r="E312">
        <v>10</v>
      </c>
      <c r="F312" t="s">
        <v>8</v>
      </c>
      <c r="G312" t="s">
        <v>51</v>
      </c>
      <c r="H312" t="s">
        <v>217</v>
      </c>
      <c r="I312" s="3" t="s">
        <v>221</v>
      </c>
      <c r="J312" t="s">
        <v>66</v>
      </c>
      <c r="K312" s="15">
        <v>1006000</v>
      </c>
      <c r="L312" s="5" t="str">
        <f t="shared" si="4"/>
        <v>9 - 14</v>
      </c>
    </row>
    <row r="313" spans="3:12" hidden="1">
      <c r="C313" t="s">
        <v>31</v>
      </c>
      <c r="D313" t="s">
        <v>73</v>
      </c>
      <c r="E313">
        <v>9</v>
      </c>
      <c r="F313" t="s">
        <v>8</v>
      </c>
      <c r="G313" t="s">
        <v>57</v>
      </c>
      <c r="H313" t="s">
        <v>217</v>
      </c>
      <c r="I313" s="3" t="s">
        <v>111</v>
      </c>
      <c r="J313" t="s">
        <v>54</v>
      </c>
      <c r="K313" s="15">
        <v>870000</v>
      </c>
      <c r="L313" s="5" t="str">
        <f t="shared" si="4"/>
        <v>9 - 14</v>
      </c>
    </row>
    <row r="314" spans="3:12" hidden="1">
      <c r="C314" t="s">
        <v>31</v>
      </c>
      <c r="D314" t="s">
        <v>73</v>
      </c>
      <c r="E314">
        <v>7</v>
      </c>
      <c r="F314" t="s">
        <v>8</v>
      </c>
      <c r="G314" t="s">
        <v>57</v>
      </c>
      <c r="H314" t="s">
        <v>217</v>
      </c>
      <c r="I314" s="3" t="s">
        <v>222</v>
      </c>
      <c r="J314" t="s">
        <v>66</v>
      </c>
      <c r="K314" s="15">
        <v>670000</v>
      </c>
      <c r="L314" s="5" t="str">
        <f t="shared" si="4"/>
        <v>5  - 8</v>
      </c>
    </row>
    <row r="315" spans="3:12" hidden="1">
      <c r="C315" t="s">
        <v>31</v>
      </c>
      <c r="D315" t="s">
        <v>55</v>
      </c>
      <c r="E315">
        <v>7</v>
      </c>
      <c r="F315" t="s">
        <v>8</v>
      </c>
      <c r="G315" t="s">
        <v>51</v>
      </c>
      <c r="H315" t="s">
        <v>217</v>
      </c>
      <c r="I315" s="3" t="s">
        <v>110</v>
      </c>
      <c r="J315" t="s">
        <v>54</v>
      </c>
      <c r="K315" s="15">
        <v>1000000</v>
      </c>
      <c r="L315" s="5" t="str">
        <f t="shared" si="4"/>
        <v>5  - 8</v>
      </c>
    </row>
    <row r="316" spans="3:12" hidden="1">
      <c r="C316" t="s">
        <v>31</v>
      </c>
      <c r="D316" t="s">
        <v>73</v>
      </c>
      <c r="E316">
        <v>4</v>
      </c>
      <c r="F316" t="s">
        <v>8</v>
      </c>
      <c r="G316" t="s">
        <v>59</v>
      </c>
      <c r="H316" t="s">
        <v>217</v>
      </c>
      <c r="I316" s="3" t="s">
        <v>119</v>
      </c>
      <c r="J316" t="s">
        <v>54</v>
      </c>
      <c r="K316" s="15">
        <v>630000</v>
      </c>
      <c r="L316" s="5" t="str">
        <f t="shared" si="4"/>
        <v>0 - 4</v>
      </c>
    </row>
    <row r="317" spans="3:12" hidden="1">
      <c r="C317" t="s">
        <v>31</v>
      </c>
      <c r="D317" t="s">
        <v>73</v>
      </c>
      <c r="E317">
        <v>4</v>
      </c>
      <c r="F317" t="s">
        <v>8</v>
      </c>
      <c r="G317" t="s">
        <v>59</v>
      </c>
      <c r="H317" t="s">
        <v>217</v>
      </c>
      <c r="I317" s="3" t="s">
        <v>74</v>
      </c>
      <c r="J317" t="s">
        <v>54</v>
      </c>
      <c r="K317" s="15">
        <v>730000</v>
      </c>
      <c r="L317" s="5" t="str">
        <f t="shared" si="4"/>
        <v>0 - 4</v>
      </c>
    </row>
    <row r="318" spans="3:12" hidden="1">
      <c r="C318" t="s">
        <v>30</v>
      </c>
      <c r="D318" t="s">
        <v>73</v>
      </c>
      <c r="E318">
        <v>3</v>
      </c>
      <c r="F318" t="s">
        <v>8</v>
      </c>
      <c r="G318" t="s">
        <v>59</v>
      </c>
      <c r="H318" t="s">
        <v>217</v>
      </c>
      <c r="I318" s="3" t="s">
        <v>223</v>
      </c>
      <c r="J318" t="s">
        <v>66</v>
      </c>
      <c r="K318" s="15">
        <v>790000</v>
      </c>
      <c r="L318" s="5" t="str">
        <f t="shared" si="4"/>
        <v>0 - 4</v>
      </c>
    </row>
    <row r="319" spans="3:12" hidden="1">
      <c r="C319" t="s">
        <v>31</v>
      </c>
      <c r="D319" t="s">
        <v>55</v>
      </c>
      <c r="E319">
        <v>3</v>
      </c>
      <c r="F319" t="s">
        <v>8</v>
      </c>
      <c r="G319" t="s">
        <v>57</v>
      </c>
      <c r="H319" t="s">
        <v>217</v>
      </c>
      <c r="I319" s="3" t="s">
        <v>224</v>
      </c>
      <c r="J319" t="s">
        <v>54</v>
      </c>
      <c r="K319" s="15">
        <v>725900</v>
      </c>
      <c r="L319" s="5" t="str">
        <f t="shared" si="4"/>
        <v>0 - 4</v>
      </c>
    </row>
    <row r="320" spans="3:12" hidden="1">
      <c r="C320" t="s">
        <v>31</v>
      </c>
      <c r="D320" t="s">
        <v>77</v>
      </c>
      <c r="E320">
        <v>3</v>
      </c>
      <c r="F320" t="s">
        <v>8</v>
      </c>
      <c r="G320" t="s">
        <v>51</v>
      </c>
      <c r="H320" t="s">
        <v>217</v>
      </c>
      <c r="I320" s="3" t="s">
        <v>69</v>
      </c>
      <c r="J320" t="s">
        <v>54</v>
      </c>
      <c r="K320" s="15">
        <v>750000</v>
      </c>
      <c r="L320" s="5" t="str">
        <f t="shared" si="4"/>
        <v>0 - 4</v>
      </c>
    </row>
    <row r="321" spans="3:12" hidden="1">
      <c r="C321" t="s">
        <v>31</v>
      </c>
      <c r="D321" t="s">
        <v>73</v>
      </c>
      <c r="E321">
        <v>3</v>
      </c>
      <c r="F321" t="s">
        <v>8</v>
      </c>
      <c r="G321" t="s">
        <v>59</v>
      </c>
      <c r="H321" t="s">
        <v>217</v>
      </c>
      <c r="I321" s="3" t="s">
        <v>225</v>
      </c>
      <c r="J321" t="s">
        <v>54</v>
      </c>
      <c r="K321" s="15">
        <v>766000</v>
      </c>
      <c r="L321" s="5" t="str">
        <f t="shared" si="4"/>
        <v>0 - 4</v>
      </c>
    </row>
    <row r="322" spans="3:12" hidden="1">
      <c r="C322" t="s">
        <v>31</v>
      </c>
      <c r="D322" t="s">
        <v>73</v>
      </c>
      <c r="E322">
        <v>2</v>
      </c>
      <c r="F322" t="s">
        <v>8</v>
      </c>
      <c r="G322" t="s">
        <v>51</v>
      </c>
      <c r="H322" t="s">
        <v>217</v>
      </c>
      <c r="I322" s="3" t="s">
        <v>226</v>
      </c>
      <c r="J322" t="s">
        <v>54</v>
      </c>
      <c r="K322" s="15">
        <v>585000</v>
      </c>
      <c r="L322" s="5" t="str">
        <f t="shared" si="4"/>
        <v>0 - 4</v>
      </c>
    </row>
    <row r="323" spans="3:12" hidden="1">
      <c r="C323" t="s">
        <v>31</v>
      </c>
      <c r="D323" t="s">
        <v>73</v>
      </c>
      <c r="E323">
        <v>2</v>
      </c>
      <c r="F323" t="s">
        <v>8</v>
      </c>
      <c r="G323" t="s">
        <v>51</v>
      </c>
      <c r="H323" t="s">
        <v>217</v>
      </c>
      <c r="I323" s="3" t="s">
        <v>139</v>
      </c>
      <c r="J323" t="s">
        <v>54</v>
      </c>
      <c r="K323" s="15">
        <v>600000</v>
      </c>
      <c r="L323" s="5" t="str">
        <f t="shared" ref="L323:L386" si="5">_xlfn.XLOOKUP(E323,$P$2:$P$5,$O$2:$O$5,,1)</f>
        <v>0 - 4</v>
      </c>
    </row>
    <row r="324" spans="3:12" hidden="1">
      <c r="C324" t="s">
        <v>31</v>
      </c>
      <c r="D324" t="s">
        <v>73</v>
      </c>
      <c r="E324">
        <v>1</v>
      </c>
      <c r="F324" t="s">
        <v>8</v>
      </c>
      <c r="G324" t="s">
        <v>59</v>
      </c>
      <c r="H324" t="s">
        <v>217</v>
      </c>
      <c r="I324" s="3" t="s">
        <v>227</v>
      </c>
      <c r="J324" t="s">
        <v>66</v>
      </c>
      <c r="K324" s="15">
        <v>605000</v>
      </c>
      <c r="L324" s="5" t="str">
        <f t="shared" si="5"/>
        <v>0 - 4</v>
      </c>
    </row>
    <row r="325" spans="3:12" hidden="1">
      <c r="C325" t="s">
        <v>31</v>
      </c>
      <c r="D325" t="s">
        <v>67</v>
      </c>
      <c r="E325">
        <v>1</v>
      </c>
      <c r="F325" t="s">
        <v>8</v>
      </c>
      <c r="G325" t="s">
        <v>51</v>
      </c>
      <c r="H325" t="s">
        <v>217</v>
      </c>
      <c r="I325" s="3" t="s">
        <v>157</v>
      </c>
      <c r="J325" t="s">
        <v>54</v>
      </c>
      <c r="K325" s="15">
        <v>625000</v>
      </c>
      <c r="L325" s="5" t="str">
        <f t="shared" si="5"/>
        <v>0 - 4</v>
      </c>
    </row>
    <row r="326" spans="3:12" hidden="1">
      <c r="C326" t="s">
        <v>31</v>
      </c>
      <c r="D326" t="s">
        <v>67</v>
      </c>
      <c r="E326">
        <v>1</v>
      </c>
      <c r="F326" t="s">
        <v>8</v>
      </c>
      <c r="G326" t="s">
        <v>51</v>
      </c>
      <c r="H326" t="s">
        <v>217</v>
      </c>
      <c r="I326" s="3" t="s">
        <v>222</v>
      </c>
      <c r="J326" t="s">
        <v>54</v>
      </c>
      <c r="K326" s="15">
        <v>670000</v>
      </c>
      <c r="L326" s="5" t="str">
        <f t="shared" si="5"/>
        <v>0 - 4</v>
      </c>
    </row>
    <row r="327" spans="3:12" hidden="1">
      <c r="C327" t="s">
        <v>31</v>
      </c>
      <c r="D327" t="s">
        <v>73</v>
      </c>
      <c r="E327">
        <v>1</v>
      </c>
      <c r="F327" t="s">
        <v>8</v>
      </c>
      <c r="G327" t="s">
        <v>51</v>
      </c>
      <c r="H327" t="s">
        <v>217</v>
      </c>
      <c r="I327" s="3" t="s">
        <v>159</v>
      </c>
      <c r="J327" t="s">
        <v>54</v>
      </c>
      <c r="K327" s="15">
        <v>680000</v>
      </c>
      <c r="L327" s="5" t="str">
        <f t="shared" si="5"/>
        <v>0 - 4</v>
      </c>
    </row>
    <row r="328" spans="3:12" hidden="1">
      <c r="C328" t="s">
        <v>31</v>
      </c>
      <c r="D328" t="s">
        <v>73</v>
      </c>
      <c r="E328">
        <v>28</v>
      </c>
      <c r="F328" t="s">
        <v>16</v>
      </c>
      <c r="G328" t="s">
        <v>51</v>
      </c>
      <c r="H328" t="s">
        <v>217</v>
      </c>
      <c r="I328" s="3" t="s">
        <v>133</v>
      </c>
      <c r="J328" t="s">
        <v>54</v>
      </c>
      <c r="K328" s="15">
        <v>960000</v>
      </c>
      <c r="L328" s="5" t="str">
        <f t="shared" si="5"/>
        <v>15 +</v>
      </c>
    </row>
    <row r="329" spans="3:12" hidden="1">
      <c r="C329" t="s">
        <v>31</v>
      </c>
      <c r="D329" t="s">
        <v>67</v>
      </c>
      <c r="E329">
        <v>25</v>
      </c>
      <c r="F329" t="s">
        <v>16</v>
      </c>
      <c r="G329" t="s">
        <v>51</v>
      </c>
      <c r="H329" t="s">
        <v>217</v>
      </c>
      <c r="I329" s="3" t="s">
        <v>126</v>
      </c>
      <c r="J329" t="s">
        <v>54</v>
      </c>
      <c r="K329" s="15">
        <v>925000</v>
      </c>
      <c r="L329" s="5" t="str">
        <f t="shared" si="5"/>
        <v>15 +</v>
      </c>
    </row>
    <row r="330" spans="3:12" hidden="1">
      <c r="C330" t="s">
        <v>31</v>
      </c>
      <c r="D330" t="s">
        <v>55</v>
      </c>
      <c r="E330">
        <v>23</v>
      </c>
      <c r="F330" t="s">
        <v>16</v>
      </c>
      <c r="G330" t="s">
        <v>51</v>
      </c>
      <c r="H330" t="s">
        <v>217</v>
      </c>
      <c r="I330" s="3" t="s">
        <v>228</v>
      </c>
      <c r="J330" t="s">
        <v>66</v>
      </c>
      <c r="K330" s="15">
        <v>843000</v>
      </c>
      <c r="L330" s="5" t="str">
        <f t="shared" si="5"/>
        <v>15 +</v>
      </c>
    </row>
    <row r="331" spans="3:12" hidden="1">
      <c r="C331" t="s">
        <v>31</v>
      </c>
      <c r="D331" t="s">
        <v>67</v>
      </c>
      <c r="E331">
        <v>17</v>
      </c>
      <c r="F331" t="s">
        <v>16</v>
      </c>
      <c r="G331" t="s">
        <v>51</v>
      </c>
      <c r="H331" t="s">
        <v>217</v>
      </c>
      <c r="I331" s="3" t="s">
        <v>53</v>
      </c>
      <c r="J331" t="s">
        <v>54</v>
      </c>
      <c r="K331" s="15">
        <v>865000</v>
      </c>
      <c r="L331" s="5" t="str">
        <f t="shared" si="5"/>
        <v>15 +</v>
      </c>
    </row>
    <row r="332" spans="3:12" hidden="1">
      <c r="C332" t="s">
        <v>31</v>
      </c>
      <c r="D332" t="s">
        <v>73</v>
      </c>
      <c r="E332">
        <v>15</v>
      </c>
      <c r="F332" t="s">
        <v>16</v>
      </c>
      <c r="G332" t="s">
        <v>59</v>
      </c>
      <c r="H332" t="s">
        <v>217</v>
      </c>
      <c r="I332" s="3" t="s">
        <v>192</v>
      </c>
      <c r="J332" t="s">
        <v>66</v>
      </c>
      <c r="K332" s="15">
        <v>1600000</v>
      </c>
      <c r="L332" s="5" t="str">
        <f t="shared" si="5"/>
        <v>15 +</v>
      </c>
    </row>
    <row r="333" spans="3:12" hidden="1">
      <c r="C333" t="s">
        <v>31</v>
      </c>
      <c r="D333" t="s">
        <v>73</v>
      </c>
      <c r="E333">
        <v>12</v>
      </c>
      <c r="F333" t="s">
        <v>16</v>
      </c>
      <c r="G333" t="s">
        <v>59</v>
      </c>
      <c r="H333" t="s">
        <v>217</v>
      </c>
      <c r="I333" s="3" t="s">
        <v>72</v>
      </c>
      <c r="J333" t="s">
        <v>66</v>
      </c>
      <c r="K333" s="15">
        <v>850000</v>
      </c>
      <c r="L333" s="5" t="str">
        <f t="shared" si="5"/>
        <v>9 - 14</v>
      </c>
    </row>
    <row r="334" spans="3:12" hidden="1">
      <c r="C334" t="s">
        <v>31</v>
      </c>
      <c r="D334" t="s">
        <v>73</v>
      </c>
      <c r="E334">
        <v>12</v>
      </c>
      <c r="F334" t="s">
        <v>16</v>
      </c>
      <c r="G334" t="s">
        <v>59</v>
      </c>
      <c r="H334" t="s">
        <v>217</v>
      </c>
      <c r="I334" s="3" t="s">
        <v>98</v>
      </c>
      <c r="J334" t="s">
        <v>66</v>
      </c>
      <c r="K334" s="15">
        <v>920000</v>
      </c>
      <c r="L334" s="5" t="str">
        <f t="shared" si="5"/>
        <v>9 - 14</v>
      </c>
    </row>
    <row r="335" spans="3:12" hidden="1">
      <c r="C335" t="s">
        <v>31</v>
      </c>
      <c r="D335" t="s">
        <v>73</v>
      </c>
      <c r="E335">
        <v>7</v>
      </c>
      <c r="F335" t="s">
        <v>16</v>
      </c>
      <c r="G335" t="s">
        <v>51</v>
      </c>
      <c r="H335" t="s">
        <v>217</v>
      </c>
      <c r="I335" s="3" t="s">
        <v>106</v>
      </c>
      <c r="J335" t="s">
        <v>54</v>
      </c>
      <c r="K335" s="15">
        <v>1100000</v>
      </c>
      <c r="L335" s="5" t="str">
        <f t="shared" si="5"/>
        <v>5  - 8</v>
      </c>
    </row>
    <row r="336" spans="3:12" hidden="1">
      <c r="C336" t="s">
        <v>31</v>
      </c>
      <c r="D336" t="s">
        <v>73</v>
      </c>
      <c r="E336">
        <v>6</v>
      </c>
      <c r="F336" t="s">
        <v>16</v>
      </c>
      <c r="G336" t="s">
        <v>51</v>
      </c>
      <c r="H336" t="s">
        <v>217</v>
      </c>
      <c r="I336" s="3" t="s">
        <v>74</v>
      </c>
      <c r="J336" t="s">
        <v>54</v>
      </c>
      <c r="K336" s="15">
        <v>730000</v>
      </c>
      <c r="L336" s="5" t="str">
        <f t="shared" si="5"/>
        <v>5  - 8</v>
      </c>
    </row>
    <row r="337" spans="3:12" hidden="1">
      <c r="C337" t="s">
        <v>31</v>
      </c>
      <c r="D337" t="s">
        <v>49</v>
      </c>
      <c r="E337">
        <v>5</v>
      </c>
      <c r="F337" t="s">
        <v>16</v>
      </c>
      <c r="G337" t="s">
        <v>59</v>
      </c>
      <c r="H337" t="s">
        <v>217</v>
      </c>
      <c r="I337" s="3" t="s">
        <v>79</v>
      </c>
      <c r="J337" t="s">
        <v>66</v>
      </c>
      <c r="K337" s="15">
        <v>900000</v>
      </c>
      <c r="L337" s="5" t="str">
        <f t="shared" si="5"/>
        <v>5  - 8</v>
      </c>
    </row>
    <row r="338" spans="3:12" hidden="1">
      <c r="C338" t="s">
        <v>31</v>
      </c>
      <c r="D338" t="s">
        <v>73</v>
      </c>
      <c r="E338">
        <v>4</v>
      </c>
      <c r="F338" t="s">
        <v>16</v>
      </c>
      <c r="G338" t="s">
        <v>59</v>
      </c>
      <c r="H338" t="s">
        <v>217</v>
      </c>
      <c r="I338" s="3" t="s">
        <v>108</v>
      </c>
      <c r="J338" t="s">
        <v>66</v>
      </c>
      <c r="K338" s="15">
        <v>700000</v>
      </c>
      <c r="L338" s="5" t="str">
        <f t="shared" si="5"/>
        <v>0 - 4</v>
      </c>
    </row>
    <row r="339" spans="3:12" hidden="1">
      <c r="C339" t="s">
        <v>31</v>
      </c>
      <c r="D339" t="s">
        <v>73</v>
      </c>
      <c r="E339">
        <v>2</v>
      </c>
      <c r="F339" t="s">
        <v>16</v>
      </c>
      <c r="G339" t="s">
        <v>51</v>
      </c>
      <c r="H339" t="s">
        <v>217</v>
      </c>
      <c r="I339" s="3" t="s">
        <v>113</v>
      </c>
      <c r="J339" t="s">
        <v>54</v>
      </c>
      <c r="K339" s="15">
        <v>590000</v>
      </c>
      <c r="L339" s="5" t="str">
        <f t="shared" si="5"/>
        <v>0 - 4</v>
      </c>
    </row>
    <row r="340" spans="3:12" hidden="1">
      <c r="C340" t="s">
        <v>30</v>
      </c>
      <c r="D340" t="s">
        <v>73</v>
      </c>
      <c r="E340">
        <v>1</v>
      </c>
      <c r="F340" t="s">
        <v>16</v>
      </c>
      <c r="G340" t="s">
        <v>57</v>
      </c>
      <c r="H340" t="s">
        <v>217</v>
      </c>
      <c r="I340" s="3" t="s">
        <v>119</v>
      </c>
      <c r="J340" t="s">
        <v>54</v>
      </c>
      <c r="K340" s="15">
        <v>630000</v>
      </c>
      <c r="L340" s="5" t="str">
        <f t="shared" si="5"/>
        <v>0 - 4</v>
      </c>
    </row>
    <row r="341" spans="3:12" hidden="1">
      <c r="C341" t="s">
        <v>31</v>
      </c>
      <c r="D341" t="s">
        <v>73</v>
      </c>
      <c r="E341">
        <v>27</v>
      </c>
      <c r="F341" t="s">
        <v>19</v>
      </c>
      <c r="G341" t="s">
        <v>51</v>
      </c>
      <c r="H341" t="s">
        <v>217</v>
      </c>
      <c r="I341" s="3" t="s">
        <v>135</v>
      </c>
      <c r="J341" t="s">
        <v>54</v>
      </c>
      <c r="K341" s="15">
        <v>840000</v>
      </c>
      <c r="L341" s="5" t="str">
        <f t="shared" si="5"/>
        <v>15 +</v>
      </c>
    </row>
    <row r="342" spans="3:12" hidden="1">
      <c r="C342" t="s">
        <v>31</v>
      </c>
      <c r="D342" t="s">
        <v>77</v>
      </c>
      <c r="E342">
        <v>12</v>
      </c>
      <c r="F342" t="s">
        <v>19</v>
      </c>
      <c r="G342" t="s">
        <v>51</v>
      </c>
      <c r="H342" t="s">
        <v>217</v>
      </c>
      <c r="I342" s="3" t="s">
        <v>229</v>
      </c>
      <c r="J342" t="s">
        <v>66</v>
      </c>
      <c r="K342" s="15">
        <v>786290</v>
      </c>
      <c r="L342" s="5" t="str">
        <f t="shared" si="5"/>
        <v>9 - 14</v>
      </c>
    </row>
    <row r="343" spans="3:12" hidden="1">
      <c r="C343" t="s">
        <v>31</v>
      </c>
      <c r="D343" t="s">
        <v>55</v>
      </c>
      <c r="E343">
        <v>12</v>
      </c>
      <c r="F343" t="s">
        <v>19</v>
      </c>
      <c r="G343" t="s">
        <v>59</v>
      </c>
      <c r="H343" t="s">
        <v>217</v>
      </c>
      <c r="I343" s="3" t="s">
        <v>122</v>
      </c>
      <c r="J343" t="s">
        <v>66</v>
      </c>
      <c r="K343" s="15">
        <v>930000</v>
      </c>
      <c r="L343" s="5" t="str">
        <f t="shared" si="5"/>
        <v>9 - 14</v>
      </c>
    </row>
    <row r="344" spans="3:12" hidden="1">
      <c r="C344" t="s">
        <v>31</v>
      </c>
      <c r="D344" t="s">
        <v>62</v>
      </c>
      <c r="E344">
        <v>19</v>
      </c>
      <c r="F344" t="s">
        <v>9</v>
      </c>
      <c r="G344" t="s">
        <v>57</v>
      </c>
      <c r="H344" t="s">
        <v>217</v>
      </c>
      <c r="I344" s="3" t="s">
        <v>72</v>
      </c>
      <c r="J344" t="s">
        <v>54</v>
      </c>
      <c r="K344" s="15">
        <v>850000</v>
      </c>
      <c r="L344" s="5" t="str">
        <f t="shared" si="5"/>
        <v>15 +</v>
      </c>
    </row>
    <row r="345" spans="3:12" hidden="1">
      <c r="C345" t="s">
        <v>31</v>
      </c>
      <c r="D345" t="s">
        <v>73</v>
      </c>
      <c r="E345">
        <v>15</v>
      </c>
      <c r="F345" t="s">
        <v>9</v>
      </c>
      <c r="G345" t="s">
        <v>51</v>
      </c>
      <c r="H345" t="s">
        <v>217</v>
      </c>
      <c r="I345" s="3" t="s">
        <v>79</v>
      </c>
      <c r="J345" t="s">
        <v>66</v>
      </c>
      <c r="K345" s="15">
        <v>900000</v>
      </c>
      <c r="L345" s="5" t="str">
        <f t="shared" si="5"/>
        <v>15 +</v>
      </c>
    </row>
    <row r="346" spans="3:12" hidden="1">
      <c r="C346" t="s">
        <v>31</v>
      </c>
      <c r="D346" t="s">
        <v>77</v>
      </c>
      <c r="E346">
        <v>4</v>
      </c>
      <c r="F346" t="s">
        <v>9</v>
      </c>
      <c r="G346" t="s">
        <v>51</v>
      </c>
      <c r="H346" t="s">
        <v>217</v>
      </c>
      <c r="I346" s="3" t="s">
        <v>167</v>
      </c>
      <c r="J346" t="s">
        <v>54</v>
      </c>
      <c r="K346" s="15">
        <v>860000</v>
      </c>
      <c r="L346" s="5" t="str">
        <f t="shared" si="5"/>
        <v>0 - 4</v>
      </c>
    </row>
    <row r="347" spans="3:12" hidden="1">
      <c r="C347" t="s">
        <v>31</v>
      </c>
      <c r="D347" t="s">
        <v>73</v>
      </c>
      <c r="E347">
        <v>3</v>
      </c>
      <c r="F347" t="s">
        <v>9</v>
      </c>
      <c r="G347" t="s">
        <v>57</v>
      </c>
      <c r="H347" t="s">
        <v>217</v>
      </c>
      <c r="I347" s="3" t="s">
        <v>230</v>
      </c>
      <c r="J347" t="s">
        <v>54</v>
      </c>
      <c r="K347" s="15">
        <v>667500</v>
      </c>
      <c r="L347" s="5" t="str">
        <f t="shared" si="5"/>
        <v>0 - 4</v>
      </c>
    </row>
    <row r="348" spans="3:12" hidden="1">
      <c r="C348" t="s">
        <v>31</v>
      </c>
      <c r="D348" t="s">
        <v>73</v>
      </c>
      <c r="E348">
        <v>1</v>
      </c>
      <c r="F348" t="s">
        <v>9</v>
      </c>
      <c r="G348" t="s">
        <v>51</v>
      </c>
      <c r="H348" t="s">
        <v>217</v>
      </c>
      <c r="I348" s="3" t="s">
        <v>206</v>
      </c>
      <c r="J348" t="s">
        <v>54</v>
      </c>
      <c r="K348" s="15">
        <v>540000</v>
      </c>
      <c r="L348" s="5" t="str">
        <f t="shared" si="5"/>
        <v>0 - 4</v>
      </c>
    </row>
    <row r="349" spans="3:12" hidden="1">
      <c r="C349" t="s">
        <v>31</v>
      </c>
      <c r="D349" t="s">
        <v>73</v>
      </c>
      <c r="E349">
        <v>1</v>
      </c>
      <c r="F349" t="s">
        <v>9</v>
      </c>
      <c r="G349" t="s">
        <v>57</v>
      </c>
      <c r="H349" t="s">
        <v>217</v>
      </c>
      <c r="I349" s="3" t="s">
        <v>85</v>
      </c>
      <c r="J349" t="s">
        <v>54</v>
      </c>
      <c r="K349" s="15">
        <v>650000</v>
      </c>
      <c r="L349" s="5" t="str">
        <f t="shared" si="5"/>
        <v>0 - 4</v>
      </c>
    </row>
    <row r="350" spans="3:12" hidden="1">
      <c r="C350" t="s">
        <v>31</v>
      </c>
      <c r="D350" t="s">
        <v>88</v>
      </c>
      <c r="E350">
        <v>39</v>
      </c>
      <c r="F350" t="s">
        <v>10</v>
      </c>
      <c r="G350" t="s">
        <v>51</v>
      </c>
      <c r="H350" t="s">
        <v>217</v>
      </c>
      <c r="I350" s="36" t="s">
        <v>106</v>
      </c>
      <c r="J350" t="s">
        <v>54</v>
      </c>
      <c r="K350" s="15">
        <v>1100000</v>
      </c>
      <c r="L350" s="5" t="str">
        <f t="shared" si="5"/>
        <v>15 +</v>
      </c>
    </row>
    <row r="351" spans="3:12" hidden="1">
      <c r="C351" t="s">
        <v>31</v>
      </c>
      <c r="D351" t="s">
        <v>56</v>
      </c>
      <c r="E351">
        <v>30</v>
      </c>
      <c r="F351" t="s">
        <v>10</v>
      </c>
      <c r="G351" t="s">
        <v>51</v>
      </c>
      <c r="H351" t="s">
        <v>217</v>
      </c>
      <c r="I351" s="36" t="s">
        <v>106</v>
      </c>
      <c r="J351" t="s">
        <v>54</v>
      </c>
      <c r="K351" s="15">
        <v>1100000</v>
      </c>
      <c r="L351" s="5" t="str">
        <f t="shared" si="5"/>
        <v>15 +</v>
      </c>
    </row>
    <row r="352" spans="3:12" hidden="1">
      <c r="C352" t="s">
        <v>31</v>
      </c>
      <c r="D352" t="s">
        <v>73</v>
      </c>
      <c r="E352">
        <v>30</v>
      </c>
      <c r="F352" t="s">
        <v>10</v>
      </c>
      <c r="G352" t="s">
        <v>51</v>
      </c>
      <c r="H352" t="s">
        <v>217</v>
      </c>
      <c r="I352" s="36" t="s">
        <v>104</v>
      </c>
      <c r="J352" t="s">
        <v>54</v>
      </c>
      <c r="K352" s="15">
        <v>1300000</v>
      </c>
      <c r="L352" s="5" t="str">
        <f t="shared" si="5"/>
        <v>15 +</v>
      </c>
    </row>
    <row r="353" spans="3:12" hidden="1">
      <c r="C353" t="s">
        <v>31</v>
      </c>
      <c r="D353" t="s">
        <v>73</v>
      </c>
      <c r="E353">
        <v>29</v>
      </c>
      <c r="F353" t="s">
        <v>10</v>
      </c>
      <c r="G353" t="s">
        <v>59</v>
      </c>
      <c r="H353" t="s">
        <v>217</v>
      </c>
      <c r="I353" s="36" t="s">
        <v>79</v>
      </c>
      <c r="J353" t="s">
        <v>66</v>
      </c>
      <c r="K353" s="15">
        <v>900000</v>
      </c>
      <c r="L353" s="5" t="str">
        <f t="shared" si="5"/>
        <v>15 +</v>
      </c>
    </row>
    <row r="354" spans="3:12" hidden="1">
      <c r="C354" t="s">
        <v>31</v>
      </c>
      <c r="D354" t="s">
        <v>55</v>
      </c>
      <c r="E354">
        <v>28</v>
      </c>
      <c r="F354" t="s">
        <v>10</v>
      </c>
      <c r="G354" t="s">
        <v>51</v>
      </c>
      <c r="H354" t="s">
        <v>217</v>
      </c>
      <c r="I354" s="36" t="s">
        <v>231</v>
      </c>
      <c r="J354" t="s">
        <v>54</v>
      </c>
      <c r="K354" s="15">
        <v>917000</v>
      </c>
      <c r="L354" s="5" t="str">
        <f t="shared" si="5"/>
        <v>15 +</v>
      </c>
    </row>
    <row r="355" spans="3:12" hidden="1">
      <c r="C355" t="s">
        <v>31</v>
      </c>
      <c r="D355" t="s">
        <v>49</v>
      </c>
      <c r="E355">
        <v>28</v>
      </c>
      <c r="F355" t="s">
        <v>10</v>
      </c>
      <c r="G355" t="s">
        <v>51</v>
      </c>
      <c r="H355" t="s">
        <v>217</v>
      </c>
      <c r="I355" s="36" t="s">
        <v>61</v>
      </c>
      <c r="J355" t="s">
        <v>54</v>
      </c>
      <c r="K355" s="15">
        <v>1200000</v>
      </c>
      <c r="L355" s="5" t="str">
        <f t="shared" si="5"/>
        <v>15 +</v>
      </c>
    </row>
    <row r="356" spans="3:12" hidden="1">
      <c r="C356" t="s">
        <v>31</v>
      </c>
      <c r="D356" t="s">
        <v>121</v>
      </c>
      <c r="E356">
        <v>27</v>
      </c>
      <c r="F356" t="s">
        <v>10</v>
      </c>
      <c r="G356" t="s">
        <v>59</v>
      </c>
      <c r="H356" t="s">
        <v>217</v>
      </c>
      <c r="I356" s="36" t="s">
        <v>61</v>
      </c>
      <c r="J356" t="s">
        <v>66</v>
      </c>
      <c r="K356" s="15">
        <v>1200000</v>
      </c>
      <c r="L356" s="5" t="str">
        <f t="shared" si="5"/>
        <v>15 +</v>
      </c>
    </row>
    <row r="357" spans="3:12" hidden="1">
      <c r="C357" t="s">
        <v>31</v>
      </c>
      <c r="D357" t="s">
        <v>55</v>
      </c>
      <c r="E357">
        <v>27</v>
      </c>
      <c r="F357" t="s">
        <v>10</v>
      </c>
      <c r="G357" t="s">
        <v>127</v>
      </c>
      <c r="H357" t="s">
        <v>217</v>
      </c>
      <c r="I357" s="36" t="s">
        <v>104</v>
      </c>
      <c r="J357" t="s">
        <v>54</v>
      </c>
      <c r="K357" s="15">
        <v>1300000</v>
      </c>
      <c r="L357" s="5" t="str">
        <f t="shared" si="5"/>
        <v>15 +</v>
      </c>
    </row>
    <row r="358" spans="3:12" hidden="1">
      <c r="C358" t="s">
        <v>31</v>
      </c>
      <c r="D358" t="s">
        <v>56</v>
      </c>
      <c r="E358">
        <v>26</v>
      </c>
      <c r="F358" t="s">
        <v>10</v>
      </c>
      <c r="G358" t="s">
        <v>57</v>
      </c>
      <c r="H358" t="s">
        <v>217</v>
      </c>
      <c r="I358" s="36" t="s">
        <v>68</v>
      </c>
      <c r="J358" t="s">
        <v>54</v>
      </c>
      <c r="K358" s="15">
        <v>980000</v>
      </c>
      <c r="L358" s="5" t="str">
        <f t="shared" si="5"/>
        <v>15 +</v>
      </c>
    </row>
    <row r="359" spans="3:12" hidden="1">
      <c r="C359" t="s">
        <v>31</v>
      </c>
      <c r="D359" t="s">
        <v>55</v>
      </c>
      <c r="E359">
        <v>26</v>
      </c>
      <c r="F359" t="s">
        <v>10</v>
      </c>
      <c r="G359" t="s">
        <v>59</v>
      </c>
      <c r="H359" t="s">
        <v>217</v>
      </c>
      <c r="I359" s="36" t="s">
        <v>232</v>
      </c>
      <c r="J359" t="s">
        <v>54</v>
      </c>
      <c r="K359" s="15">
        <v>1630000</v>
      </c>
      <c r="L359" s="5" t="str">
        <f t="shared" si="5"/>
        <v>15 +</v>
      </c>
    </row>
    <row r="360" spans="3:12" hidden="1">
      <c r="C360" t="s">
        <v>31</v>
      </c>
      <c r="D360" t="s">
        <v>73</v>
      </c>
      <c r="E360">
        <v>25</v>
      </c>
      <c r="F360" t="s">
        <v>10</v>
      </c>
      <c r="G360" t="s">
        <v>51</v>
      </c>
      <c r="H360" t="s">
        <v>217</v>
      </c>
      <c r="I360" s="36" t="s">
        <v>233</v>
      </c>
      <c r="J360" t="s">
        <v>54</v>
      </c>
      <c r="K360" s="15">
        <v>830000</v>
      </c>
      <c r="L360" s="5" t="str">
        <f t="shared" si="5"/>
        <v>15 +</v>
      </c>
    </row>
    <row r="361" spans="3:12" hidden="1">
      <c r="C361" t="s">
        <v>31</v>
      </c>
      <c r="D361" t="s">
        <v>73</v>
      </c>
      <c r="E361">
        <v>25</v>
      </c>
      <c r="F361" t="s">
        <v>10</v>
      </c>
      <c r="G361" t="s">
        <v>59</v>
      </c>
      <c r="H361" t="s">
        <v>217</v>
      </c>
      <c r="I361" s="36" t="s">
        <v>173</v>
      </c>
      <c r="J361" t="s">
        <v>54</v>
      </c>
      <c r="K361" s="15">
        <v>1250000</v>
      </c>
      <c r="L361" s="5" t="str">
        <f t="shared" si="5"/>
        <v>15 +</v>
      </c>
    </row>
    <row r="362" spans="3:12" hidden="1">
      <c r="C362" t="s">
        <v>31</v>
      </c>
      <c r="D362" t="s">
        <v>55</v>
      </c>
      <c r="E362">
        <v>25</v>
      </c>
      <c r="F362" t="s">
        <v>10</v>
      </c>
      <c r="G362" t="s">
        <v>59</v>
      </c>
      <c r="H362" t="s">
        <v>217</v>
      </c>
      <c r="I362" s="36" t="s">
        <v>196</v>
      </c>
      <c r="J362" t="s">
        <v>66</v>
      </c>
      <c r="K362" s="15">
        <v>1700000</v>
      </c>
      <c r="L362" s="5" t="str">
        <f t="shared" si="5"/>
        <v>15 +</v>
      </c>
    </row>
    <row r="363" spans="3:12" hidden="1">
      <c r="C363" t="s">
        <v>31</v>
      </c>
      <c r="D363" t="s">
        <v>73</v>
      </c>
      <c r="E363">
        <v>24</v>
      </c>
      <c r="F363" t="s">
        <v>10</v>
      </c>
      <c r="G363" t="s">
        <v>51</v>
      </c>
      <c r="H363" t="s">
        <v>217</v>
      </c>
      <c r="I363" s="36" t="s">
        <v>148</v>
      </c>
      <c r="J363" t="s">
        <v>54</v>
      </c>
      <c r="K363" s="15">
        <v>1050000</v>
      </c>
      <c r="L363" s="5" t="str">
        <f t="shared" si="5"/>
        <v>15 +</v>
      </c>
    </row>
    <row r="364" spans="3:12" hidden="1">
      <c r="C364" t="s">
        <v>31</v>
      </c>
      <c r="D364" t="s">
        <v>55</v>
      </c>
      <c r="E364">
        <v>24</v>
      </c>
      <c r="F364" t="s">
        <v>10</v>
      </c>
      <c r="G364" t="s">
        <v>57</v>
      </c>
      <c r="H364" t="s">
        <v>217</v>
      </c>
      <c r="I364" s="36" t="s">
        <v>148</v>
      </c>
      <c r="J364" t="s">
        <v>54</v>
      </c>
      <c r="K364" s="15">
        <v>1050000</v>
      </c>
      <c r="L364" s="5" t="str">
        <f t="shared" si="5"/>
        <v>15 +</v>
      </c>
    </row>
    <row r="365" spans="3:12" hidden="1">
      <c r="C365" t="s">
        <v>31</v>
      </c>
      <c r="D365" t="s">
        <v>49</v>
      </c>
      <c r="E365">
        <v>24</v>
      </c>
      <c r="F365" t="s">
        <v>10</v>
      </c>
      <c r="G365" t="s">
        <v>59</v>
      </c>
      <c r="H365" t="s">
        <v>217</v>
      </c>
      <c r="I365" s="36" t="s">
        <v>196</v>
      </c>
      <c r="J365" t="s">
        <v>54</v>
      </c>
      <c r="K365" s="15">
        <v>1700000</v>
      </c>
      <c r="L365" s="5" t="str">
        <f t="shared" si="5"/>
        <v>15 +</v>
      </c>
    </row>
    <row r="366" spans="3:12" hidden="1">
      <c r="C366" t="s">
        <v>31</v>
      </c>
      <c r="D366" t="s">
        <v>56</v>
      </c>
      <c r="E366">
        <v>23</v>
      </c>
      <c r="F366" t="s">
        <v>10</v>
      </c>
      <c r="G366" t="s">
        <v>51</v>
      </c>
      <c r="H366" t="s">
        <v>217</v>
      </c>
      <c r="I366" s="36" t="s">
        <v>167</v>
      </c>
      <c r="J366" t="s">
        <v>54</v>
      </c>
      <c r="K366" s="15">
        <v>860000</v>
      </c>
      <c r="L366" s="5" t="str">
        <f t="shared" si="5"/>
        <v>15 +</v>
      </c>
    </row>
    <row r="367" spans="3:12" hidden="1">
      <c r="C367" t="s">
        <v>31</v>
      </c>
      <c r="D367" t="s">
        <v>73</v>
      </c>
      <c r="E367">
        <v>23</v>
      </c>
      <c r="F367" t="s">
        <v>10</v>
      </c>
      <c r="G367" t="s">
        <v>51</v>
      </c>
      <c r="H367" t="s">
        <v>217</v>
      </c>
      <c r="I367" s="36" t="s">
        <v>144</v>
      </c>
      <c r="J367" t="s">
        <v>54</v>
      </c>
      <c r="K367" s="15">
        <v>970000</v>
      </c>
      <c r="L367" s="5" t="str">
        <f t="shared" si="5"/>
        <v>15 +</v>
      </c>
    </row>
    <row r="368" spans="3:12" hidden="1">
      <c r="C368" t="s">
        <v>31</v>
      </c>
      <c r="D368" t="s">
        <v>73</v>
      </c>
      <c r="E368">
        <v>23</v>
      </c>
      <c r="F368" t="s">
        <v>10</v>
      </c>
      <c r="G368" t="s">
        <v>51</v>
      </c>
      <c r="H368" t="s">
        <v>217</v>
      </c>
      <c r="I368" s="36" t="s">
        <v>104</v>
      </c>
      <c r="J368" t="s">
        <v>66</v>
      </c>
      <c r="K368" s="15">
        <v>1300000</v>
      </c>
      <c r="L368" s="5" t="str">
        <f t="shared" si="5"/>
        <v>15 +</v>
      </c>
    </row>
    <row r="369" spans="3:12" hidden="1">
      <c r="C369" t="s">
        <v>31</v>
      </c>
      <c r="D369" t="s">
        <v>73</v>
      </c>
      <c r="E369">
        <v>23</v>
      </c>
      <c r="F369" t="s">
        <v>10</v>
      </c>
      <c r="G369" t="s">
        <v>127</v>
      </c>
      <c r="H369" t="s">
        <v>217</v>
      </c>
      <c r="I369" s="36" t="s">
        <v>195</v>
      </c>
      <c r="J369" t="s">
        <v>54</v>
      </c>
      <c r="K369" s="15">
        <v>2000000</v>
      </c>
      <c r="L369" s="5" t="str">
        <f t="shared" si="5"/>
        <v>15 +</v>
      </c>
    </row>
    <row r="370" spans="3:12" hidden="1">
      <c r="C370" t="s">
        <v>31</v>
      </c>
      <c r="D370" t="s">
        <v>55</v>
      </c>
      <c r="E370">
        <v>22</v>
      </c>
      <c r="F370" t="s">
        <v>10</v>
      </c>
      <c r="G370" t="s">
        <v>59</v>
      </c>
      <c r="H370" t="s">
        <v>217</v>
      </c>
      <c r="I370" s="36" t="s">
        <v>129</v>
      </c>
      <c r="J370" t="s">
        <v>54</v>
      </c>
      <c r="K370" s="15">
        <v>1150000</v>
      </c>
      <c r="L370" s="5" t="str">
        <f t="shared" si="5"/>
        <v>15 +</v>
      </c>
    </row>
    <row r="371" spans="3:12" hidden="1">
      <c r="C371" t="s">
        <v>31</v>
      </c>
      <c r="D371" t="s">
        <v>73</v>
      </c>
      <c r="E371">
        <v>21</v>
      </c>
      <c r="F371" t="s">
        <v>10</v>
      </c>
      <c r="G371" t="s">
        <v>57</v>
      </c>
      <c r="H371" t="s">
        <v>217</v>
      </c>
      <c r="I371" s="36" t="s">
        <v>211</v>
      </c>
      <c r="J371" t="s">
        <v>54</v>
      </c>
      <c r="K371" s="15">
        <v>1060000</v>
      </c>
      <c r="L371" s="5" t="str">
        <f t="shared" si="5"/>
        <v>15 +</v>
      </c>
    </row>
    <row r="372" spans="3:12" hidden="1">
      <c r="C372" t="s">
        <v>31</v>
      </c>
      <c r="D372" t="s">
        <v>56</v>
      </c>
      <c r="E372">
        <v>20</v>
      </c>
      <c r="F372" t="s">
        <v>10</v>
      </c>
      <c r="G372" t="s">
        <v>51</v>
      </c>
      <c r="H372" t="s">
        <v>217</v>
      </c>
      <c r="I372" s="36" t="s">
        <v>71</v>
      </c>
      <c r="J372" t="s">
        <v>54</v>
      </c>
      <c r="K372" s="15">
        <v>820000</v>
      </c>
      <c r="L372" s="5" t="str">
        <f t="shared" si="5"/>
        <v>15 +</v>
      </c>
    </row>
    <row r="373" spans="3:12" hidden="1">
      <c r="C373" t="s">
        <v>31</v>
      </c>
      <c r="D373" t="s">
        <v>49</v>
      </c>
      <c r="E373">
        <v>20</v>
      </c>
      <c r="F373" t="s">
        <v>10</v>
      </c>
      <c r="G373" t="s">
        <v>59</v>
      </c>
      <c r="H373" t="s">
        <v>217</v>
      </c>
      <c r="I373" s="36" t="s">
        <v>110</v>
      </c>
      <c r="J373" t="s">
        <v>66</v>
      </c>
      <c r="K373" s="15">
        <v>1000000</v>
      </c>
      <c r="L373" s="5" t="str">
        <f t="shared" si="5"/>
        <v>15 +</v>
      </c>
    </row>
    <row r="374" spans="3:12" hidden="1">
      <c r="C374" t="s">
        <v>31</v>
      </c>
      <c r="D374" t="s">
        <v>55</v>
      </c>
      <c r="E374">
        <v>20</v>
      </c>
      <c r="F374" t="s">
        <v>10</v>
      </c>
      <c r="G374" t="s">
        <v>51</v>
      </c>
      <c r="H374" t="s">
        <v>217</v>
      </c>
      <c r="I374" s="36" t="s">
        <v>192</v>
      </c>
      <c r="J374" t="s">
        <v>66</v>
      </c>
      <c r="K374" s="15">
        <v>1600000</v>
      </c>
      <c r="L374" s="5" t="str">
        <f t="shared" si="5"/>
        <v>15 +</v>
      </c>
    </row>
    <row r="375" spans="3:12" hidden="1">
      <c r="C375" t="s">
        <v>31</v>
      </c>
      <c r="D375" t="s">
        <v>50</v>
      </c>
      <c r="E375">
        <v>19</v>
      </c>
      <c r="F375" t="s">
        <v>10</v>
      </c>
      <c r="G375" t="s">
        <v>57</v>
      </c>
      <c r="H375" t="s">
        <v>217</v>
      </c>
      <c r="I375" s="36" t="s">
        <v>234</v>
      </c>
      <c r="J375" t="s">
        <v>54</v>
      </c>
      <c r="K375" s="15">
        <v>905000</v>
      </c>
      <c r="L375" s="5" t="str">
        <f t="shared" si="5"/>
        <v>15 +</v>
      </c>
    </row>
    <row r="376" spans="3:12" hidden="1">
      <c r="C376" t="s">
        <v>31</v>
      </c>
      <c r="D376" t="s">
        <v>55</v>
      </c>
      <c r="E376">
        <v>19</v>
      </c>
      <c r="F376" t="s">
        <v>10</v>
      </c>
      <c r="G376" t="s">
        <v>57</v>
      </c>
      <c r="H376" t="s">
        <v>217</v>
      </c>
      <c r="I376" s="36" t="s">
        <v>235</v>
      </c>
      <c r="J376" t="s">
        <v>54</v>
      </c>
      <c r="K376" s="15">
        <v>1020000</v>
      </c>
      <c r="L376" s="5" t="str">
        <f t="shared" si="5"/>
        <v>15 +</v>
      </c>
    </row>
    <row r="377" spans="3:12" hidden="1">
      <c r="C377" t="s">
        <v>31</v>
      </c>
      <c r="D377" t="s">
        <v>55</v>
      </c>
      <c r="E377">
        <v>19</v>
      </c>
      <c r="F377" t="s">
        <v>10</v>
      </c>
      <c r="G377" t="s">
        <v>59</v>
      </c>
      <c r="H377" t="s">
        <v>217</v>
      </c>
      <c r="I377" s="36" t="s">
        <v>61</v>
      </c>
      <c r="J377" t="s">
        <v>66</v>
      </c>
      <c r="K377" s="15">
        <v>1200000</v>
      </c>
      <c r="L377" s="5" t="str">
        <f t="shared" si="5"/>
        <v>15 +</v>
      </c>
    </row>
    <row r="378" spans="3:12" hidden="1">
      <c r="C378" t="s">
        <v>31</v>
      </c>
      <c r="D378" t="s">
        <v>95</v>
      </c>
      <c r="E378">
        <v>19</v>
      </c>
      <c r="F378" t="s">
        <v>10</v>
      </c>
      <c r="G378" t="s">
        <v>59</v>
      </c>
      <c r="H378" t="s">
        <v>217</v>
      </c>
      <c r="I378" s="36" t="s">
        <v>192</v>
      </c>
      <c r="J378" t="s">
        <v>66</v>
      </c>
      <c r="K378" s="15">
        <v>1600000</v>
      </c>
      <c r="L378" s="5" t="str">
        <f t="shared" si="5"/>
        <v>15 +</v>
      </c>
    </row>
    <row r="379" spans="3:12" hidden="1">
      <c r="C379" t="s">
        <v>31</v>
      </c>
      <c r="D379" t="s">
        <v>55</v>
      </c>
      <c r="E379">
        <v>18</v>
      </c>
      <c r="F379" t="s">
        <v>10</v>
      </c>
      <c r="G379" t="s">
        <v>51</v>
      </c>
      <c r="H379" t="s">
        <v>217</v>
      </c>
      <c r="I379" s="36" t="s">
        <v>61</v>
      </c>
      <c r="J379" t="s">
        <v>54</v>
      </c>
      <c r="K379" s="15">
        <v>1200000</v>
      </c>
      <c r="L379" s="5" t="str">
        <f t="shared" si="5"/>
        <v>15 +</v>
      </c>
    </row>
    <row r="380" spans="3:12" hidden="1">
      <c r="C380" t="s">
        <v>31</v>
      </c>
      <c r="D380" t="s">
        <v>73</v>
      </c>
      <c r="E380">
        <v>18</v>
      </c>
      <c r="F380" t="s">
        <v>10</v>
      </c>
      <c r="G380" t="s">
        <v>59</v>
      </c>
      <c r="H380" t="s">
        <v>217</v>
      </c>
      <c r="I380" s="36" t="s">
        <v>61</v>
      </c>
      <c r="J380" t="s">
        <v>66</v>
      </c>
      <c r="K380" s="15">
        <v>1200000</v>
      </c>
      <c r="L380" s="5" t="str">
        <f t="shared" si="5"/>
        <v>15 +</v>
      </c>
    </row>
    <row r="381" spans="3:12" hidden="1">
      <c r="C381" t="s">
        <v>31</v>
      </c>
      <c r="D381" t="s">
        <v>105</v>
      </c>
      <c r="E381">
        <v>18</v>
      </c>
      <c r="F381" t="s">
        <v>10</v>
      </c>
      <c r="G381" t="s">
        <v>51</v>
      </c>
      <c r="H381" t="s">
        <v>217</v>
      </c>
      <c r="I381" s="36" t="s">
        <v>61</v>
      </c>
      <c r="J381" t="s">
        <v>54</v>
      </c>
      <c r="K381" s="15">
        <v>1200000</v>
      </c>
      <c r="L381" s="5" t="str">
        <f t="shared" si="5"/>
        <v>15 +</v>
      </c>
    </row>
    <row r="382" spans="3:12" hidden="1">
      <c r="C382" t="s">
        <v>31</v>
      </c>
      <c r="D382" t="s">
        <v>55</v>
      </c>
      <c r="E382">
        <v>18</v>
      </c>
      <c r="F382" t="s">
        <v>10</v>
      </c>
      <c r="G382" t="s">
        <v>51</v>
      </c>
      <c r="H382" t="s">
        <v>217</v>
      </c>
      <c r="I382" s="36" t="s">
        <v>179</v>
      </c>
      <c r="J382" t="s">
        <v>54</v>
      </c>
      <c r="K382" s="15">
        <v>1230000</v>
      </c>
      <c r="L382" s="5" t="str">
        <f t="shared" si="5"/>
        <v>15 +</v>
      </c>
    </row>
    <row r="383" spans="3:12" hidden="1">
      <c r="C383" t="s">
        <v>31</v>
      </c>
      <c r="D383" t="s">
        <v>73</v>
      </c>
      <c r="E383">
        <v>18</v>
      </c>
      <c r="F383" t="s">
        <v>10</v>
      </c>
      <c r="G383" t="s">
        <v>51</v>
      </c>
      <c r="H383" t="s">
        <v>217</v>
      </c>
      <c r="I383" s="36" t="s">
        <v>104</v>
      </c>
      <c r="J383" t="s">
        <v>54</v>
      </c>
      <c r="K383" s="15">
        <v>1300000</v>
      </c>
      <c r="L383" s="5" t="str">
        <f t="shared" si="5"/>
        <v>15 +</v>
      </c>
    </row>
    <row r="384" spans="3:12" hidden="1">
      <c r="C384" t="s">
        <v>30</v>
      </c>
      <c r="D384" t="s">
        <v>55</v>
      </c>
      <c r="E384">
        <v>17</v>
      </c>
      <c r="F384" t="s">
        <v>10</v>
      </c>
      <c r="G384" t="s">
        <v>59</v>
      </c>
      <c r="H384" t="s">
        <v>217</v>
      </c>
      <c r="I384" s="36" t="s">
        <v>193</v>
      </c>
      <c r="J384" t="s">
        <v>66</v>
      </c>
      <c r="K384" s="15">
        <v>990000</v>
      </c>
      <c r="L384" s="5" t="str">
        <f t="shared" si="5"/>
        <v>15 +</v>
      </c>
    </row>
    <row r="385" spans="3:12" hidden="1">
      <c r="C385" t="s">
        <v>31</v>
      </c>
      <c r="D385" t="s">
        <v>73</v>
      </c>
      <c r="E385">
        <v>17</v>
      </c>
      <c r="F385" t="s">
        <v>10</v>
      </c>
      <c r="G385" t="s">
        <v>59</v>
      </c>
      <c r="H385" t="s">
        <v>217</v>
      </c>
      <c r="I385" s="36" t="s">
        <v>236</v>
      </c>
      <c r="J385" t="s">
        <v>54</v>
      </c>
      <c r="K385" s="15">
        <v>1190000</v>
      </c>
      <c r="L385" s="5" t="str">
        <f t="shared" si="5"/>
        <v>15 +</v>
      </c>
    </row>
    <row r="386" spans="3:12" hidden="1">
      <c r="C386" t="s">
        <v>31</v>
      </c>
      <c r="D386" t="s">
        <v>77</v>
      </c>
      <c r="E386">
        <v>17</v>
      </c>
      <c r="F386" t="s">
        <v>10</v>
      </c>
      <c r="G386" t="s">
        <v>59</v>
      </c>
      <c r="H386" t="s">
        <v>217</v>
      </c>
      <c r="I386" s="36" t="s">
        <v>61</v>
      </c>
      <c r="J386" t="s">
        <v>66</v>
      </c>
      <c r="K386" s="15">
        <v>1200000</v>
      </c>
      <c r="L386" s="5" t="str">
        <f t="shared" si="5"/>
        <v>15 +</v>
      </c>
    </row>
    <row r="387" spans="3:12" hidden="1">
      <c r="C387" t="s">
        <v>31</v>
      </c>
      <c r="D387" t="s">
        <v>67</v>
      </c>
      <c r="E387">
        <v>17</v>
      </c>
      <c r="F387" t="s">
        <v>10</v>
      </c>
      <c r="G387" t="s">
        <v>51</v>
      </c>
      <c r="H387" t="s">
        <v>217</v>
      </c>
      <c r="I387" s="36" t="s">
        <v>237</v>
      </c>
      <c r="J387" t="s">
        <v>54</v>
      </c>
      <c r="K387" s="15">
        <v>1260000</v>
      </c>
      <c r="L387" s="5" t="str">
        <f t="shared" ref="L387:L450" si="6">_xlfn.XLOOKUP(E387,$P$2:$P$5,$O$2:$O$5,,1)</f>
        <v>15 +</v>
      </c>
    </row>
    <row r="388" spans="3:12" hidden="1">
      <c r="C388" t="s">
        <v>31</v>
      </c>
      <c r="D388" t="s">
        <v>49</v>
      </c>
      <c r="E388">
        <v>17</v>
      </c>
      <c r="F388" t="s">
        <v>10</v>
      </c>
      <c r="G388" t="s">
        <v>59</v>
      </c>
      <c r="H388" t="s">
        <v>217</v>
      </c>
      <c r="I388" s="36" t="s">
        <v>104</v>
      </c>
      <c r="J388" t="s">
        <v>66</v>
      </c>
      <c r="K388" s="15">
        <v>1300000</v>
      </c>
      <c r="L388" s="5" t="str">
        <f t="shared" si="6"/>
        <v>15 +</v>
      </c>
    </row>
    <row r="389" spans="3:12" hidden="1">
      <c r="C389" t="s">
        <v>31</v>
      </c>
      <c r="D389" t="s">
        <v>55</v>
      </c>
      <c r="E389">
        <v>17</v>
      </c>
      <c r="F389" t="s">
        <v>10</v>
      </c>
      <c r="G389" t="s">
        <v>59</v>
      </c>
      <c r="H389" t="s">
        <v>217</v>
      </c>
      <c r="I389" s="36" t="s">
        <v>184</v>
      </c>
      <c r="J389" t="s">
        <v>54</v>
      </c>
      <c r="K389" s="15">
        <v>1350000</v>
      </c>
      <c r="L389" s="5" t="str">
        <f t="shared" si="6"/>
        <v>15 +</v>
      </c>
    </row>
    <row r="390" spans="3:12" hidden="1">
      <c r="C390" t="s">
        <v>31</v>
      </c>
      <c r="D390" t="s">
        <v>73</v>
      </c>
      <c r="E390">
        <v>17</v>
      </c>
      <c r="F390" t="s">
        <v>10</v>
      </c>
      <c r="G390" t="s">
        <v>51</v>
      </c>
      <c r="H390" t="s">
        <v>217</v>
      </c>
      <c r="I390" s="36" t="s">
        <v>175</v>
      </c>
      <c r="J390" t="s">
        <v>54</v>
      </c>
      <c r="K390" s="15">
        <v>1400000</v>
      </c>
      <c r="L390" s="5" t="str">
        <f t="shared" si="6"/>
        <v>15 +</v>
      </c>
    </row>
    <row r="391" spans="3:12" hidden="1">
      <c r="C391" t="s">
        <v>31</v>
      </c>
      <c r="D391" t="s">
        <v>55</v>
      </c>
      <c r="E391">
        <v>17</v>
      </c>
      <c r="F391" t="s">
        <v>10</v>
      </c>
      <c r="G391" t="s">
        <v>59</v>
      </c>
      <c r="H391" t="s">
        <v>217</v>
      </c>
      <c r="I391" s="36" t="s">
        <v>175</v>
      </c>
      <c r="J391" t="s">
        <v>54</v>
      </c>
      <c r="K391" s="15">
        <v>1400000</v>
      </c>
      <c r="L391" s="5" t="str">
        <f t="shared" si="6"/>
        <v>15 +</v>
      </c>
    </row>
    <row r="392" spans="3:12" hidden="1">
      <c r="C392" t="s">
        <v>30</v>
      </c>
      <c r="D392" t="s">
        <v>73</v>
      </c>
      <c r="E392">
        <v>16</v>
      </c>
      <c r="F392" t="s">
        <v>10</v>
      </c>
      <c r="G392" t="s">
        <v>51</v>
      </c>
      <c r="H392" t="s">
        <v>217</v>
      </c>
      <c r="I392" s="36" t="s">
        <v>110</v>
      </c>
      <c r="J392" t="s">
        <v>54</v>
      </c>
      <c r="K392" s="15">
        <v>1000000</v>
      </c>
      <c r="L392" s="5" t="str">
        <f t="shared" si="6"/>
        <v>15 +</v>
      </c>
    </row>
    <row r="393" spans="3:12" hidden="1">
      <c r="C393" t="s">
        <v>31</v>
      </c>
      <c r="D393" t="s">
        <v>77</v>
      </c>
      <c r="E393">
        <v>16</v>
      </c>
      <c r="F393" t="s">
        <v>10</v>
      </c>
      <c r="G393" t="s">
        <v>51</v>
      </c>
      <c r="H393" t="s">
        <v>217</v>
      </c>
      <c r="I393" s="36" t="s">
        <v>110</v>
      </c>
      <c r="J393" t="s">
        <v>54</v>
      </c>
      <c r="K393" s="15">
        <v>1000000</v>
      </c>
      <c r="L393" s="5" t="str">
        <f t="shared" si="6"/>
        <v>15 +</v>
      </c>
    </row>
    <row r="394" spans="3:12" hidden="1">
      <c r="C394" t="s">
        <v>31</v>
      </c>
      <c r="D394" t="s">
        <v>63</v>
      </c>
      <c r="E394">
        <v>16</v>
      </c>
      <c r="F394" t="s">
        <v>10</v>
      </c>
      <c r="G394" t="s">
        <v>59</v>
      </c>
      <c r="H394" t="s">
        <v>217</v>
      </c>
      <c r="I394" s="36" t="s">
        <v>182</v>
      </c>
      <c r="J394" t="s">
        <v>54</v>
      </c>
      <c r="K394" s="15">
        <v>1450000</v>
      </c>
      <c r="L394" s="5" t="str">
        <f t="shared" si="6"/>
        <v>15 +</v>
      </c>
    </row>
    <row r="395" spans="3:12" hidden="1">
      <c r="C395" t="s">
        <v>31</v>
      </c>
      <c r="D395" t="s">
        <v>132</v>
      </c>
      <c r="E395">
        <v>15</v>
      </c>
      <c r="F395" t="s">
        <v>10</v>
      </c>
      <c r="G395" t="s">
        <v>57</v>
      </c>
      <c r="H395" t="s">
        <v>217</v>
      </c>
      <c r="I395" s="36" t="s">
        <v>238</v>
      </c>
      <c r="J395" t="s">
        <v>54</v>
      </c>
      <c r="K395" s="15">
        <v>1000108</v>
      </c>
      <c r="L395" s="5" t="str">
        <f t="shared" si="6"/>
        <v>15 +</v>
      </c>
    </row>
    <row r="396" spans="3:12" hidden="1">
      <c r="C396" t="s">
        <v>31</v>
      </c>
      <c r="D396" t="s">
        <v>63</v>
      </c>
      <c r="E396">
        <v>15</v>
      </c>
      <c r="F396" t="s">
        <v>10</v>
      </c>
      <c r="G396" t="s">
        <v>127</v>
      </c>
      <c r="H396" t="s">
        <v>217</v>
      </c>
      <c r="I396" s="36" t="s">
        <v>175</v>
      </c>
      <c r="J396" t="s">
        <v>54</v>
      </c>
      <c r="K396" s="15">
        <v>1400000</v>
      </c>
      <c r="L396" s="5" t="str">
        <f t="shared" si="6"/>
        <v>15 +</v>
      </c>
    </row>
    <row r="397" spans="3:12" hidden="1">
      <c r="C397" t="s">
        <v>30</v>
      </c>
      <c r="D397" t="s">
        <v>49</v>
      </c>
      <c r="E397">
        <v>14</v>
      </c>
      <c r="F397" t="s">
        <v>10</v>
      </c>
      <c r="G397" t="s">
        <v>59</v>
      </c>
      <c r="H397" t="s">
        <v>217</v>
      </c>
      <c r="I397" s="3" t="s">
        <v>133</v>
      </c>
      <c r="J397" t="s">
        <v>54</v>
      </c>
      <c r="K397" s="15">
        <v>960000</v>
      </c>
      <c r="L397" s="5" t="str">
        <f t="shared" si="6"/>
        <v>9 - 14</v>
      </c>
    </row>
    <row r="398" spans="3:12" hidden="1">
      <c r="C398" t="s">
        <v>30</v>
      </c>
      <c r="D398" t="s">
        <v>73</v>
      </c>
      <c r="E398">
        <v>14</v>
      </c>
      <c r="F398" t="s">
        <v>10</v>
      </c>
      <c r="G398" t="s">
        <v>51</v>
      </c>
      <c r="H398" t="s">
        <v>217</v>
      </c>
      <c r="I398" s="3" t="s">
        <v>239</v>
      </c>
      <c r="J398" t="s">
        <v>54</v>
      </c>
      <c r="K398" s="15">
        <v>1080000</v>
      </c>
      <c r="L398" s="5" t="str">
        <f t="shared" si="6"/>
        <v>9 - 14</v>
      </c>
    </row>
    <row r="399" spans="3:12" hidden="1">
      <c r="C399" t="s">
        <v>31</v>
      </c>
      <c r="D399" t="s">
        <v>49</v>
      </c>
      <c r="E399">
        <v>14</v>
      </c>
      <c r="F399" t="s">
        <v>10</v>
      </c>
      <c r="G399" t="s">
        <v>51</v>
      </c>
      <c r="H399" t="s">
        <v>217</v>
      </c>
      <c r="I399" s="3" t="s">
        <v>166</v>
      </c>
      <c r="J399" t="s">
        <v>54</v>
      </c>
      <c r="K399" s="15">
        <v>890000</v>
      </c>
      <c r="L399" s="5" t="str">
        <f t="shared" si="6"/>
        <v>9 - 14</v>
      </c>
    </row>
    <row r="400" spans="3:12" hidden="1">
      <c r="C400" t="s">
        <v>31</v>
      </c>
      <c r="D400" t="s">
        <v>55</v>
      </c>
      <c r="E400">
        <v>14</v>
      </c>
      <c r="F400" t="s">
        <v>10</v>
      </c>
      <c r="G400" t="s">
        <v>57</v>
      </c>
      <c r="H400" t="s">
        <v>217</v>
      </c>
      <c r="I400" s="3" t="s">
        <v>240</v>
      </c>
      <c r="J400" t="s">
        <v>54</v>
      </c>
      <c r="K400" s="15">
        <v>911939</v>
      </c>
      <c r="L400" s="5" t="str">
        <f t="shared" si="6"/>
        <v>9 - 14</v>
      </c>
    </row>
    <row r="401" spans="3:12" hidden="1">
      <c r="C401" t="s">
        <v>31</v>
      </c>
      <c r="D401" t="s">
        <v>77</v>
      </c>
      <c r="E401">
        <v>14</v>
      </c>
      <c r="F401" t="s">
        <v>10</v>
      </c>
      <c r="G401" t="s">
        <v>57</v>
      </c>
      <c r="H401" t="s">
        <v>217</v>
      </c>
      <c r="I401" s="3" t="s">
        <v>98</v>
      </c>
      <c r="J401" t="s">
        <v>54</v>
      </c>
      <c r="K401" s="15">
        <v>920000</v>
      </c>
      <c r="L401" s="5" t="str">
        <f t="shared" si="6"/>
        <v>9 - 14</v>
      </c>
    </row>
    <row r="402" spans="3:12" hidden="1">
      <c r="C402" t="s">
        <v>31</v>
      </c>
      <c r="D402" t="s">
        <v>77</v>
      </c>
      <c r="E402">
        <v>14</v>
      </c>
      <c r="F402" t="s">
        <v>10</v>
      </c>
      <c r="G402" t="s">
        <v>51</v>
      </c>
      <c r="H402" t="s">
        <v>217</v>
      </c>
      <c r="I402" s="3" t="s">
        <v>130</v>
      </c>
      <c r="J402" t="s">
        <v>54</v>
      </c>
      <c r="K402" s="15">
        <v>950000</v>
      </c>
      <c r="L402" s="5" t="str">
        <f t="shared" si="6"/>
        <v>9 - 14</v>
      </c>
    </row>
    <row r="403" spans="3:12" hidden="1">
      <c r="C403" t="s">
        <v>31</v>
      </c>
      <c r="D403" t="s">
        <v>73</v>
      </c>
      <c r="E403">
        <v>14</v>
      </c>
      <c r="F403" t="s">
        <v>10</v>
      </c>
      <c r="G403" t="s">
        <v>51</v>
      </c>
      <c r="H403" t="s">
        <v>217</v>
      </c>
      <c r="I403" s="3" t="s">
        <v>241</v>
      </c>
      <c r="J403" t="s">
        <v>54</v>
      </c>
      <c r="K403" s="15">
        <v>1035000</v>
      </c>
      <c r="L403" s="5" t="str">
        <f t="shared" si="6"/>
        <v>9 - 14</v>
      </c>
    </row>
    <row r="404" spans="3:12" hidden="1">
      <c r="C404" t="s">
        <v>31</v>
      </c>
      <c r="D404" t="s">
        <v>73</v>
      </c>
      <c r="E404">
        <v>14</v>
      </c>
      <c r="F404" t="s">
        <v>10</v>
      </c>
      <c r="G404" t="s">
        <v>59</v>
      </c>
      <c r="H404" t="s">
        <v>217</v>
      </c>
      <c r="I404" s="3" t="s">
        <v>106</v>
      </c>
      <c r="J404" t="s">
        <v>66</v>
      </c>
      <c r="K404" s="15">
        <v>1100000</v>
      </c>
      <c r="L404" s="5" t="str">
        <f t="shared" si="6"/>
        <v>9 - 14</v>
      </c>
    </row>
    <row r="405" spans="3:12" hidden="1">
      <c r="C405" t="s">
        <v>31</v>
      </c>
      <c r="D405" t="s">
        <v>55</v>
      </c>
      <c r="E405">
        <v>14</v>
      </c>
      <c r="F405" t="s">
        <v>10</v>
      </c>
      <c r="G405" t="s">
        <v>59</v>
      </c>
      <c r="H405" t="s">
        <v>217</v>
      </c>
      <c r="I405" s="3" t="s">
        <v>180</v>
      </c>
      <c r="J405" t="s">
        <v>66</v>
      </c>
      <c r="K405" s="15">
        <v>1290000</v>
      </c>
      <c r="L405" s="5" t="str">
        <f t="shared" si="6"/>
        <v>9 - 14</v>
      </c>
    </row>
    <row r="406" spans="3:12" hidden="1">
      <c r="C406" t="s">
        <v>31</v>
      </c>
      <c r="D406" t="s">
        <v>73</v>
      </c>
      <c r="E406">
        <v>14</v>
      </c>
      <c r="F406" t="s">
        <v>10</v>
      </c>
      <c r="G406" t="s">
        <v>59</v>
      </c>
      <c r="H406" t="s">
        <v>217</v>
      </c>
      <c r="I406" s="3" t="s">
        <v>242</v>
      </c>
      <c r="J406" t="s">
        <v>54</v>
      </c>
      <c r="K406" s="15">
        <v>1550000</v>
      </c>
      <c r="L406" s="5" t="str">
        <f t="shared" si="6"/>
        <v>9 - 14</v>
      </c>
    </row>
    <row r="407" spans="3:12" hidden="1">
      <c r="C407" t="s">
        <v>31</v>
      </c>
      <c r="D407" t="s">
        <v>73</v>
      </c>
      <c r="E407">
        <v>14</v>
      </c>
      <c r="F407" t="s">
        <v>10</v>
      </c>
      <c r="G407" t="s">
        <v>127</v>
      </c>
      <c r="H407" t="s">
        <v>217</v>
      </c>
      <c r="I407" s="3" t="s">
        <v>205</v>
      </c>
      <c r="J407" t="s">
        <v>54</v>
      </c>
      <c r="K407" s="15">
        <v>2500000</v>
      </c>
      <c r="L407" s="5" t="str">
        <f t="shared" si="6"/>
        <v>9 - 14</v>
      </c>
    </row>
    <row r="408" spans="3:12" hidden="1">
      <c r="C408" t="s">
        <v>31</v>
      </c>
      <c r="D408" t="s">
        <v>49</v>
      </c>
      <c r="E408">
        <v>13</v>
      </c>
      <c r="F408" t="s">
        <v>10</v>
      </c>
      <c r="G408" t="s">
        <v>57</v>
      </c>
      <c r="H408" t="s">
        <v>217</v>
      </c>
      <c r="I408" s="3" t="s">
        <v>71</v>
      </c>
      <c r="J408" t="s">
        <v>54</v>
      </c>
      <c r="K408" s="15">
        <v>820000</v>
      </c>
      <c r="L408" s="5" t="str">
        <f t="shared" si="6"/>
        <v>9 - 14</v>
      </c>
    </row>
    <row r="409" spans="3:12" hidden="1">
      <c r="C409" t="s">
        <v>31</v>
      </c>
      <c r="D409" t="s">
        <v>73</v>
      </c>
      <c r="E409">
        <v>13</v>
      </c>
      <c r="F409" t="s">
        <v>10</v>
      </c>
      <c r="G409" t="s">
        <v>51</v>
      </c>
      <c r="H409" t="s">
        <v>217</v>
      </c>
      <c r="I409" s="3" t="s">
        <v>243</v>
      </c>
      <c r="J409" t="s">
        <v>54</v>
      </c>
      <c r="K409" s="15">
        <v>1155000</v>
      </c>
      <c r="L409" s="5" t="str">
        <f t="shared" si="6"/>
        <v>9 - 14</v>
      </c>
    </row>
    <row r="410" spans="3:12" hidden="1">
      <c r="C410" t="s">
        <v>31</v>
      </c>
      <c r="D410" t="s">
        <v>55</v>
      </c>
      <c r="E410">
        <v>13</v>
      </c>
      <c r="F410" t="s">
        <v>10</v>
      </c>
      <c r="G410" t="s">
        <v>59</v>
      </c>
      <c r="H410" t="s">
        <v>217</v>
      </c>
      <c r="I410" s="3" t="s">
        <v>60</v>
      </c>
      <c r="J410" t="s">
        <v>66</v>
      </c>
      <c r="K410" s="15">
        <v>1500000</v>
      </c>
      <c r="L410" s="5" t="str">
        <f t="shared" si="6"/>
        <v>9 - 14</v>
      </c>
    </row>
    <row r="411" spans="3:12" hidden="1">
      <c r="C411" t="s">
        <v>31</v>
      </c>
      <c r="D411" t="s">
        <v>55</v>
      </c>
      <c r="E411">
        <v>13</v>
      </c>
      <c r="F411" t="s">
        <v>10</v>
      </c>
      <c r="G411" t="s">
        <v>59</v>
      </c>
      <c r="H411" t="s">
        <v>217</v>
      </c>
      <c r="I411" s="3" t="s">
        <v>192</v>
      </c>
      <c r="J411" t="s">
        <v>54</v>
      </c>
      <c r="K411" s="15">
        <v>1600000</v>
      </c>
      <c r="L411" s="5" t="str">
        <f t="shared" si="6"/>
        <v>9 - 14</v>
      </c>
    </row>
    <row r="412" spans="3:12" hidden="1">
      <c r="C412" t="s">
        <v>31</v>
      </c>
      <c r="D412" t="s">
        <v>55</v>
      </c>
      <c r="E412">
        <v>12</v>
      </c>
      <c r="F412" t="s">
        <v>10</v>
      </c>
      <c r="G412" t="s">
        <v>57</v>
      </c>
      <c r="H412" t="s">
        <v>217</v>
      </c>
      <c r="I412" s="3" t="s">
        <v>133</v>
      </c>
      <c r="J412" t="s">
        <v>54</v>
      </c>
      <c r="K412" s="15">
        <v>960000</v>
      </c>
      <c r="L412" s="5" t="str">
        <f t="shared" si="6"/>
        <v>9 - 14</v>
      </c>
    </row>
    <row r="413" spans="3:12" hidden="1">
      <c r="C413" t="s">
        <v>31</v>
      </c>
      <c r="D413" t="s">
        <v>55</v>
      </c>
      <c r="E413">
        <v>12</v>
      </c>
      <c r="F413" t="s">
        <v>10</v>
      </c>
      <c r="G413" t="s">
        <v>51</v>
      </c>
      <c r="H413" t="s">
        <v>217</v>
      </c>
      <c r="I413" s="3" t="s">
        <v>181</v>
      </c>
      <c r="J413" t="s">
        <v>66</v>
      </c>
      <c r="K413" s="15">
        <v>1030000</v>
      </c>
      <c r="L413" s="5" t="str">
        <f t="shared" si="6"/>
        <v>9 - 14</v>
      </c>
    </row>
    <row r="414" spans="3:12" hidden="1">
      <c r="C414" t="s">
        <v>31</v>
      </c>
      <c r="D414" t="s">
        <v>73</v>
      </c>
      <c r="E414">
        <v>12</v>
      </c>
      <c r="F414" t="s">
        <v>10</v>
      </c>
      <c r="G414" t="s">
        <v>51</v>
      </c>
      <c r="H414" t="s">
        <v>217</v>
      </c>
      <c r="I414" s="3" t="s">
        <v>181</v>
      </c>
      <c r="J414" t="s">
        <v>54</v>
      </c>
      <c r="K414" s="15">
        <v>1030000</v>
      </c>
      <c r="L414" s="5" t="str">
        <f t="shared" si="6"/>
        <v>9 - 14</v>
      </c>
    </row>
    <row r="415" spans="3:12" hidden="1">
      <c r="C415" t="s">
        <v>31</v>
      </c>
      <c r="D415" t="s">
        <v>55</v>
      </c>
      <c r="E415">
        <v>12</v>
      </c>
      <c r="F415" t="s">
        <v>10</v>
      </c>
      <c r="G415" t="s">
        <v>59</v>
      </c>
      <c r="H415" t="s">
        <v>217</v>
      </c>
      <c r="I415" s="3" t="s">
        <v>148</v>
      </c>
      <c r="J415" t="s">
        <v>54</v>
      </c>
      <c r="K415" s="15">
        <v>1050000</v>
      </c>
      <c r="L415" s="5" t="str">
        <f t="shared" si="6"/>
        <v>9 - 14</v>
      </c>
    </row>
    <row r="416" spans="3:12" hidden="1">
      <c r="C416" t="s">
        <v>31</v>
      </c>
      <c r="D416" t="s">
        <v>73</v>
      </c>
      <c r="E416">
        <v>12</v>
      </c>
      <c r="F416" t="s">
        <v>10</v>
      </c>
      <c r="G416" t="s">
        <v>59</v>
      </c>
      <c r="H416" t="s">
        <v>217</v>
      </c>
      <c r="I416" s="3" t="s">
        <v>61</v>
      </c>
      <c r="J416" t="s">
        <v>54</v>
      </c>
      <c r="K416" s="15">
        <v>1200000</v>
      </c>
      <c r="L416" s="5" t="str">
        <f t="shared" si="6"/>
        <v>9 - 14</v>
      </c>
    </row>
    <row r="417" spans="3:12" hidden="1">
      <c r="C417" t="s">
        <v>31</v>
      </c>
      <c r="D417" t="s">
        <v>73</v>
      </c>
      <c r="E417">
        <v>12</v>
      </c>
      <c r="F417" t="s">
        <v>10</v>
      </c>
      <c r="G417" t="s">
        <v>59</v>
      </c>
      <c r="H417" t="s">
        <v>217</v>
      </c>
      <c r="I417" s="3" t="s">
        <v>61</v>
      </c>
      <c r="J417" t="s">
        <v>54</v>
      </c>
      <c r="K417" s="15">
        <v>1200000</v>
      </c>
      <c r="L417" s="5" t="str">
        <f t="shared" si="6"/>
        <v>9 - 14</v>
      </c>
    </row>
    <row r="418" spans="3:12" hidden="1">
      <c r="C418" t="s">
        <v>31</v>
      </c>
      <c r="D418" t="s">
        <v>55</v>
      </c>
      <c r="E418">
        <v>12</v>
      </c>
      <c r="F418" t="s">
        <v>10</v>
      </c>
      <c r="G418" t="s">
        <v>51</v>
      </c>
      <c r="H418" t="s">
        <v>217</v>
      </c>
      <c r="I418" s="3" t="s">
        <v>244</v>
      </c>
      <c r="J418" t="s">
        <v>54</v>
      </c>
      <c r="K418" s="15">
        <v>1245000</v>
      </c>
      <c r="L418" s="5" t="str">
        <f t="shared" si="6"/>
        <v>9 - 14</v>
      </c>
    </row>
    <row r="419" spans="3:12" hidden="1">
      <c r="C419" t="s">
        <v>31</v>
      </c>
      <c r="D419" t="s">
        <v>73</v>
      </c>
      <c r="E419">
        <v>12</v>
      </c>
      <c r="F419" t="s">
        <v>10</v>
      </c>
      <c r="G419" t="s">
        <v>59</v>
      </c>
      <c r="H419" t="s">
        <v>217</v>
      </c>
      <c r="I419" s="3" t="s">
        <v>175</v>
      </c>
      <c r="J419" t="s">
        <v>66</v>
      </c>
      <c r="K419" s="15">
        <v>1400000</v>
      </c>
      <c r="L419" s="5" t="str">
        <f t="shared" si="6"/>
        <v>9 - 14</v>
      </c>
    </row>
    <row r="420" spans="3:12" hidden="1">
      <c r="C420" t="s">
        <v>31</v>
      </c>
      <c r="D420" t="s">
        <v>73</v>
      </c>
      <c r="E420">
        <v>12</v>
      </c>
      <c r="F420" t="s">
        <v>10</v>
      </c>
      <c r="G420" t="s">
        <v>59</v>
      </c>
      <c r="H420" t="s">
        <v>217</v>
      </c>
      <c r="I420" s="3" t="s">
        <v>192</v>
      </c>
      <c r="J420" t="s">
        <v>54</v>
      </c>
      <c r="K420" s="15">
        <v>1600000</v>
      </c>
      <c r="L420" s="5" t="str">
        <f t="shared" si="6"/>
        <v>9 - 14</v>
      </c>
    </row>
    <row r="421" spans="3:12" hidden="1">
      <c r="C421" t="s">
        <v>31</v>
      </c>
      <c r="D421" t="s">
        <v>67</v>
      </c>
      <c r="E421">
        <v>11</v>
      </c>
      <c r="F421" t="s">
        <v>10</v>
      </c>
      <c r="G421" t="s">
        <v>57</v>
      </c>
      <c r="H421" t="s">
        <v>217</v>
      </c>
      <c r="I421" s="3" t="s">
        <v>79</v>
      </c>
      <c r="J421" t="s">
        <v>54</v>
      </c>
      <c r="K421" s="15">
        <v>900000</v>
      </c>
      <c r="L421" s="5" t="str">
        <f t="shared" si="6"/>
        <v>9 - 14</v>
      </c>
    </row>
    <row r="422" spans="3:12" hidden="1">
      <c r="C422" t="s">
        <v>31</v>
      </c>
      <c r="D422" t="s">
        <v>73</v>
      </c>
      <c r="E422">
        <v>11</v>
      </c>
      <c r="F422" t="s">
        <v>10</v>
      </c>
      <c r="G422" t="s">
        <v>51</v>
      </c>
      <c r="H422" t="s">
        <v>217</v>
      </c>
      <c r="I422" s="3" t="s">
        <v>110</v>
      </c>
      <c r="J422" t="s">
        <v>66</v>
      </c>
      <c r="K422" s="15">
        <v>1000000</v>
      </c>
      <c r="L422" s="5" t="str">
        <f t="shared" si="6"/>
        <v>9 - 14</v>
      </c>
    </row>
    <row r="423" spans="3:12" hidden="1">
      <c r="C423" t="s">
        <v>31</v>
      </c>
      <c r="D423" t="s">
        <v>73</v>
      </c>
      <c r="E423">
        <v>11</v>
      </c>
      <c r="F423" t="s">
        <v>10</v>
      </c>
      <c r="G423" t="s">
        <v>51</v>
      </c>
      <c r="H423" t="s">
        <v>217</v>
      </c>
      <c r="I423" s="3" t="s">
        <v>148</v>
      </c>
      <c r="J423" t="s">
        <v>66</v>
      </c>
      <c r="K423" s="15">
        <v>1050000</v>
      </c>
      <c r="L423" s="5" t="str">
        <f t="shared" si="6"/>
        <v>9 - 14</v>
      </c>
    </row>
    <row r="424" spans="3:12" hidden="1">
      <c r="C424" t="s">
        <v>31</v>
      </c>
      <c r="D424" t="s">
        <v>73</v>
      </c>
      <c r="E424">
        <v>11</v>
      </c>
      <c r="F424" t="s">
        <v>10</v>
      </c>
      <c r="G424" t="s">
        <v>59</v>
      </c>
      <c r="H424" t="s">
        <v>217</v>
      </c>
      <c r="I424" s="3" t="s">
        <v>106</v>
      </c>
      <c r="J424" t="s">
        <v>66</v>
      </c>
      <c r="K424" s="15">
        <v>1100000</v>
      </c>
      <c r="L424" s="5" t="str">
        <f t="shared" si="6"/>
        <v>9 - 14</v>
      </c>
    </row>
    <row r="425" spans="3:12" hidden="1">
      <c r="C425" t="s">
        <v>31</v>
      </c>
      <c r="D425" t="s">
        <v>63</v>
      </c>
      <c r="E425">
        <v>11</v>
      </c>
      <c r="F425" t="s">
        <v>10</v>
      </c>
      <c r="G425" t="s">
        <v>51</v>
      </c>
      <c r="H425" t="s">
        <v>217</v>
      </c>
      <c r="I425" s="3" t="s">
        <v>106</v>
      </c>
      <c r="J425" t="s">
        <v>66</v>
      </c>
      <c r="K425" s="15">
        <v>1100000</v>
      </c>
      <c r="L425" s="5" t="str">
        <f t="shared" si="6"/>
        <v>9 - 14</v>
      </c>
    </row>
    <row r="426" spans="3:12" hidden="1">
      <c r="C426" t="s">
        <v>31</v>
      </c>
      <c r="D426" t="s">
        <v>73</v>
      </c>
      <c r="E426">
        <v>11</v>
      </c>
      <c r="F426" t="s">
        <v>10</v>
      </c>
      <c r="G426" t="s">
        <v>59</v>
      </c>
      <c r="H426" t="s">
        <v>217</v>
      </c>
      <c r="I426" s="3" t="s">
        <v>60</v>
      </c>
      <c r="J426" t="s">
        <v>66</v>
      </c>
      <c r="K426" s="15">
        <v>1500000</v>
      </c>
      <c r="L426" s="5" t="str">
        <f t="shared" si="6"/>
        <v>9 - 14</v>
      </c>
    </row>
    <row r="427" spans="3:12" hidden="1">
      <c r="C427" t="s">
        <v>30</v>
      </c>
      <c r="D427" t="s">
        <v>55</v>
      </c>
      <c r="E427">
        <v>10</v>
      </c>
      <c r="F427" t="s">
        <v>10</v>
      </c>
      <c r="G427" t="s">
        <v>59</v>
      </c>
      <c r="H427" t="s">
        <v>217</v>
      </c>
      <c r="I427" s="3" t="s">
        <v>110</v>
      </c>
      <c r="J427" t="s">
        <v>66</v>
      </c>
      <c r="K427" s="15">
        <v>1000000</v>
      </c>
      <c r="L427" s="5" t="str">
        <f t="shared" si="6"/>
        <v>9 - 14</v>
      </c>
    </row>
    <row r="428" spans="3:12" hidden="1">
      <c r="C428" t="s">
        <v>31</v>
      </c>
      <c r="D428" t="s">
        <v>55</v>
      </c>
      <c r="E428">
        <v>10</v>
      </c>
      <c r="F428" t="s">
        <v>10</v>
      </c>
      <c r="G428" t="s">
        <v>51</v>
      </c>
      <c r="H428" t="s">
        <v>217</v>
      </c>
      <c r="I428" s="3" t="s">
        <v>116</v>
      </c>
      <c r="J428" t="s">
        <v>66</v>
      </c>
      <c r="K428" s="15">
        <v>800000</v>
      </c>
      <c r="L428" s="5" t="str">
        <f t="shared" si="6"/>
        <v>9 - 14</v>
      </c>
    </row>
    <row r="429" spans="3:12" hidden="1">
      <c r="C429" t="s">
        <v>31</v>
      </c>
      <c r="D429" t="s">
        <v>73</v>
      </c>
      <c r="E429">
        <v>10</v>
      </c>
      <c r="F429" t="s">
        <v>10</v>
      </c>
      <c r="G429" t="s">
        <v>51</v>
      </c>
      <c r="H429" t="s">
        <v>217</v>
      </c>
      <c r="I429" s="3" t="s">
        <v>130</v>
      </c>
      <c r="J429" t="s">
        <v>54</v>
      </c>
      <c r="K429" s="15">
        <v>950000</v>
      </c>
      <c r="L429" s="5" t="str">
        <f t="shared" si="6"/>
        <v>9 - 14</v>
      </c>
    </row>
    <row r="430" spans="3:12" hidden="1">
      <c r="C430" t="s">
        <v>31</v>
      </c>
      <c r="D430" t="s">
        <v>73</v>
      </c>
      <c r="E430">
        <v>10</v>
      </c>
      <c r="F430" t="s">
        <v>10</v>
      </c>
      <c r="G430" t="s">
        <v>51</v>
      </c>
      <c r="H430" t="s">
        <v>217</v>
      </c>
      <c r="I430" s="3" t="s">
        <v>189</v>
      </c>
      <c r="J430" t="s">
        <v>54</v>
      </c>
      <c r="K430" s="15">
        <v>955000</v>
      </c>
      <c r="L430" s="5" t="str">
        <f t="shared" si="6"/>
        <v>9 - 14</v>
      </c>
    </row>
    <row r="431" spans="3:12" hidden="1">
      <c r="C431" t="s">
        <v>31</v>
      </c>
      <c r="D431" t="s">
        <v>55</v>
      </c>
      <c r="E431">
        <v>10</v>
      </c>
      <c r="F431" t="s">
        <v>10</v>
      </c>
      <c r="G431" t="s">
        <v>59</v>
      </c>
      <c r="H431" t="s">
        <v>217</v>
      </c>
      <c r="I431" s="3" t="s">
        <v>110</v>
      </c>
      <c r="J431" t="s">
        <v>66</v>
      </c>
      <c r="K431" s="15">
        <v>1000000</v>
      </c>
      <c r="L431" s="5" t="str">
        <f t="shared" si="6"/>
        <v>9 - 14</v>
      </c>
    </row>
    <row r="432" spans="3:12" hidden="1">
      <c r="C432" t="s">
        <v>31</v>
      </c>
      <c r="D432" t="s">
        <v>55</v>
      </c>
      <c r="E432">
        <v>10</v>
      </c>
      <c r="F432" t="s">
        <v>10</v>
      </c>
      <c r="G432" t="s">
        <v>59</v>
      </c>
      <c r="H432" t="s">
        <v>217</v>
      </c>
      <c r="I432" s="3" t="s">
        <v>245</v>
      </c>
      <c r="J432" t="s">
        <v>54</v>
      </c>
      <c r="K432" s="15">
        <v>1052000</v>
      </c>
      <c r="L432" s="5" t="str">
        <f t="shared" si="6"/>
        <v>9 - 14</v>
      </c>
    </row>
    <row r="433" spans="3:12" hidden="1">
      <c r="C433" t="s">
        <v>31</v>
      </c>
      <c r="D433" t="s">
        <v>55</v>
      </c>
      <c r="E433">
        <v>10</v>
      </c>
      <c r="F433" t="s">
        <v>10</v>
      </c>
      <c r="G433" t="s">
        <v>59</v>
      </c>
      <c r="H433" t="s">
        <v>217</v>
      </c>
      <c r="I433" s="3" t="s">
        <v>106</v>
      </c>
      <c r="J433" t="s">
        <v>54</v>
      </c>
      <c r="K433" s="15">
        <v>1100000</v>
      </c>
      <c r="L433" s="5" t="str">
        <f t="shared" si="6"/>
        <v>9 - 14</v>
      </c>
    </row>
    <row r="434" spans="3:12" hidden="1">
      <c r="C434" t="s">
        <v>31</v>
      </c>
      <c r="D434" t="s">
        <v>73</v>
      </c>
      <c r="E434">
        <v>10</v>
      </c>
      <c r="F434" t="s">
        <v>10</v>
      </c>
      <c r="G434" t="s">
        <v>51</v>
      </c>
      <c r="H434" t="s">
        <v>217</v>
      </c>
      <c r="I434" s="3" t="s">
        <v>61</v>
      </c>
      <c r="J434" t="s">
        <v>54</v>
      </c>
      <c r="K434" s="15">
        <v>1200000</v>
      </c>
      <c r="L434" s="5" t="str">
        <f t="shared" si="6"/>
        <v>9 - 14</v>
      </c>
    </row>
    <row r="435" spans="3:12" hidden="1">
      <c r="C435" t="s">
        <v>31</v>
      </c>
      <c r="D435" t="s">
        <v>55</v>
      </c>
      <c r="E435">
        <v>10</v>
      </c>
      <c r="F435" t="s">
        <v>10</v>
      </c>
      <c r="G435" t="s">
        <v>59</v>
      </c>
      <c r="H435" t="s">
        <v>217</v>
      </c>
      <c r="I435" s="3" t="s">
        <v>61</v>
      </c>
      <c r="J435" t="s">
        <v>66</v>
      </c>
      <c r="K435" s="15">
        <v>1200000</v>
      </c>
      <c r="L435" s="5" t="str">
        <f t="shared" si="6"/>
        <v>9 - 14</v>
      </c>
    </row>
    <row r="436" spans="3:12" hidden="1">
      <c r="C436" t="s">
        <v>31</v>
      </c>
      <c r="D436" t="s">
        <v>73</v>
      </c>
      <c r="E436">
        <v>10</v>
      </c>
      <c r="F436" t="s">
        <v>10</v>
      </c>
      <c r="G436" t="s">
        <v>59</v>
      </c>
      <c r="H436" t="s">
        <v>217</v>
      </c>
      <c r="I436" s="3" t="s">
        <v>175</v>
      </c>
      <c r="J436" t="s">
        <v>66</v>
      </c>
      <c r="K436" s="15">
        <v>1400000</v>
      </c>
      <c r="L436" s="5" t="str">
        <f t="shared" si="6"/>
        <v>9 - 14</v>
      </c>
    </row>
    <row r="437" spans="3:12" hidden="1">
      <c r="C437" t="s">
        <v>31</v>
      </c>
      <c r="D437" t="s">
        <v>55</v>
      </c>
      <c r="E437">
        <v>10</v>
      </c>
      <c r="F437" t="s">
        <v>10</v>
      </c>
      <c r="G437" t="s">
        <v>59</v>
      </c>
      <c r="H437" t="s">
        <v>217</v>
      </c>
      <c r="I437" s="3" t="s">
        <v>175</v>
      </c>
      <c r="J437" t="s">
        <v>66</v>
      </c>
      <c r="K437" s="15">
        <v>1400000</v>
      </c>
      <c r="L437" s="5" t="str">
        <f t="shared" si="6"/>
        <v>9 - 14</v>
      </c>
    </row>
    <row r="438" spans="3:12" hidden="1">
      <c r="C438" t="s">
        <v>31</v>
      </c>
      <c r="D438" t="s">
        <v>55</v>
      </c>
      <c r="E438">
        <v>9</v>
      </c>
      <c r="F438" t="s">
        <v>10</v>
      </c>
      <c r="G438" t="s">
        <v>59</v>
      </c>
      <c r="H438" t="s">
        <v>217</v>
      </c>
      <c r="I438" s="3" t="s">
        <v>246</v>
      </c>
      <c r="J438" t="s">
        <v>54</v>
      </c>
      <c r="K438" s="15">
        <v>882000</v>
      </c>
      <c r="L438" s="5" t="str">
        <f t="shared" si="6"/>
        <v>9 - 14</v>
      </c>
    </row>
    <row r="439" spans="3:12" hidden="1">
      <c r="C439" t="s">
        <v>31</v>
      </c>
      <c r="D439" t="s">
        <v>73</v>
      </c>
      <c r="E439">
        <v>9</v>
      </c>
      <c r="F439" t="s">
        <v>10</v>
      </c>
      <c r="G439" t="s">
        <v>51</v>
      </c>
      <c r="H439" t="s">
        <v>217</v>
      </c>
      <c r="I439" s="3" t="s">
        <v>247</v>
      </c>
      <c r="J439" t="s">
        <v>54</v>
      </c>
      <c r="K439" s="15">
        <v>885000</v>
      </c>
      <c r="L439" s="5" t="str">
        <f t="shared" si="6"/>
        <v>9 - 14</v>
      </c>
    </row>
    <row r="440" spans="3:12" hidden="1">
      <c r="C440" t="s">
        <v>31</v>
      </c>
      <c r="D440" t="s">
        <v>55</v>
      </c>
      <c r="E440">
        <v>9</v>
      </c>
      <c r="F440" t="s">
        <v>10</v>
      </c>
      <c r="G440" t="s">
        <v>59</v>
      </c>
      <c r="H440" t="s">
        <v>217</v>
      </c>
      <c r="I440" s="3" t="s">
        <v>133</v>
      </c>
      <c r="J440" t="s">
        <v>54</v>
      </c>
      <c r="K440" s="15">
        <v>960000</v>
      </c>
      <c r="L440" s="5" t="str">
        <f t="shared" si="6"/>
        <v>9 - 14</v>
      </c>
    </row>
    <row r="441" spans="3:12" hidden="1">
      <c r="C441" t="s">
        <v>31</v>
      </c>
      <c r="D441" t="s">
        <v>73</v>
      </c>
      <c r="E441">
        <v>9</v>
      </c>
      <c r="F441" t="s">
        <v>10</v>
      </c>
      <c r="G441" t="s">
        <v>59</v>
      </c>
      <c r="H441" t="s">
        <v>217</v>
      </c>
      <c r="I441" s="3" t="s">
        <v>109</v>
      </c>
      <c r="J441" t="s">
        <v>54</v>
      </c>
      <c r="K441" s="15">
        <v>1025000</v>
      </c>
      <c r="L441" s="5" t="str">
        <f t="shared" si="6"/>
        <v>9 - 14</v>
      </c>
    </row>
    <row r="442" spans="3:12" hidden="1">
      <c r="C442" t="s">
        <v>31</v>
      </c>
      <c r="D442" t="s">
        <v>73</v>
      </c>
      <c r="E442">
        <v>9</v>
      </c>
      <c r="F442" t="s">
        <v>10</v>
      </c>
      <c r="G442" t="s">
        <v>51</v>
      </c>
      <c r="H442" t="s">
        <v>217</v>
      </c>
      <c r="I442" s="3" t="s">
        <v>148</v>
      </c>
      <c r="J442" t="s">
        <v>66</v>
      </c>
      <c r="K442" s="15">
        <v>1050000</v>
      </c>
      <c r="L442" s="5" t="str">
        <f t="shared" si="6"/>
        <v>9 - 14</v>
      </c>
    </row>
    <row r="443" spans="3:12" hidden="1">
      <c r="C443" t="s">
        <v>31</v>
      </c>
      <c r="D443" t="s">
        <v>55</v>
      </c>
      <c r="E443">
        <v>9</v>
      </c>
      <c r="F443" t="s">
        <v>10</v>
      </c>
      <c r="G443" t="s">
        <v>59</v>
      </c>
      <c r="H443" t="s">
        <v>217</v>
      </c>
      <c r="I443" s="3" t="s">
        <v>106</v>
      </c>
      <c r="J443" t="s">
        <v>66</v>
      </c>
      <c r="K443" s="15">
        <v>1100000</v>
      </c>
      <c r="L443" s="5" t="str">
        <f t="shared" si="6"/>
        <v>9 - 14</v>
      </c>
    </row>
    <row r="444" spans="3:12" hidden="1">
      <c r="C444" t="s">
        <v>31</v>
      </c>
      <c r="D444" t="s">
        <v>55</v>
      </c>
      <c r="E444">
        <v>9</v>
      </c>
      <c r="F444" t="s">
        <v>10</v>
      </c>
      <c r="G444" t="s">
        <v>51</v>
      </c>
      <c r="H444" t="s">
        <v>217</v>
      </c>
      <c r="I444" s="3" t="s">
        <v>248</v>
      </c>
      <c r="J444" t="s">
        <v>54</v>
      </c>
      <c r="K444" s="15">
        <v>1123000</v>
      </c>
      <c r="L444" s="5" t="str">
        <f t="shared" si="6"/>
        <v>9 - 14</v>
      </c>
    </row>
    <row r="445" spans="3:12" hidden="1">
      <c r="C445" t="s">
        <v>31</v>
      </c>
      <c r="D445" t="s">
        <v>49</v>
      </c>
      <c r="E445">
        <v>9</v>
      </c>
      <c r="F445" t="s">
        <v>10</v>
      </c>
      <c r="G445" t="s">
        <v>51</v>
      </c>
      <c r="H445" t="s">
        <v>217</v>
      </c>
      <c r="I445" s="3" t="s">
        <v>249</v>
      </c>
      <c r="J445" t="s">
        <v>66</v>
      </c>
      <c r="K445" s="15">
        <v>1144000</v>
      </c>
      <c r="L445" s="5" t="str">
        <f t="shared" si="6"/>
        <v>9 - 14</v>
      </c>
    </row>
    <row r="446" spans="3:12" hidden="1">
      <c r="C446" t="s">
        <v>30</v>
      </c>
      <c r="D446" t="s">
        <v>63</v>
      </c>
      <c r="E446">
        <v>8</v>
      </c>
      <c r="F446" t="s">
        <v>10</v>
      </c>
      <c r="G446" t="s">
        <v>59</v>
      </c>
      <c r="H446" t="s">
        <v>217</v>
      </c>
      <c r="I446" s="3" t="s">
        <v>133</v>
      </c>
      <c r="J446" t="s">
        <v>66</v>
      </c>
      <c r="K446" s="15">
        <v>960000</v>
      </c>
      <c r="L446" s="5" t="str">
        <f t="shared" si="6"/>
        <v>5  - 8</v>
      </c>
    </row>
    <row r="447" spans="3:12" hidden="1">
      <c r="C447" t="s">
        <v>30</v>
      </c>
      <c r="D447" t="s">
        <v>49</v>
      </c>
      <c r="E447">
        <v>8</v>
      </c>
      <c r="F447" t="s">
        <v>10</v>
      </c>
      <c r="G447" t="s">
        <v>59</v>
      </c>
      <c r="H447" t="s">
        <v>217</v>
      </c>
      <c r="I447" s="3" t="s">
        <v>61</v>
      </c>
      <c r="J447" t="s">
        <v>66</v>
      </c>
      <c r="K447" s="15">
        <v>1200000</v>
      </c>
      <c r="L447" s="5" t="str">
        <f t="shared" si="6"/>
        <v>5  - 8</v>
      </c>
    </row>
    <row r="448" spans="3:12" hidden="1">
      <c r="C448" t="s">
        <v>31</v>
      </c>
      <c r="D448" t="s">
        <v>77</v>
      </c>
      <c r="E448">
        <v>8</v>
      </c>
      <c r="F448" t="s">
        <v>10</v>
      </c>
      <c r="G448" t="s">
        <v>51</v>
      </c>
      <c r="H448" t="s">
        <v>217</v>
      </c>
      <c r="I448" s="3" t="s">
        <v>69</v>
      </c>
      <c r="J448" t="s">
        <v>54</v>
      </c>
      <c r="K448" s="15">
        <v>750000</v>
      </c>
      <c r="L448" s="5" t="str">
        <f t="shared" si="6"/>
        <v>5  - 8</v>
      </c>
    </row>
    <row r="449" spans="3:12" hidden="1">
      <c r="C449" t="s">
        <v>31</v>
      </c>
      <c r="D449" t="s">
        <v>55</v>
      </c>
      <c r="E449">
        <v>8</v>
      </c>
      <c r="F449" t="s">
        <v>10</v>
      </c>
      <c r="G449" t="s">
        <v>51</v>
      </c>
      <c r="H449" t="s">
        <v>217</v>
      </c>
      <c r="I449" s="3" t="s">
        <v>135</v>
      </c>
      <c r="J449" t="s">
        <v>54</v>
      </c>
      <c r="K449" s="15">
        <v>840000</v>
      </c>
      <c r="L449" s="5" t="str">
        <f t="shared" si="6"/>
        <v>5  - 8</v>
      </c>
    </row>
    <row r="450" spans="3:12" hidden="1">
      <c r="C450" t="s">
        <v>31</v>
      </c>
      <c r="D450" t="s">
        <v>121</v>
      </c>
      <c r="E450">
        <v>8</v>
      </c>
      <c r="F450" t="s">
        <v>10</v>
      </c>
      <c r="G450" t="s">
        <v>51</v>
      </c>
      <c r="H450" t="s">
        <v>217</v>
      </c>
      <c r="I450" s="3" t="s">
        <v>72</v>
      </c>
      <c r="J450" t="s">
        <v>66</v>
      </c>
      <c r="K450" s="15">
        <v>850000</v>
      </c>
      <c r="L450" s="5" t="str">
        <f t="shared" si="6"/>
        <v>5  - 8</v>
      </c>
    </row>
    <row r="451" spans="3:12" hidden="1">
      <c r="C451" t="s">
        <v>31</v>
      </c>
      <c r="D451" t="s">
        <v>73</v>
      </c>
      <c r="E451">
        <v>8</v>
      </c>
      <c r="F451" t="s">
        <v>10</v>
      </c>
      <c r="G451" t="s">
        <v>51</v>
      </c>
      <c r="H451" t="s">
        <v>217</v>
      </c>
      <c r="I451" s="3" t="s">
        <v>70</v>
      </c>
      <c r="J451" t="s">
        <v>54</v>
      </c>
      <c r="K451" s="15">
        <v>910000</v>
      </c>
      <c r="L451" s="5" t="str">
        <f t="shared" ref="L451:L514" si="7">_xlfn.XLOOKUP(E451,$P$2:$P$5,$O$2:$O$5,,1)</f>
        <v>5  - 8</v>
      </c>
    </row>
    <row r="452" spans="3:12" hidden="1">
      <c r="C452" t="s">
        <v>31</v>
      </c>
      <c r="D452" t="s">
        <v>77</v>
      </c>
      <c r="E452">
        <v>8</v>
      </c>
      <c r="F452" t="s">
        <v>10</v>
      </c>
      <c r="G452" t="s">
        <v>51</v>
      </c>
      <c r="H452" t="s">
        <v>217</v>
      </c>
      <c r="I452" s="3" t="s">
        <v>122</v>
      </c>
      <c r="J452" t="s">
        <v>66</v>
      </c>
      <c r="K452" s="15">
        <v>930000</v>
      </c>
      <c r="L452" s="5" t="str">
        <f t="shared" si="7"/>
        <v>5  - 8</v>
      </c>
    </row>
    <row r="453" spans="3:12" hidden="1">
      <c r="C453" t="s">
        <v>31</v>
      </c>
      <c r="D453" t="s">
        <v>49</v>
      </c>
      <c r="E453">
        <v>8</v>
      </c>
      <c r="F453" t="s">
        <v>10</v>
      </c>
      <c r="G453" t="s">
        <v>59</v>
      </c>
      <c r="H453" t="s">
        <v>217</v>
      </c>
      <c r="I453" s="3" t="s">
        <v>68</v>
      </c>
      <c r="J453" t="s">
        <v>54</v>
      </c>
      <c r="K453" s="15">
        <v>980000</v>
      </c>
      <c r="L453" s="5" t="str">
        <f t="shared" si="7"/>
        <v>5  - 8</v>
      </c>
    </row>
    <row r="454" spans="3:12" hidden="1">
      <c r="C454" t="s">
        <v>31</v>
      </c>
      <c r="D454" t="s">
        <v>49</v>
      </c>
      <c r="E454">
        <v>8</v>
      </c>
      <c r="F454" t="s">
        <v>10</v>
      </c>
      <c r="G454" t="s">
        <v>51</v>
      </c>
      <c r="H454" t="s">
        <v>217</v>
      </c>
      <c r="I454" s="3" t="s">
        <v>110</v>
      </c>
      <c r="J454" t="s">
        <v>54</v>
      </c>
      <c r="K454" s="15">
        <v>1000000</v>
      </c>
      <c r="L454" s="5" t="str">
        <f t="shared" si="7"/>
        <v>5  - 8</v>
      </c>
    </row>
    <row r="455" spans="3:12" hidden="1">
      <c r="C455" t="s">
        <v>31</v>
      </c>
      <c r="D455" t="s">
        <v>55</v>
      </c>
      <c r="E455">
        <v>8</v>
      </c>
      <c r="F455" t="s">
        <v>10</v>
      </c>
      <c r="G455" t="s">
        <v>51</v>
      </c>
      <c r="H455" t="s">
        <v>217</v>
      </c>
      <c r="I455" s="3" t="s">
        <v>110</v>
      </c>
      <c r="J455" t="s">
        <v>66</v>
      </c>
      <c r="K455" s="15">
        <v>1000000</v>
      </c>
      <c r="L455" s="5" t="str">
        <f t="shared" si="7"/>
        <v>5  - 8</v>
      </c>
    </row>
    <row r="456" spans="3:12" hidden="1">
      <c r="C456" t="s">
        <v>31</v>
      </c>
      <c r="D456" t="s">
        <v>55</v>
      </c>
      <c r="E456">
        <v>8</v>
      </c>
      <c r="F456" t="s">
        <v>10</v>
      </c>
      <c r="G456" t="s">
        <v>59</v>
      </c>
      <c r="H456" t="s">
        <v>217</v>
      </c>
      <c r="I456" s="3" t="s">
        <v>110</v>
      </c>
      <c r="J456" t="s">
        <v>66</v>
      </c>
      <c r="K456" s="15">
        <v>1000000</v>
      </c>
      <c r="L456" s="5" t="str">
        <f t="shared" si="7"/>
        <v>5  - 8</v>
      </c>
    </row>
    <row r="457" spans="3:12" hidden="1">
      <c r="C457" t="s">
        <v>31</v>
      </c>
      <c r="D457" t="s">
        <v>55</v>
      </c>
      <c r="E457">
        <v>8</v>
      </c>
      <c r="F457" t="s">
        <v>10</v>
      </c>
      <c r="G457" t="s">
        <v>59</v>
      </c>
      <c r="H457" t="s">
        <v>217</v>
      </c>
      <c r="I457" s="3" t="s">
        <v>181</v>
      </c>
      <c r="J457" t="s">
        <v>66</v>
      </c>
      <c r="K457" s="15">
        <v>1030000</v>
      </c>
      <c r="L457" s="5" t="str">
        <f t="shared" si="7"/>
        <v>5  - 8</v>
      </c>
    </row>
    <row r="458" spans="3:12" hidden="1">
      <c r="C458" t="s">
        <v>31</v>
      </c>
      <c r="D458" t="s">
        <v>73</v>
      </c>
      <c r="E458">
        <v>8</v>
      </c>
      <c r="F458" t="s">
        <v>10</v>
      </c>
      <c r="G458" t="s">
        <v>51</v>
      </c>
      <c r="H458" t="s">
        <v>217</v>
      </c>
      <c r="I458" s="3" t="s">
        <v>106</v>
      </c>
      <c r="J458" t="s">
        <v>54</v>
      </c>
      <c r="K458" s="15">
        <v>1100000</v>
      </c>
      <c r="L458" s="5" t="str">
        <f t="shared" si="7"/>
        <v>5  - 8</v>
      </c>
    </row>
    <row r="459" spans="3:12" hidden="1">
      <c r="C459" t="s">
        <v>31</v>
      </c>
      <c r="D459" t="s">
        <v>55</v>
      </c>
      <c r="E459">
        <v>8</v>
      </c>
      <c r="F459" t="s">
        <v>10</v>
      </c>
      <c r="G459" t="s">
        <v>59</v>
      </c>
      <c r="H459" t="s">
        <v>217</v>
      </c>
      <c r="I459" s="3" t="s">
        <v>106</v>
      </c>
      <c r="J459" t="s">
        <v>66</v>
      </c>
      <c r="K459" s="15">
        <v>1100000</v>
      </c>
      <c r="L459" s="5" t="str">
        <f t="shared" si="7"/>
        <v>5  - 8</v>
      </c>
    </row>
    <row r="460" spans="3:12" hidden="1">
      <c r="C460" t="s">
        <v>31</v>
      </c>
      <c r="D460" t="s">
        <v>55</v>
      </c>
      <c r="E460">
        <v>8</v>
      </c>
      <c r="F460" t="s">
        <v>10</v>
      </c>
      <c r="G460" t="s">
        <v>59</v>
      </c>
      <c r="H460" t="s">
        <v>217</v>
      </c>
      <c r="I460" s="3" t="s">
        <v>106</v>
      </c>
      <c r="J460" t="s">
        <v>54</v>
      </c>
      <c r="K460" s="15">
        <v>1100000</v>
      </c>
      <c r="L460" s="5" t="str">
        <f t="shared" si="7"/>
        <v>5  - 8</v>
      </c>
    </row>
    <row r="461" spans="3:12" hidden="1">
      <c r="C461" t="s">
        <v>31</v>
      </c>
      <c r="D461" t="s">
        <v>55</v>
      </c>
      <c r="E461">
        <v>8</v>
      </c>
      <c r="F461" t="s">
        <v>10</v>
      </c>
      <c r="G461" t="s">
        <v>59</v>
      </c>
      <c r="H461" t="s">
        <v>217</v>
      </c>
      <c r="I461" s="3" t="s">
        <v>61</v>
      </c>
      <c r="J461" t="s">
        <v>54</v>
      </c>
      <c r="K461" s="15">
        <v>1200000</v>
      </c>
      <c r="L461" s="5" t="str">
        <f t="shared" si="7"/>
        <v>5  - 8</v>
      </c>
    </row>
    <row r="462" spans="3:12" hidden="1">
      <c r="C462" t="s">
        <v>31</v>
      </c>
      <c r="D462" t="s">
        <v>73</v>
      </c>
      <c r="E462">
        <v>8</v>
      </c>
      <c r="F462" t="s">
        <v>10</v>
      </c>
      <c r="G462" t="s">
        <v>59</v>
      </c>
      <c r="H462" t="s">
        <v>217</v>
      </c>
      <c r="I462" s="3" t="s">
        <v>61</v>
      </c>
      <c r="J462" t="s">
        <v>54</v>
      </c>
      <c r="K462" s="15">
        <v>1200000</v>
      </c>
      <c r="L462" s="5" t="str">
        <f t="shared" si="7"/>
        <v>5  - 8</v>
      </c>
    </row>
    <row r="463" spans="3:12" hidden="1">
      <c r="C463" t="s">
        <v>31</v>
      </c>
      <c r="D463" t="s">
        <v>55</v>
      </c>
      <c r="E463">
        <v>8</v>
      </c>
      <c r="F463" t="s">
        <v>10</v>
      </c>
      <c r="G463" t="s">
        <v>59</v>
      </c>
      <c r="H463" t="s">
        <v>217</v>
      </c>
      <c r="I463" s="3" t="s">
        <v>61</v>
      </c>
      <c r="J463" t="s">
        <v>54</v>
      </c>
      <c r="K463" s="15">
        <v>1200000</v>
      </c>
      <c r="L463" s="5" t="str">
        <f t="shared" si="7"/>
        <v>5  - 8</v>
      </c>
    </row>
    <row r="464" spans="3:12" hidden="1">
      <c r="C464" t="s">
        <v>30</v>
      </c>
      <c r="D464" t="s">
        <v>55</v>
      </c>
      <c r="E464">
        <v>7</v>
      </c>
      <c r="F464" t="s">
        <v>10</v>
      </c>
      <c r="G464" t="s">
        <v>51</v>
      </c>
      <c r="H464" t="s">
        <v>217</v>
      </c>
      <c r="I464" s="3" t="s">
        <v>223</v>
      </c>
      <c r="J464" t="s">
        <v>54</v>
      </c>
      <c r="K464" s="15">
        <v>790000</v>
      </c>
      <c r="L464" s="5" t="str">
        <f t="shared" si="7"/>
        <v>5  - 8</v>
      </c>
    </row>
    <row r="465" spans="3:12" hidden="1">
      <c r="C465" t="s">
        <v>30</v>
      </c>
      <c r="D465" t="s">
        <v>67</v>
      </c>
      <c r="E465">
        <v>7</v>
      </c>
      <c r="F465" t="s">
        <v>10</v>
      </c>
      <c r="G465" t="s">
        <v>59</v>
      </c>
      <c r="H465" t="s">
        <v>217</v>
      </c>
      <c r="I465" s="3" t="s">
        <v>122</v>
      </c>
      <c r="J465" t="s">
        <v>66</v>
      </c>
      <c r="K465" s="15">
        <v>930000</v>
      </c>
      <c r="L465" s="5" t="str">
        <f t="shared" si="7"/>
        <v>5  - 8</v>
      </c>
    </row>
    <row r="466" spans="3:12" hidden="1">
      <c r="C466" t="s">
        <v>30</v>
      </c>
      <c r="D466" t="s">
        <v>55</v>
      </c>
      <c r="E466">
        <v>7</v>
      </c>
      <c r="F466" t="s">
        <v>10</v>
      </c>
      <c r="G466" t="s">
        <v>59</v>
      </c>
      <c r="H466" t="s">
        <v>217</v>
      </c>
      <c r="I466" s="3" t="s">
        <v>209</v>
      </c>
      <c r="J466" t="s">
        <v>54</v>
      </c>
      <c r="K466" s="15">
        <v>1010000</v>
      </c>
      <c r="L466" s="5" t="str">
        <f t="shared" si="7"/>
        <v>5  - 8</v>
      </c>
    </row>
    <row r="467" spans="3:12" hidden="1">
      <c r="C467" t="s">
        <v>31</v>
      </c>
      <c r="D467" t="s">
        <v>73</v>
      </c>
      <c r="E467">
        <v>7</v>
      </c>
      <c r="F467" t="s">
        <v>10</v>
      </c>
      <c r="G467" t="s">
        <v>57</v>
      </c>
      <c r="H467" t="s">
        <v>217</v>
      </c>
      <c r="I467" s="3" t="s">
        <v>156</v>
      </c>
      <c r="J467" t="s">
        <v>54</v>
      </c>
      <c r="K467" s="15">
        <v>770000</v>
      </c>
      <c r="L467" s="5" t="str">
        <f t="shared" si="7"/>
        <v>5  - 8</v>
      </c>
    </row>
    <row r="468" spans="3:12" hidden="1">
      <c r="C468" t="s">
        <v>31</v>
      </c>
      <c r="D468" t="s">
        <v>73</v>
      </c>
      <c r="E468">
        <v>7</v>
      </c>
      <c r="F468" t="s">
        <v>10</v>
      </c>
      <c r="G468" t="s">
        <v>51</v>
      </c>
      <c r="H468" t="s">
        <v>217</v>
      </c>
      <c r="I468" s="3" t="s">
        <v>250</v>
      </c>
      <c r="J468" t="s">
        <v>54</v>
      </c>
      <c r="K468" s="15">
        <v>795000</v>
      </c>
      <c r="L468" s="5" t="str">
        <f t="shared" si="7"/>
        <v>5  - 8</v>
      </c>
    </row>
    <row r="469" spans="3:12" hidden="1">
      <c r="C469" t="s">
        <v>31</v>
      </c>
      <c r="D469" t="s">
        <v>49</v>
      </c>
      <c r="E469">
        <v>7</v>
      </c>
      <c r="F469" t="s">
        <v>10</v>
      </c>
      <c r="G469" t="s">
        <v>51</v>
      </c>
      <c r="H469" t="s">
        <v>217</v>
      </c>
      <c r="I469" s="3" t="s">
        <v>233</v>
      </c>
      <c r="J469" t="s">
        <v>54</v>
      </c>
      <c r="K469" s="15">
        <v>830000</v>
      </c>
      <c r="L469" s="5" t="str">
        <f t="shared" si="7"/>
        <v>5  - 8</v>
      </c>
    </row>
    <row r="470" spans="3:12" hidden="1">
      <c r="C470" t="s">
        <v>31</v>
      </c>
      <c r="D470" t="s">
        <v>55</v>
      </c>
      <c r="E470">
        <v>7</v>
      </c>
      <c r="F470" t="s">
        <v>10</v>
      </c>
      <c r="G470" t="s">
        <v>51</v>
      </c>
      <c r="H470" t="s">
        <v>217</v>
      </c>
      <c r="I470" s="3" t="s">
        <v>72</v>
      </c>
      <c r="J470" t="s">
        <v>66</v>
      </c>
      <c r="K470" s="15">
        <v>850000</v>
      </c>
      <c r="L470" s="5" t="str">
        <f t="shared" si="7"/>
        <v>5  - 8</v>
      </c>
    </row>
    <row r="471" spans="3:12" hidden="1">
      <c r="C471" t="s">
        <v>31</v>
      </c>
      <c r="D471" t="s">
        <v>73</v>
      </c>
      <c r="E471">
        <v>7</v>
      </c>
      <c r="F471" t="s">
        <v>10</v>
      </c>
      <c r="G471" t="s">
        <v>51</v>
      </c>
      <c r="H471" t="s">
        <v>217</v>
      </c>
      <c r="I471" s="3" t="s">
        <v>79</v>
      </c>
      <c r="J471" t="s">
        <v>66</v>
      </c>
      <c r="K471" s="15">
        <v>900000</v>
      </c>
      <c r="L471" s="5" t="str">
        <f t="shared" si="7"/>
        <v>5  - 8</v>
      </c>
    </row>
    <row r="472" spans="3:12" hidden="1">
      <c r="C472" t="s">
        <v>31</v>
      </c>
      <c r="D472" t="s">
        <v>55</v>
      </c>
      <c r="E472">
        <v>7</v>
      </c>
      <c r="F472" t="s">
        <v>10</v>
      </c>
      <c r="G472" t="s">
        <v>51</v>
      </c>
      <c r="H472" t="s">
        <v>217</v>
      </c>
      <c r="I472" s="3" t="s">
        <v>79</v>
      </c>
      <c r="J472" t="s">
        <v>54</v>
      </c>
      <c r="K472" s="15">
        <v>900000</v>
      </c>
      <c r="L472" s="5" t="str">
        <f t="shared" si="7"/>
        <v>5  - 8</v>
      </c>
    </row>
    <row r="473" spans="3:12" hidden="1">
      <c r="C473" t="s">
        <v>31</v>
      </c>
      <c r="D473" t="s">
        <v>73</v>
      </c>
      <c r="E473">
        <v>7</v>
      </c>
      <c r="F473" t="s">
        <v>10</v>
      </c>
      <c r="G473" t="s">
        <v>59</v>
      </c>
      <c r="H473" t="s">
        <v>217</v>
      </c>
      <c r="I473" s="3" t="s">
        <v>141</v>
      </c>
      <c r="J473" t="s">
        <v>54</v>
      </c>
      <c r="K473" s="15">
        <v>940000</v>
      </c>
      <c r="L473" s="5" t="str">
        <f t="shared" si="7"/>
        <v>5  - 8</v>
      </c>
    </row>
    <row r="474" spans="3:12" hidden="1">
      <c r="C474" t="s">
        <v>31</v>
      </c>
      <c r="D474" t="s">
        <v>55</v>
      </c>
      <c r="E474">
        <v>7</v>
      </c>
      <c r="F474" t="s">
        <v>10</v>
      </c>
      <c r="G474" t="s">
        <v>59</v>
      </c>
      <c r="H474" t="s">
        <v>217</v>
      </c>
      <c r="I474" s="3" t="s">
        <v>251</v>
      </c>
      <c r="J474" t="s">
        <v>54</v>
      </c>
      <c r="K474" s="15">
        <v>1037000</v>
      </c>
      <c r="L474" s="5" t="str">
        <f t="shared" si="7"/>
        <v>5  - 8</v>
      </c>
    </row>
    <row r="475" spans="3:12" hidden="1">
      <c r="C475" t="s">
        <v>31</v>
      </c>
      <c r="D475" t="s">
        <v>55</v>
      </c>
      <c r="E475">
        <v>7</v>
      </c>
      <c r="F475" t="s">
        <v>10</v>
      </c>
      <c r="G475" t="s">
        <v>51</v>
      </c>
      <c r="H475" t="s">
        <v>217</v>
      </c>
      <c r="I475" s="3" t="s">
        <v>148</v>
      </c>
      <c r="J475" t="s">
        <v>66</v>
      </c>
      <c r="K475" s="15">
        <v>1050000</v>
      </c>
      <c r="L475" s="5" t="str">
        <f t="shared" si="7"/>
        <v>5  - 8</v>
      </c>
    </row>
    <row r="476" spans="3:12" hidden="1">
      <c r="C476" t="s">
        <v>31</v>
      </c>
      <c r="D476" t="s">
        <v>55</v>
      </c>
      <c r="E476">
        <v>7</v>
      </c>
      <c r="F476" t="s">
        <v>10</v>
      </c>
      <c r="G476" t="s">
        <v>59</v>
      </c>
      <c r="H476" t="s">
        <v>217</v>
      </c>
      <c r="I476" s="3" t="s">
        <v>61</v>
      </c>
      <c r="J476" t="s">
        <v>54</v>
      </c>
      <c r="K476" s="15">
        <v>1200000</v>
      </c>
      <c r="L476" s="5" t="str">
        <f t="shared" si="7"/>
        <v>5  - 8</v>
      </c>
    </row>
    <row r="477" spans="3:12" hidden="1">
      <c r="C477" t="s">
        <v>30</v>
      </c>
      <c r="D477" t="s">
        <v>73</v>
      </c>
      <c r="E477">
        <v>6</v>
      </c>
      <c r="F477" t="s">
        <v>10</v>
      </c>
      <c r="G477" t="s">
        <v>51</v>
      </c>
      <c r="H477" t="s">
        <v>217</v>
      </c>
      <c r="I477" s="3" t="s">
        <v>144</v>
      </c>
      <c r="J477" t="s">
        <v>54</v>
      </c>
      <c r="K477" s="15">
        <v>970000</v>
      </c>
      <c r="L477" s="5" t="str">
        <f t="shared" si="7"/>
        <v>5  - 8</v>
      </c>
    </row>
    <row r="478" spans="3:12" hidden="1">
      <c r="C478" t="s">
        <v>31</v>
      </c>
      <c r="D478" t="s">
        <v>73</v>
      </c>
      <c r="E478">
        <v>6</v>
      </c>
      <c r="F478" t="s">
        <v>10</v>
      </c>
      <c r="G478" t="s">
        <v>51</v>
      </c>
      <c r="H478" t="s">
        <v>217</v>
      </c>
      <c r="I478" s="3" t="s">
        <v>252</v>
      </c>
      <c r="J478" t="s">
        <v>54</v>
      </c>
      <c r="K478" s="15">
        <v>703500</v>
      </c>
      <c r="L478" s="5" t="str">
        <f t="shared" si="7"/>
        <v>5  - 8</v>
      </c>
    </row>
    <row r="479" spans="3:12" hidden="1">
      <c r="C479" t="s">
        <v>31</v>
      </c>
      <c r="D479" t="s">
        <v>73</v>
      </c>
      <c r="E479">
        <v>6</v>
      </c>
      <c r="F479" t="s">
        <v>10</v>
      </c>
      <c r="G479" t="s">
        <v>51</v>
      </c>
      <c r="H479" t="s">
        <v>217</v>
      </c>
      <c r="I479" s="3" t="s">
        <v>69</v>
      </c>
      <c r="J479" t="s">
        <v>66</v>
      </c>
      <c r="K479" s="15">
        <v>750000</v>
      </c>
      <c r="L479" s="5" t="str">
        <f t="shared" si="7"/>
        <v>5  - 8</v>
      </c>
    </row>
    <row r="480" spans="3:12" hidden="1">
      <c r="C480" t="s">
        <v>31</v>
      </c>
      <c r="D480" t="s">
        <v>73</v>
      </c>
      <c r="E480">
        <v>6</v>
      </c>
      <c r="F480" t="s">
        <v>10</v>
      </c>
      <c r="G480" t="s">
        <v>51</v>
      </c>
      <c r="H480" t="s">
        <v>217</v>
      </c>
      <c r="I480" s="3" t="s">
        <v>253</v>
      </c>
      <c r="J480" t="s">
        <v>54</v>
      </c>
      <c r="K480" s="15">
        <v>787000</v>
      </c>
      <c r="L480" s="5" t="str">
        <f t="shared" si="7"/>
        <v>5  - 8</v>
      </c>
    </row>
    <row r="481" spans="3:12" hidden="1">
      <c r="C481" t="s">
        <v>31</v>
      </c>
      <c r="D481" t="s">
        <v>55</v>
      </c>
      <c r="E481">
        <v>6</v>
      </c>
      <c r="F481" t="s">
        <v>10</v>
      </c>
      <c r="G481" t="s">
        <v>57</v>
      </c>
      <c r="H481" t="s">
        <v>217</v>
      </c>
      <c r="I481" s="3" t="s">
        <v>116</v>
      </c>
      <c r="J481" t="s">
        <v>66</v>
      </c>
      <c r="K481" s="15">
        <v>800000</v>
      </c>
      <c r="L481" s="5" t="str">
        <f t="shared" si="7"/>
        <v>5  - 8</v>
      </c>
    </row>
    <row r="482" spans="3:12" hidden="1">
      <c r="C482" t="s">
        <v>31</v>
      </c>
      <c r="D482" t="s">
        <v>73</v>
      </c>
      <c r="E482">
        <v>6</v>
      </c>
      <c r="F482" t="s">
        <v>10</v>
      </c>
      <c r="G482" t="s">
        <v>51</v>
      </c>
      <c r="H482" t="s">
        <v>217</v>
      </c>
      <c r="I482" s="3" t="s">
        <v>154</v>
      </c>
      <c r="J482" t="s">
        <v>54</v>
      </c>
      <c r="K482" s="15">
        <v>875000</v>
      </c>
      <c r="L482" s="5" t="str">
        <f t="shared" si="7"/>
        <v>5  - 8</v>
      </c>
    </row>
    <row r="483" spans="3:12" hidden="1">
      <c r="C483" t="s">
        <v>31</v>
      </c>
      <c r="D483" t="s">
        <v>73</v>
      </c>
      <c r="E483">
        <v>6</v>
      </c>
      <c r="F483" t="s">
        <v>10</v>
      </c>
      <c r="G483" t="s">
        <v>51</v>
      </c>
      <c r="H483" t="s">
        <v>217</v>
      </c>
      <c r="I483" s="3" t="s">
        <v>168</v>
      </c>
      <c r="J483" t="s">
        <v>54</v>
      </c>
      <c r="K483" s="15">
        <v>880000</v>
      </c>
      <c r="L483" s="5" t="str">
        <f t="shared" si="7"/>
        <v>5  - 8</v>
      </c>
    </row>
    <row r="484" spans="3:12" hidden="1">
      <c r="C484" t="s">
        <v>31</v>
      </c>
      <c r="D484" t="s">
        <v>77</v>
      </c>
      <c r="E484">
        <v>6</v>
      </c>
      <c r="F484" t="s">
        <v>10</v>
      </c>
      <c r="G484" t="s">
        <v>57</v>
      </c>
      <c r="H484" t="s">
        <v>217</v>
      </c>
      <c r="I484" s="3" t="s">
        <v>79</v>
      </c>
      <c r="J484" t="s">
        <v>54</v>
      </c>
      <c r="K484" s="15">
        <v>900000</v>
      </c>
      <c r="L484" s="5" t="str">
        <f t="shared" si="7"/>
        <v>5  - 8</v>
      </c>
    </row>
    <row r="485" spans="3:12" hidden="1">
      <c r="C485" t="s">
        <v>31</v>
      </c>
      <c r="D485" t="s">
        <v>55</v>
      </c>
      <c r="E485">
        <v>6</v>
      </c>
      <c r="F485" t="s">
        <v>10</v>
      </c>
      <c r="G485" t="s">
        <v>59</v>
      </c>
      <c r="H485" t="s">
        <v>217</v>
      </c>
      <c r="I485" s="3" t="s">
        <v>68</v>
      </c>
      <c r="J485" t="s">
        <v>54</v>
      </c>
      <c r="K485" s="15">
        <v>980000</v>
      </c>
      <c r="L485" s="5" t="str">
        <f t="shared" si="7"/>
        <v>5  - 8</v>
      </c>
    </row>
    <row r="486" spans="3:12" hidden="1">
      <c r="C486" t="s">
        <v>31</v>
      </c>
      <c r="D486" t="s">
        <v>73</v>
      </c>
      <c r="E486">
        <v>6</v>
      </c>
      <c r="F486" t="s">
        <v>10</v>
      </c>
      <c r="G486" t="s">
        <v>59</v>
      </c>
      <c r="H486" t="s">
        <v>217</v>
      </c>
      <c r="I486" s="3" t="s">
        <v>110</v>
      </c>
      <c r="J486" t="s">
        <v>66</v>
      </c>
      <c r="K486" s="15">
        <v>1000000</v>
      </c>
      <c r="L486" s="5" t="str">
        <f t="shared" si="7"/>
        <v>5  - 8</v>
      </c>
    </row>
    <row r="487" spans="3:12" hidden="1">
      <c r="C487" t="s">
        <v>31</v>
      </c>
      <c r="D487" t="s">
        <v>55</v>
      </c>
      <c r="E487">
        <v>6</v>
      </c>
      <c r="F487" t="s">
        <v>10</v>
      </c>
      <c r="G487" t="s">
        <v>59</v>
      </c>
      <c r="H487" t="s">
        <v>217</v>
      </c>
      <c r="I487" s="3" t="s">
        <v>110</v>
      </c>
      <c r="J487" t="s">
        <v>54</v>
      </c>
      <c r="K487" s="15">
        <v>1000000</v>
      </c>
      <c r="L487" s="5" t="str">
        <f t="shared" si="7"/>
        <v>5  - 8</v>
      </c>
    </row>
    <row r="488" spans="3:12" hidden="1">
      <c r="C488" t="s">
        <v>31</v>
      </c>
      <c r="D488" t="s">
        <v>55</v>
      </c>
      <c r="E488">
        <v>6</v>
      </c>
      <c r="F488" t="s">
        <v>10</v>
      </c>
      <c r="G488" t="s">
        <v>59</v>
      </c>
      <c r="H488" t="s">
        <v>217</v>
      </c>
      <c r="I488" s="3" t="s">
        <v>235</v>
      </c>
      <c r="J488" t="s">
        <v>54</v>
      </c>
      <c r="K488" s="15">
        <v>1020000</v>
      </c>
      <c r="L488" s="5" t="str">
        <f t="shared" si="7"/>
        <v>5  - 8</v>
      </c>
    </row>
    <row r="489" spans="3:12" hidden="1">
      <c r="C489" t="s">
        <v>31</v>
      </c>
      <c r="D489" t="s">
        <v>73</v>
      </c>
      <c r="E489">
        <v>6</v>
      </c>
      <c r="F489" t="s">
        <v>10</v>
      </c>
      <c r="G489" t="s">
        <v>59</v>
      </c>
      <c r="H489" t="s">
        <v>217</v>
      </c>
      <c r="I489" s="3" t="s">
        <v>106</v>
      </c>
      <c r="J489" t="s">
        <v>54</v>
      </c>
      <c r="K489" s="15">
        <v>1100000</v>
      </c>
      <c r="L489" s="5" t="str">
        <f t="shared" si="7"/>
        <v>5  - 8</v>
      </c>
    </row>
    <row r="490" spans="3:12" hidden="1">
      <c r="C490" t="s">
        <v>31</v>
      </c>
      <c r="D490" t="s">
        <v>49</v>
      </c>
      <c r="E490">
        <v>6</v>
      </c>
      <c r="F490" t="s">
        <v>10</v>
      </c>
      <c r="G490" t="s">
        <v>51</v>
      </c>
      <c r="H490" t="s">
        <v>217</v>
      </c>
      <c r="I490" s="3" t="s">
        <v>61</v>
      </c>
      <c r="J490" t="s">
        <v>66</v>
      </c>
      <c r="K490" s="15">
        <v>1200000</v>
      </c>
      <c r="L490" s="5" t="str">
        <f t="shared" si="7"/>
        <v>5  - 8</v>
      </c>
    </row>
    <row r="491" spans="3:12" hidden="1">
      <c r="C491" t="s">
        <v>31</v>
      </c>
      <c r="D491" t="s">
        <v>73</v>
      </c>
      <c r="E491">
        <v>6</v>
      </c>
      <c r="F491" t="s">
        <v>10</v>
      </c>
      <c r="G491" t="s">
        <v>59</v>
      </c>
      <c r="H491" t="s">
        <v>217</v>
      </c>
      <c r="I491" s="3" t="s">
        <v>175</v>
      </c>
      <c r="J491" t="s">
        <v>66</v>
      </c>
      <c r="K491" s="15">
        <v>1400000</v>
      </c>
      <c r="L491" s="5" t="str">
        <f t="shared" si="7"/>
        <v>5  - 8</v>
      </c>
    </row>
    <row r="492" spans="3:12" hidden="1">
      <c r="C492" t="s">
        <v>31</v>
      </c>
      <c r="D492" t="s">
        <v>73</v>
      </c>
      <c r="E492">
        <v>6</v>
      </c>
      <c r="F492" t="s">
        <v>10</v>
      </c>
      <c r="G492" t="s">
        <v>127</v>
      </c>
      <c r="H492" t="s">
        <v>217</v>
      </c>
      <c r="I492" s="3" t="s">
        <v>196</v>
      </c>
      <c r="J492" t="s">
        <v>66</v>
      </c>
      <c r="K492" s="15">
        <v>1700000</v>
      </c>
      <c r="L492" s="5" t="str">
        <f t="shared" si="7"/>
        <v>5  - 8</v>
      </c>
    </row>
    <row r="493" spans="3:12" hidden="1">
      <c r="C493" t="s">
        <v>32</v>
      </c>
      <c r="D493" t="s">
        <v>73</v>
      </c>
      <c r="E493">
        <v>5</v>
      </c>
      <c r="F493" t="s">
        <v>10</v>
      </c>
      <c r="G493" t="s">
        <v>51</v>
      </c>
      <c r="H493" t="s">
        <v>217</v>
      </c>
      <c r="I493" s="3" t="s">
        <v>110</v>
      </c>
      <c r="J493" t="s">
        <v>54</v>
      </c>
      <c r="K493" s="15">
        <v>1000000</v>
      </c>
      <c r="L493" s="5" t="str">
        <f t="shared" si="7"/>
        <v>5  - 8</v>
      </c>
    </row>
    <row r="494" spans="3:12" hidden="1">
      <c r="C494" t="s">
        <v>30</v>
      </c>
      <c r="D494" t="s">
        <v>55</v>
      </c>
      <c r="E494">
        <v>5</v>
      </c>
      <c r="F494" t="s">
        <v>10</v>
      </c>
      <c r="G494" t="s">
        <v>51</v>
      </c>
      <c r="H494" t="s">
        <v>217</v>
      </c>
      <c r="I494" s="3" t="s">
        <v>61</v>
      </c>
      <c r="J494" t="s">
        <v>66</v>
      </c>
      <c r="K494" s="15">
        <v>1200000</v>
      </c>
      <c r="L494" s="5" t="str">
        <f t="shared" si="7"/>
        <v>5  - 8</v>
      </c>
    </row>
    <row r="495" spans="3:12" hidden="1">
      <c r="C495" t="s">
        <v>31</v>
      </c>
      <c r="D495" t="s">
        <v>73</v>
      </c>
      <c r="E495">
        <v>5</v>
      </c>
      <c r="F495" t="s">
        <v>10</v>
      </c>
      <c r="G495" t="s">
        <v>57</v>
      </c>
      <c r="H495" t="s">
        <v>217</v>
      </c>
      <c r="I495" s="3" t="s">
        <v>222</v>
      </c>
      <c r="J495" t="s">
        <v>54</v>
      </c>
      <c r="K495" s="15">
        <v>670000</v>
      </c>
      <c r="L495" s="5" t="str">
        <f t="shared" si="7"/>
        <v>5  - 8</v>
      </c>
    </row>
    <row r="496" spans="3:12" hidden="1">
      <c r="C496" t="s">
        <v>31</v>
      </c>
      <c r="D496" t="s">
        <v>55</v>
      </c>
      <c r="E496">
        <v>5</v>
      </c>
      <c r="F496" t="s">
        <v>10</v>
      </c>
      <c r="G496" t="s">
        <v>59</v>
      </c>
      <c r="H496" t="s">
        <v>217</v>
      </c>
      <c r="I496" s="3" t="s">
        <v>108</v>
      </c>
      <c r="J496" t="s">
        <v>66</v>
      </c>
      <c r="K496" s="15">
        <v>700000</v>
      </c>
      <c r="L496" s="5" t="str">
        <f t="shared" si="7"/>
        <v>5  - 8</v>
      </c>
    </row>
    <row r="497" spans="3:12" hidden="1">
      <c r="C497" t="s">
        <v>31</v>
      </c>
      <c r="D497" t="s">
        <v>73</v>
      </c>
      <c r="E497">
        <v>5</v>
      </c>
      <c r="F497" t="s">
        <v>10</v>
      </c>
      <c r="G497" t="s">
        <v>57</v>
      </c>
      <c r="H497" t="s">
        <v>217</v>
      </c>
      <c r="I497" s="3" t="s">
        <v>254</v>
      </c>
      <c r="J497" t="s">
        <v>54</v>
      </c>
      <c r="K497" s="15">
        <v>708000</v>
      </c>
      <c r="L497" s="5" t="str">
        <f t="shared" si="7"/>
        <v>5  - 8</v>
      </c>
    </row>
    <row r="498" spans="3:12" hidden="1">
      <c r="C498" t="s">
        <v>31</v>
      </c>
      <c r="D498" t="s">
        <v>55</v>
      </c>
      <c r="E498">
        <v>5</v>
      </c>
      <c r="F498" t="s">
        <v>10</v>
      </c>
      <c r="G498" t="s">
        <v>59</v>
      </c>
      <c r="H498" t="s">
        <v>217</v>
      </c>
      <c r="I498" s="3" t="s">
        <v>255</v>
      </c>
      <c r="J498" t="s">
        <v>54</v>
      </c>
      <c r="K498" s="15">
        <v>796000</v>
      </c>
      <c r="L498" s="5" t="str">
        <f t="shared" si="7"/>
        <v>5  - 8</v>
      </c>
    </row>
    <row r="499" spans="3:12" hidden="1">
      <c r="C499" t="s">
        <v>31</v>
      </c>
      <c r="D499" t="s">
        <v>49</v>
      </c>
      <c r="E499">
        <v>5</v>
      </c>
      <c r="F499" t="s">
        <v>10</v>
      </c>
      <c r="G499" t="s">
        <v>59</v>
      </c>
      <c r="H499" t="s">
        <v>217</v>
      </c>
      <c r="I499" s="3" t="s">
        <v>256</v>
      </c>
      <c r="J499" t="s">
        <v>54</v>
      </c>
      <c r="K499" s="15">
        <v>825000</v>
      </c>
      <c r="L499" s="5" t="str">
        <f t="shared" si="7"/>
        <v>5  - 8</v>
      </c>
    </row>
    <row r="500" spans="3:12" hidden="1">
      <c r="C500" t="s">
        <v>31</v>
      </c>
      <c r="D500" t="s">
        <v>73</v>
      </c>
      <c r="E500">
        <v>5</v>
      </c>
      <c r="F500" t="s">
        <v>10</v>
      </c>
      <c r="G500" t="s">
        <v>51</v>
      </c>
      <c r="H500" t="s">
        <v>217</v>
      </c>
      <c r="I500" s="3" t="s">
        <v>135</v>
      </c>
      <c r="J500" t="s">
        <v>54</v>
      </c>
      <c r="K500" s="15">
        <v>840000</v>
      </c>
      <c r="L500" s="5" t="str">
        <f t="shared" si="7"/>
        <v>5  - 8</v>
      </c>
    </row>
    <row r="501" spans="3:12" hidden="1">
      <c r="C501" t="s">
        <v>31</v>
      </c>
      <c r="D501" t="s">
        <v>73</v>
      </c>
      <c r="E501">
        <v>5</v>
      </c>
      <c r="F501" t="s">
        <v>10</v>
      </c>
      <c r="G501" t="s">
        <v>51</v>
      </c>
      <c r="H501" t="s">
        <v>217</v>
      </c>
      <c r="I501" s="3" t="s">
        <v>135</v>
      </c>
      <c r="J501" t="s">
        <v>54</v>
      </c>
      <c r="K501" s="15">
        <v>840000</v>
      </c>
      <c r="L501" s="5" t="str">
        <f t="shared" si="7"/>
        <v>5  - 8</v>
      </c>
    </row>
    <row r="502" spans="3:12" hidden="1">
      <c r="C502" t="s">
        <v>31</v>
      </c>
      <c r="D502" t="s">
        <v>55</v>
      </c>
      <c r="E502">
        <v>5</v>
      </c>
      <c r="F502" t="s">
        <v>10</v>
      </c>
      <c r="G502" t="s">
        <v>51</v>
      </c>
      <c r="H502" t="s">
        <v>217</v>
      </c>
      <c r="I502" s="3" t="s">
        <v>72</v>
      </c>
      <c r="J502" t="s">
        <v>54</v>
      </c>
      <c r="K502" s="15">
        <v>850000</v>
      </c>
      <c r="L502" s="5" t="str">
        <f t="shared" si="7"/>
        <v>5  - 8</v>
      </c>
    </row>
    <row r="503" spans="3:12" hidden="1">
      <c r="C503" t="s">
        <v>31</v>
      </c>
      <c r="D503" t="s">
        <v>73</v>
      </c>
      <c r="E503">
        <v>5</v>
      </c>
      <c r="F503" t="s">
        <v>10</v>
      </c>
      <c r="G503" t="s">
        <v>51</v>
      </c>
      <c r="H503" t="s">
        <v>217</v>
      </c>
      <c r="I503" s="3" t="s">
        <v>72</v>
      </c>
      <c r="J503" t="s">
        <v>54</v>
      </c>
      <c r="K503" s="15">
        <v>850000</v>
      </c>
      <c r="L503" s="5" t="str">
        <f t="shared" si="7"/>
        <v>5  - 8</v>
      </c>
    </row>
    <row r="504" spans="3:12" hidden="1">
      <c r="C504" t="s">
        <v>31</v>
      </c>
      <c r="D504" t="s">
        <v>55</v>
      </c>
      <c r="E504">
        <v>5</v>
      </c>
      <c r="F504" t="s">
        <v>10</v>
      </c>
      <c r="G504" t="s">
        <v>59</v>
      </c>
      <c r="H504" t="s">
        <v>217</v>
      </c>
      <c r="I504" s="3" t="s">
        <v>166</v>
      </c>
      <c r="J504" t="s">
        <v>66</v>
      </c>
      <c r="K504" s="15">
        <v>890000</v>
      </c>
      <c r="L504" s="5" t="str">
        <f t="shared" si="7"/>
        <v>5  - 8</v>
      </c>
    </row>
    <row r="505" spans="3:12" hidden="1">
      <c r="C505" t="s">
        <v>31</v>
      </c>
      <c r="D505" t="s">
        <v>73</v>
      </c>
      <c r="E505">
        <v>5</v>
      </c>
      <c r="F505" t="s">
        <v>10</v>
      </c>
      <c r="G505" t="s">
        <v>59</v>
      </c>
      <c r="H505" t="s">
        <v>217</v>
      </c>
      <c r="I505" s="3" t="s">
        <v>79</v>
      </c>
      <c r="J505" t="s">
        <v>66</v>
      </c>
      <c r="K505" s="15">
        <v>900000</v>
      </c>
      <c r="L505" s="5" t="str">
        <f t="shared" si="7"/>
        <v>5  - 8</v>
      </c>
    </row>
    <row r="506" spans="3:12" hidden="1">
      <c r="C506" t="s">
        <v>31</v>
      </c>
      <c r="D506" t="s">
        <v>73</v>
      </c>
      <c r="E506">
        <v>5</v>
      </c>
      <c r="F506" t="s">
        <v>10</v>
      </c>
      <c r="G506" t="s">
        <v>51</v>
      </c>
      <c r="H506" t="s">
        <v>217</v>
      </c>
      <c r="I506" s="3" t="s">
        <v>79</v>
      </c>
      <c r="J506" t="s">
        <v>66</v>
      </c>
      <c r="K506" s="15">
        <v>900000</v>
      </c>
      <c r="L506" s="5" t="str">
        <f t="shared" si="7"/>
        <v>5  - 8</v>
      </c>
    </row>
    <row r="507" spans="3:12" hidden="1">
      <c r="C507" t="s">
        <v>31</v>
      </c>
      <c r="D507" t="s">
        <v>55</v>
      </c>
      <c r="E507">
        <v>5</v>
      </c>
      <c r="F507" t="s">
        <v>10</v>
      </c>
      <c r="G507" t="s">
        <v>127</v>
      </c>
      <c r="H507" t="s">
        <v>217</v>
      </c>
      <c r="I507" s="3" t="s">
        <v>70</v>
      </c>
      <c r="J507" t="s">
        <v>54</v>
      </c>
      <c r="K507" s="15">
        <v>910000</v>
      </c>
      <c r="L507" s="5" t="str">
        <f t="shared" si="7"/>
        <v>5  - 8</v>
      </c>
    </row>
    <row r="508" spans="3:12" hidden="1">
      <c r="C508" t="s">
        <v>31</v>
      </c>
      <c r="D508" t="s">
        <v>73</v>
      </c>
      <c r="E508">
        <v>5</v>
      </c>
      <c r="F508" t="s">
        <v>10</v>
      </c>
      <c r="G508" t="s">
        <v>59</v>
      </c>
      <c r="H508" t="s">
        <v>217</v>
      </c>
      <c r="I508" s="3" t="s">
        <v>257</v>
      </c>
      <c r="J508" t="s">
        <v>66</v>
      </c>
      <c r="K508" s="15">
        <v>915000</v>
      </c>
      <c r="L508" s="5" t="str">
        <f t="shared" si="7"/>
        <v>5  - 8</v>
      </c>
    </row>
    <row r="509" spans="3:12" hidden="1">
      <c r="C509" t="s">
        <v>31</v>
      </c>
      <c r="D509" t="s">
        <v>55</v>
      </c>
      <c r="E509">
        <v>5</v>
      </c>
      <c r="F509" t="s">
        <v>10</v>
      </c>
      <c r="G509" t="s">
        <v>59</v>
      </c>
      <c r="H509" t="s">
        <v>217</v>
      </c>
      <c r="I509" s="3" t="s">
        <v>126</v>
      </c>
      <c r="J509" t="s">
        <v>54</v>
      </c>
      <c r="K509" s="15">
        <v>925000</v>
      </c>
      <c r="L509" s="5" t="str">
        <f t="shared" si="7"/>
        <v>5  - 8</v>
      </c>
    </row>
    <row r="510" spans="3:12" hidden="1">
      <c r="C510" t="s">
        <v>31</v>
      </c>
      <c r="D510" t="s">
        <v>63</v>
      </c>
      <c r="E510">
        <v>5</v>
      </c>
      <c r="F510" t="s">
        <v>10</v>
      </c>
      <c r="G510" t="s">
        <v>59</v>
      </c>
      <c r="H510" t="s">
        <v>217</v>
      </c>
      <c r="I510" s="3" t="s">
        <v>126</v>
      </c>
      <c r="J510" t="s">
        <v>54</v>
      </c>
      <c r="K510" s="15">
        <v>925000</v>
      </c>
      <c r="L510" s="5" t="str">
        <f t="shared" si="7"/>
        <v>5  - 8</v>
      </c>
    </row>
    <row r="511" spans="3:12" hidden="1">
      <c r="C511" t="s">
        <v>31</v>
      </c>
      <c r="D511" t="s">
        <v>55</v>
      </c>
      <c r="E511">
        <v>5</v>
      </c>
      <c r="F511" t="s">
        <v>10</v>
      </c>
      <c r="G511" t="s">
        <v>51</v>
      </c>
      <c r="H511" t="s">
        <v>217</v>
      </c>
      <c r="I511" s="3" t="s">
        <v>258</v>
      </c>
      <c r="J511" t="s">
        <v>54</v>
      </c>
      <c r="K511" s="15">
        <v>927000</v>
      </c>
      <c r="L511" s="5" t="str">
        <f t="shared" si="7"/>
        <v>5  - 8</v>
      </c>
    </row>
    <row r="512" spans="3:12" hidden="1">
      <c r="C512" t="s">
        <v>31</v>
      </c>
      <c r="D512" t="s">
        <v>55</v>
      </c>
      <c r="E512">
        <v>5</v>
      </c>
      <c r="F512" t="s">
        <v>10</v>
      </c>
      <c r="G512" t="s">
        <v>59</v>
      </c>
      <c r="H512" t="s">
        <v>217</v>
      </c>
      <c r="I512" s="3" t="s">
        <v>122</v>
      </c>
      <c r="J512" t="s">
        <v>54</v>
      </c>
      <c r="K512" s="15">
        <v>930000</v>
      </c>
      <c r="L512" s="5" t="str">
        <f t="shared" si="7"/>
        <v>5  - 8</v>
      </c>
    </row>
    <row r="513" spans="3:12" hidden="1">
      <c r="C513" t="s">
        <v>31</v>
      </c>
      <c r="D513" t="s">
        <v>55</v>
      </c>
      <c r="E513">
        <v>5</v>
      </c>
      <c r="F513" t="s">
        <v>10</v>
      </c>
      <c r="G513" t="s">
        <v>59</v>
      </c>
      <c r="H513" t="s">
        <v>217</v>
      </c>
      <c r="I513" s="3" t="s">
        <v>130</v>
      </c>
      <c r="J513" t="s">
        <v>66</v>
      </c>
      <c r="K513" s="15">
        <v>950000</v>
      </c>
      <c r="L513" s="5" t="str">
        <f t="shared" si="7"/>
        <v>5  - 8</v>
      </c>
    </row>
    <row r="514" spans="3:12" hidden="1">
      <c r="C514" t="s">
        <v>31</v>
      </c>
      <c r="D514" t="s">
        <v>55</v>
      </c>
      <c r="E514">
        <v>5</v>
      </c>
      <c r="F514" t="s">
        <v>10</v>
      </c>
      <c r="G514" t="s">
        <v>57</v>
      </c>
      <c r="H514" t="s">
        <v>217</v>
      </c>
      <c r="I514" s="3" t="s">
        <v>130</v>
      </c>
      <c r="J514" t="s">
        <v>54</v>
      </c>
      <c r="K514" s="15">
        <v>950000</v>
      </c>
      <c r="L514" s="5" t="str">
        <f t="shared" si="7"/>
        <v>5  - 8</v>
      </c>
    </row>
    <row r="515" spans="3:12" hidden="1">
      <c r="C515" t="s">
        <v>31</v>
      </c>
      <c r="D515" t="s">
        <v>49</v>
      </c>
      <c r="E515">
        <v>5</v>
      </c>
      <c r="F515" t="s">
        <v>10</v>
      </c>
      <c r="G515" t="s">
        <v>51</v>
      </c>
      <c r="H515" t="s">
        <v>217</v>
      </c>
      <c r="I515" s="3" t="s">
        <v>106</v>
      </c>
      <c r="J515" t="s">
        <v>66</v>
      </c>
      <c r="K515" s="15">
        <v>1100000</v>
      </c>
      <c r="L515" s="5" t="str">
        <f t="shared" ref="L515:L578" si="8">_xlfn.XLOOKUP(E515,$P$2:$P$5,$O$2:$O$5,,1)</f>
        <v>5  - 8</v>
      </c>
    </row>
    <row r="516" spans="3:12" hidden="1">
      <c r="C516" t="s">
        <v>31</v>
      </c>
      <c r="D516" t="s">
        <v>55</v>
      </c>
      <c r="E516">
        <v>5</v>
      </c>
      <c r="F516" t="s">
        <v>10</v>
      </c>
      <c r="G516" t="s">
        <v>59</v>
      </c>
      <c r="H516" t="s">
        <v>217</v>
      </c>
      <c r="I516" s="3" t="s">
        <v>61</v>
      </c>
      <c r="J516" t="s">
        <v>66</v>
      </c>
      <c r="K516" s="15">
        <v>1200000</v>
      </c>
      <c r="L516" s="5" t="str">
        <f t="shared" si="8"/>
        <v>5  - 8</v>
      </c>
    </row>
    <row r="517" spans="3:12" hidden="1">
      <c r="C517" t="s">
        <v>31</v>
      </c>
      <c r="D517" t="s">
        <v>73</v>
      </c>
      <c r="E517">
        <v>5</v>
      </c>
      <c r="F517" t="s">
        <v>10</v>
      </c>
      <c r="G517" t="s">
        <v>127</v>
      </c>
      <c r="H517" t="s">
        <v>217</v>
      </c>
      <c r="I517" s="3" t="s">
        <v>192</v>
      </c>
      <c r="J517" t="s">
        <v>66</v>
      </c>
      <c r="K517" s="15">
        <v>1600000</v>
      </c>
      <c r="L517" s="5" t="str">
        <f t="shared" si="8"/>
        <v>5  - 8</v>
      </c>
    </row>
    <row r="518" spans="3:12" hidden="1">
      <c r="C518" t="s">
        <v>30</v>
      </c>
      <c r="D518" t="s">
        <v>55</v>
      </c>
      <c r="E518">
        <v>4</v>
      </c>
      <c r="F518" t="s">
        <v>10</v>
      </c>
      <c r="G518" t="s">
        <v>59</v>
      </c>
      <c r="H518" t="s">
        <v>217</v>
      </c>
      <c r="I518" s="3" t="s">
        <v>259</v>
      </c>
      <c r="J518" t="s">
        <v>54</v>
      </c>
      <c r="K518" s="15">
        <v>767000</v>
      </c>
      <c r="L518" s="5" t="str">
        <f t="shared" si="8"/>
        <v>0 - 4</v>
      </c>
    </row>
    <row r="519" spans="3:12" hidden="1">
      <c r="C519" t="s">
        <v>30</v>
      </c>
      <c r="D519" t="s">
        <v>55</v>
      </c>
      <c r="E519">
        <v>4</v>
      </c>
      <c r="F519" t="s">
        <v>10</v>
      </c>
      <c r="G519" t="s">
        <v>59</v>
      </c>
      <c r="H519" t="s">
        <v>217</v>
      </c>
      <c r="I519" s="3" t="s">
        <v>72</v>
      </c>
      <c r="J519" t="s">
        <v>66</v>
      </c>
      <c r="K519" s="15">
        <v>850000</v>
      </c>
      <c r="L519" s="5" t="str">
        <f t="shared" si="8"/>
        <v>0 - 4</v>
      </c>
    </row>
    <row r="520" spans="3:12" hidden="1">
      <c r="C520" t="s">
        <v>30</v>
      </c>
      <c r="D520" t="s">
        <v>55</v>
      </c>
      <c r="E520">
        <v>4</v>
      </c>
      <c r="F520" t="s">
        <v>10</v>
      </c>
      <c r="G520" t="s">
        <v>59</v>
      </c>
      <c r="H520" t="s">
        <v>217</v>
      </c>
      <c r="I520" s="3" t="s">
        <v>167</v>
      </c>
      <c r="J520" t="s">
        <v>66</v>
      </c>
      <c r="K520" s="15">
        <v>860000</v>
      </c>
      <c r="L520" s="5" t="str">
        <f t="shared" si="8"/>
        <v>0 - 4</v>
      </c>
    </row>
    <row r="521" spans="3:12" hidden="1">
      <c r="C521" t="s">
        <v>30</v>
      </c>
      <c r="D521" t="s">
        <v>55</v>
      </c>
      <c r="E521">
        <v>4</v>
      </c>
      <c r="F521" t="s">
        <v>10</v>
      </c>
      <c r="G521" t="s">
        <v>59</v>
      </c>
      <c r="H521" t="s">
        <v>217</v>
      </c>
      <c r="I521" s="3" t="s">
        <v>79</v>
      </c>
      <c r="J521" t="s">
        <v>54</v>
      </c>
      <c r="K521" s="15">
        <v>900000</v>
      </c>
      <c r="L521" s="5" t="str">
        <f t="shared" si="8"/>
        <v>0 - 4</v>
      </c>
    </row>
    <row r="522" spans="3:12" hidden="1">
      <c r="C522" t="s">
        <v>30</v>
      </c>
      <c r="D522" t="s">
        <v>73</v>
      </c>
      <c r="E522">
        <v>4</v>
      </c>
      <c r="F522" t="s">
        <v>10</v>
      </c>
      <c r="G522" t="s">
        <v>59</v>
      </c>
      <c r="H522" t="s">
        <v>217</v>
      </c>
      <c r="I522" s="3" t="s">
        <v>260</v>
      </c>
      <c r="J522" t="s">
        <v>66</v>
      </c>
      <c r="K522" s="15">
        <v>945000</v>
      </c>
      <c r="L522" s="5" t="str">
        <f t="shared" si="8"/>
        <v>0 - 4</v>
      </c>
    </row>
    <row r="523" spans="3:12" hidden="1">
      <c r="C523" t="s">
        <v>31</v>
      </c>
      <c r="D523" t="s">
        <v>73</v>
      </c>
      <c r="E523">
        <v>4</v>
      </c>
      <c r="F523" t="s">
        <v>10</v>
      </c>
      <c r="G523" t="s">
        <v>51</v>
      </c>
      <c r="H523" t="s">
        <v>217</v>
      </c>
      <c r="I523" s="3" t="s">
        <v>74</v>
      </c>
      <c r="J523" t="s">
        <v>54</v>
      </c>
      <c r="K523" s="15">
        <v>730000</v>
      </c>
      <c r="L523" s="5" t="str">
        <f t="shared" si="8"/>
        <v>0 - 4</v>
      </c>
    </row>
    <row r="524" spans="3:12" hidden="1">
      <c r="C524" t="s">
        <v>31</v>
      </c>
      <c r="D524" t="s">
        <v>73</v>
      </c>
      <c r="E524">
        <v>4</v>
      </c>
      <c r="F524" t="s">
        <v>10</v>
      </c>
      <c r="G524" t="s">
        <v>57</v>
      </c>
      <c r="H524" t="s">
        <v>217</v>
      </c>
      <c r="I524" s="3" t="s">
        <v>261</v>
      </c>
      <c r="J524" t="s">
        <v>54</v>
      </c>
      <c r="K524" s="15">
        <v>732300</v>
      </c>
      <c r="L524" s="5" t="str">
        <f t="shared" si="8"/>
        <v>0 - 4</v>
      </c>
    </row>
    <row r="525" spans="3:12" hidden="1">
      <c r="C525" t="s">
        <v>31</v>
      </c>
      <c r="D525" t="s">
        <v>55</v>
      </c>
      <c r="E525">
        <v>4</v>
      </c>
      <c r="F525" t="s">
        <v>10</v>
      </c>
      <c r="G525" t="s">
        <v>59</v>
      </c>
      <c r="H525" t="s">
        <v>217</v>
      </c>
      <c r="I525" s="3" t="s">
        <v>223</v>
      </c>
      <c r="J525" t="s">
        <v>66</v>
      </c>
      <c r="K525" s="15">
        <v>790000</v>
      </c>
      <c r="L525" s="5" t="str">
        <f t="shared" si="8"/>
        <v>0 - 4</v>
      </c>
    </row>
    <row r="526" spans="3:12" hidden="1">
      <c r="C526" t="s">
        <v>31</v>
      </c>
      <c r="D526" t="s">
        <v>73</v>
      </c>
      <c r="E526">
        <v>4</v>
      </c>
      <c r="F526" t="s">
        <v>10</v>
      </c>
      <c r="G526" t="s">
        <v>51</v>
      </c>
      <c r="H526" t="s">
        <v>217</v>
      </c>
      <c r="I526" s="3" t="s">
        <v>116</v>
      </c>
      <c r="J526" t="s">
        <v>54</v>
      </c>
      <c r="K526" s="15">
        <v>800000</v>
      </c>
      <c r="L526" s="5" t="str">
        <f t="shared" si="8"/>
        <v>0 - 4</v>
      </c>
    </row>
    <row r="527" spans="3:12" hidden="1">
      <c r="C527" t="s">
        <v>31</v>
      </c>
      <c r="D527" t="s">
        <v>73</v>
      </c>
      <c r="E527">
        <v>4</v>
      </c>
      <c r="F527" t="s">
        <v>10</v>
      </c>
      <c r="G527" t="s">
        <v>51</v>
      </c>
      <c r="H527" t="s">
        <v>217</v>
      </c>
      <c r="I527" s="3" t="s">
        <v>116</v>
      </c>
      <c r="J527" t="s">
        <v>66</v>
      </c>
      <c r="K527" s="15">
        <v>800000</v>
      </c>
      <c r="L527" s="5" t="str">
        <f t="shared" si="8"/>
        <v>0 - 4</v>
      </c>
    </row>
    <row r="528" spans="3:12" hidden="1">
      <c r="C528" t="s">
        <v>31</v>
      </c>
      <c r="D528" t="s">
        <v>77</v>
      </c>
      <c r="E528">
        <v>4</v>
      </c>
      <c r="F528" t="s">
        <v>10</v>
      </c>
      <c r="G528" t="s">
        <v>59</v>
      </c>
      <c r="H528" t="s">
        <v>217</v>
      </c>
      <c r="I528" s="3" t="s">
        <v>262</v>
      </c>
      <c r="J528" t="s">
        <v>66</v>
      </c>
      <c r="K528" s="15">
        <v>834000</v>
      </c>
      <c r="L528" s="5" t="str">
        <f t="shared" si="8"/>
        <v>0 - 4</v>
      </c>
    </row>
    <row r="529" spans="3:12" hidden="1">
      <c r="C529" t="s">
        <v>31</v>
      </c>
      <c r="D529" t="s">
        <v>73</v>
      </c>
      <c r="E529">
        <v>4</v>
      </c>
      <c r="F529" t="s">
        <v>10</v>
      </c>
      <c r="G529" t="s">
        <v>59</v>
      </c>
      <c r="H529" t="s">
        <v>217</v>
      </c>
      <c r="I529" s="3" t="s">
        <v>72</v>
      </c>
      <c r="J529" t="s">
        <v>66</v>
      </c>
      <c r="K529" s="15">
        <v>850000</v>
      </c>
      <c r="L529" s="5" t="str">
        <f t="shared" si="8"/>
        <v>0 - 4</v>
      </c>
    </row>
    <row r="530" spans="3:12" hidden="1">
      <c r="C530" t="s">
        <v>31</v>
      </c>
      <c r="D530" t="s">
        <v>55</v>
      </c>
      <c r="E530">
        <v>4</v>
      </c>
      <c r="F530" t="s">
        <v>10</v>
      </c>
      <c r="G530" t="s">
        <v>51</v>
      </c>
      <c r="H530" t="s">
        <v>217</v>
      </c>
      <c r="I530" s="3" t="s">
        <v>72</v>
      </c>
      <c r="J530" t="s">
        <v>54</v>
      </c>
      <c r="K530" s="15">
        <v>850000</v>
      </c>
      <c r="L530" s="5" t="str">
        <f t="shared" si="8"/>
        <v>0 - 4</v>
      </c>
    </row>
    <row r="531" spans="3:12" hidden="1">
      <c r="C531" t="s">
        <v>31</v>
      </c>
      <c r="D531" t="s">
        <v>55</v>
      </c>
      <c r="E531">
        <v>4</v>
      </c>
      <c r="F531" t="s">
        <v>10</v>
      </c>
      <c r="G531" t="s">
        <v>51</v>
      </c>
      <c r="H531" t="s">
        <v>217</v>
      </c>
      <c r="I531" s="3" t="s">
        <v>111</v>
      </c>
      <c r="J531" t="s">
        <v>66</v>
      </c>
      <c r="K531" s="15">
        <v>870000</v>
      </c>
      <c r="L531" s="5" t="str">
        <f t="shared" si="8"/>
        <v>0 - 4</v>
      </c>
    </row>
    <row r="532" spans="3:12" hidden="1">
      <c r="C532" t="s">
        <v>31</v>
      </c>
      <c r="D532" t="s">
        <v>73</v>
      </c>
      <c r="E532">
        <v>4</v>
      </c>
      <c r="F532" t="s">
        <v>10</v>
      </c>
      <c r="G532" t="s">
        <v>59</v>
      </c>
      <c r="H532" t="s">
        <v>217</v>
      </c>
      <c r="I532" s="3" t="s">
        <v>166</v>
      </c>
      <c r="J532" t="s">
        <v>66</v>
      </c>
      <c r="K532" s="15">
        <v>890000</v>
      </c>
      <c r="L532" s="5" t="str">
        <f t="shared" si="8"/>
        <v>0 - 4</v>
      </c>
    </row>
    <row r="533" spans="3:12" hidden="1">
      <c r="C533" t="s">
        <v>31</v>
      </c>
      <c r="D533" t="s">
        <v>73</v>
      </c>
      <c r="E533">
        <v>4</v>
      </c>
      <c r="F533" t="s">
        <v>10</v>
      </c>
      <c r="G533" t="s">
        <v>57</v>
      </c>
      <c r="H533" t="s">
        <v>217</v>
      </c>
      <c r="I533" s="3" t="s">
        <v>263</v>
      </c>
      <c r="J533" t="s">
        <v>54</v>
      </c>
      <c r="K533" s="15">
        <v>897000</v>
      </c>
      <c r="L533" s="5" t="str">
        <f t="shared" si="8"/>
        <v>0 - 4</v>
      </c>
    </row>
    <row r="534" spans="3:12" hidden="1">
      <c r="C534" t="s">
        <v>31</v>
      </c>
      <c r="D534" t="s">
        <v>55</v>
      </c>
      <c r="E534">
        <v>4</v>
      </c>
      <c r="F534" t="s">
        <v>10</v>
      </c>
      <c r="G534" t="s">
        <v>51</v>
      </c>
      <c r="H534" t="s">
        <v>217</v>
      </c>
      <c r="I534" s="3" t="s">
        <v>98</v>
      </c>
      <c r="J534" t="s">
        <v>54</v>
      </c>
      <c r="K534" s="15">
        <v>920000</v>
      </c>
      <c r="L534" s="5" t="str">
        <f t="shared" si="8"/>
        <v>0 - 4</v>
      </c>
    </row>
    <row r="535" spans="3:12" hidden="1">
      <c r="C535" t="s">
        <v>31</v>
      </c>
      <c r="D535" t="s">
        <v>55</v>
      </c>
      <c r="E535">
        <v>4</v>
      </c>
      <c r="F535" t="s">
        <v>10</v>
      </c>
      <c r="G535" t="s">
        <v>51</v>
      </c>
      <c r="H535" t="s">
        <v>217</v>
      </c>
      <c r="I535" s="3" t="s">
        <v>264</v>
      </c>
      <c r="J535" t="s">
        <v>66</v>
      </c>
      <c r="K535" s="15">
        <v>921106</v>
      </c>
      <c r="L535" s="5" t="str">
        <f t="shared" si="8"/>
        <v>0 - 4</v>
      </c>
    </row>
    <row r="536" spans="3:12" hidden="1">
      <c r="C536" t="s">
        <v>31</v>
      </c>
      <c r="D536" t="s">
        <v>73</v>
      </c>
      <c r="E536">
        <v>4</v>
      </c>
      <c r="F536" t="s">
        <v>10</v>
      </c>
      <c r="G536" t="s">
        <v>51</v>
      </c>
      <c r="H536" t="s">
        <v>217</v>
      </c>
      <c r="I536" s="3" t="s">
        <v>130</v>
      </c>
      <c r="J536" t="s">
        <v>66</v>
      </c>
      <c r="K536" s="15">
        <v>950000</v>
      </c>
      <c r="L536" s="5" t="str">
        <f t="shared" si="8"/>
        <v>0 - 4</v>
      </c>
    </row>
    <row r="537" spans="3:12" hidden="1">
      <c r="C537" t="s">
        <v>31</v>
      </c>
      <c r="D537" t="s">
        <v>67</v>
      </c>
      <c r="E537">
        <v>4</v>
      </c>
      <c r="F537" t="s">
        <v>10</v>
      </c>
      <c r="G537" t="s">
        <v>51</v>
      </c>
      <c r="H537" t="s">
        <v>217</v>
      </c>
      <c r="I537" s="3" t="s">
        <v>68</v>
      </c>
      <c r="J537" t="s">
        <v>66</v>
      </c>
      <c r="K537" s="15">
        <v>980000</v>
      </c>
      <c r="L537" s="5" t="str">
        <f t="shared" si="8"/>
        <v>0 - 4</v>
      </c>
    </row>
    <row r="538" spans="3:12" hidden="1">
      <c r="C538" t="s">
        <v>31</v>
      </c>
      <c r="D538" t="s">
        <v>56</v>
      </c>
      <c r="E538">
        <v>4</v>
      </c>
      <c r="F538" t="s">
        <v>10</v>
      </c>
      <c r="G538" t="s">
        <v>59</v>
      </c>
      <c r="H538" t="s">
        <v>217</v>
      </c>
      <c r="I538" s="3" t="s">
        <v>110</v>
      </c>
      <c r="J538" t="s">
        <v>66</v>
      </c>
      <c r="K538" s="15">
        <v>1000000</v>
      </c>
      <c r="L538" s="5" t="str">
        <f t="shared" si="8"/>
        <v>0 - 4</v>
      </c>
    </row>
    <row r="539" spans="3:12" hidden="1">
      <c r="C539" t="s">
        <v>31</v>
      </c>
      <c r="D539" t="s">
        <v>55</v>
      </c>
      <c r="E539">
        <v>4</v>
      </c>
      <c r="F539" t="s">
        <v>10</v>
      </c>
      <c r="G539" t="s">
        <v>59</v>
      </c>
      <c r="H539" t="s">
        <v>217</v>
      </c>
      <c r="I539" s="3" t="s">
        <v>239</v>
      </c>
      <c r="J539" t="s">
        <v>66</v>
      </c>
      <c r="K539" s="15">
        <v>1080000</v>
      </c>
      <c r="L539" s="5" t="str">
        <f t="shared" si="8"/>
        <v>0 - 4</v>
      </c>
    </row>
    <row r="540" spans="3:12" hidden="1">
      <c r="C540" t="s">
        <v>31</v>
      </c>
      <c r="D540" t="s">
        <v>55</v>
      </c>
      <c r="E540">
        <v>4</v>
      </c>
      <c r="F540" t="s">
        <v>10</v>
      </c>
      <c r="G540" t="s">
        <v>57</v>
      </c>
      <c r="H540" t="s">
        <v>217</v>
      </c>
      <c r="I540" s="3" t="s">
        <v>61</v>
      </c>
      <c r="J540" t="s">
        <v>54</v>
      </c>
      <c r="K540" s="15">
        <v>1200000</v>
      </c>
      <c r="L540" s="5" t="str">
        <f t="shared" si="8"/>
        <v>0 - 4</v>
      </c>
    </row>
    <row r="541" spans="3:12" hidden="1">
      <c r="C541" t="s">
        <v>30</v>
      </c>
      <c r="D541" t="s">
        <v>73</v>
      </c>
      <c r="E541">
        <v>3</v>
      </c>
      <c r="F541" t="s">
        <v>10</v>
      </c>
      <c r="G541" t="s">
        <v>59</v>
      </c>
      <c r="H541" t="s">
        <v>217</v>
      </c>
      <c r="I541" s="3" t="s">
        <v>265</v>
      </c>
      <c r="J541" t="s">
        <v>54</v>
      </c>
      <c r="K541" s="15">
        <v>635000</v>
      </c>
      <c r="L541" s="5" t="str">
        <f t="shared" si="8"/>
        <v>0 - 4</v>
      </c>
    </row>
    <row r="542" spans="3:12" hidden="1">
      <c r="C542" t="s">
        <v>30</v>
      </c>
      <c r="D542" t="s">
        <v>73</v>
      </c>
      <c r="E542">
        <v>3</v>
      </c>
      <c r="F542" t="s">
        <v>10</v>
      </c>
      <c r="G542" t="s">
        <v>57</v>
      </c>
      <c r="H542" t="s">
        <v>217</v>
      </c>
      <c r="I542" s="3" t="s">
        <v>266</v>
      </c>
      <c r="J542" t="s">
        <v>54</v>
      </c>
      <c r="K542" s="15">
        <v>675000</v>
      </c>
      <c r="L542" s="5" t="str">
        <f t="shared" si="8"/>
        <v>0 - 4</v>
      </c>
    </row>
    <row r="543" spans="3:12" hidden="1">
      <c r="C543" t="s">
        <v>30</v>
      </c>
      <c r="D543" t="s">
        <v>55</v>
      </c>
      <c r="E543">
        <v>3</v>
      </c>
      <c r="F543" t="s">
        <v>10</v>
      </c>
      <c r="G543" t="s">
        <v>57</v>
      </c>
      <c r="H543" t="s">
        <v>217</v>
      </c>
      <c r="I543" s="3" t="s">
        <v>162</v>
      </c>
      <c r="J543" t="s">
        <v>54</v>
      </c>
      <c r="K543" s="15">
        <v>726000</v>
      </c>
      <c r="L543" s="5" t="str">
        <f t="shared" si="8"/>
        <v>0 - 4</v>
      </c>
    </row>
    <row r="544" spans="3:12" hidden="1">
      <c r="C544" t="s">
        <v>30</v>
      </c>
      <c r="D544" t="s">
        <v>55</v>
      </c>
      <c r="E544">
        <v>3</v>
      </c>
      <c r="F544" t="s">
        <v>10</v>
      </c>
      <c r="G544" t="s">
        <v>57</v>
      </c>
      <c r="H544" t="s">
        <v>217</v>
      </c>
      <c r="I544" s="3" t="s">
        <v>120</v>
      </c>
      <c r="J544" t="s">
        <v>54</v>
      </c>
      <c r="K544" s="15">
        <v>740000</v>
      </c>
      <c r="L544" s="5" t="str">
        <f t="shared" si="8"/>
        <v>0 - 4</v>
      </c>
    </row>
    <row r="545" spans="3:12" hidden="1">
      <c r="C545" t="s">
        <v>30</v>
      </c>
      <c r="D545" t="s">
        <v>73</v>
      </c>
      <c r="E545">
        <v>3</v>
      </c>
      <c r="F545" t="s">
        <v>10</v>
      </c>
      <c r="G545" t="s">
        <v>57</v>
      </c>
      <c r="H545" t="s">
        <v>217</v>
      </c>
      <c r="I545" s="3" t="s">
        <v>267</v>
      </c>
      <c r="J545" t="s">
        <v>54</v>
      </c>
      <c r="K545" s="15">
        <v>745000</v>
      </c>
      <c r="L545" s="5" t="str">
        <f t="shared" si="8"/>
        <v>0 - 4</v>
      </c>
    </row>
    <row r="546" spans="3:12" hidden="1">
      <c r="C546" t="s">
        <v>30</v>
      </c>
      <c r="D546" t="s">
        <v>73</v>
      </c>
      <c r="E546">
        <v>3</v>
      </c>
      <c r="F546" t="s">
        <v>10</v>
      </c>
      <c r="G546" t="s">
        <v>51</v>
      </c>
      <c r="H546" t="s">
        <v>217</v>
      </c>
      <c r="I546" s="3" t="s">
        <v>116</v>
      </c>
      <c r="J546" t="s">
        <v>54</v>
      </c>
      <c r="K546" s="15">
        <v>800000</v>
      </c>
      <c r="L546" s="5" t="str">
        <f t="shared" si="8"/>
        <v>0 - 4</v>
      </c>
    </row>
    <row r="547" spans="3:12" hidden="1">
      <c r="C547" t="s">
        <v>31</v>
      </c>
      <c r="D547" t="s">
        <v>73</v>
      </c>
      <c r="E547">
        <v>3</v>
      </c>
      <c r="F547" t="s">
        <v>10</v>
      </c>
      <c r="G547" t="s">
        <v>59</v>
      </c>
      <c r="H547" t="s">
        <v>217</v>
      </c>
      <c r="I547" s="3" t="s">
        <v>139</v>
      </c>
      <c r="J547" t="s">
        <v>54</v>
      </c>
      <c r="K547" s="15">
        <v>600000</v>
      </c>
      <c r="L547" s="5" t="str">
        <f t="shared" si="8"/>
        <v>0 - 4</v>
      </c>
    </row>
    <row r="548" spans="3:12" hidden="1">
      <c r="C548" t="s">
        <v>31</v>
      </c>
      <c r="D548" t="s">
        <v>49</v>
      </c>
      <c r="E548">
        <v>3</v>
      </c>
      <c r="F548" t="s">
        <v>10</v>
      </c>
      <c r="G548" t="s">
        <v>57</v>
      </c>
      <c r="H548" t="s">
        <v>217</v>
      </c>
      <c r="I548" s="3" t="s">
        <v>268</v>
      </c>
      <c r="J548" t="s">
        <v>54</v>
      </c>
      <c r="K548" s="15">
        <v>624000</v>
      </c>
      <c r="L548" s="5" t="str">
        <f t="shared" si="8"/>
        <v>0 - 4</v>
      </c>
    </row>
    <row r="549" spans="3:12" hidden="1">
      <c r="C549" t="s">
        <v>31</v>
      </c>
      <c r="D549" t="s">
        <v>55</v>
      </c>
      <c r="E549">
        <v>3</v>
      </c>
      <c r="F549" t="s">
        <v>10</v>
      </c>
      <c r="G549" t="s">
        <v>59</v>
      </c>
      <c r="H549" t="s">
        <v>217</v>
      </c>
      <c r="I549" s="3" t="s">
        <v>90</v>
      </c>
      <c r="J549" t="s">
        <v>54</v>
      </c>
      <c r="K549" s="15">
        <v>660000</v>
      </c>
      <c r="L549" s="5" t="str">
        <f t="shared" si="8"/>
        <v>0 - 4</v>
      </c>
    </row>
    <row r="550" spans="3:12" hidden="1">
      <c r="C550" t="s">
        <v>31</v>
      </c>
      <c r="D550" t="s">
        <v>73</v>
      </c>
      <c r="E550">
        <v>3</v>
      </c>
      <c r="F550" t="s">
        <v>10</v>
      </c>
      <c r="G550" t="s">
        <v>51</v>
      </c>
      <c r="H550" t="s">
        <v>217</v>
      </c>
      <c r="I550" s="3" t="s">
        <v>208</v>
      </c>
      <c r="J550" t="s">
        <v>54</v>
      </c>
      <c r="K550" s="15">
        <v>664000</v>
      </c>
      <c r="L550" s="5" t="str">
        <f t="shared" si="8"/>
        <v>0 - 4</v>
      </c>
    </row>
    <row r="551" spans="3:12" hidden="1">
      <c r="C551" t="s">
        <v>31</v>
      </c>
      <c r="D551" t="s">
        <v>73</v>
      </c>
      <c r="E551">
        <v>3</v>
      </c>
      <c r="F551" t="s">
        <v>10</v>
      </c>
      <c r="G551" t="s">
        <v>51</v>
      </c>
      <c r="H551" t="s">
        <v>217</v>
      </c>
      <c r="I551" s="3" t="s">
        <v>159</v>
      </c>
      <c r="J551" t="s">
        <v>54</v>
      </c>
      <c r="K551" s="15">
        <v>680000</v>
      </c>
      <c r="L551" s="5" t="str">
        <f t="shared" si="8"/>
        <v>0 - 4</v>
      </c>
    </row>
    <row r="552" spans="3:12" hidden="1">
      <c r="C552" t="s">
        <v>31</v>
      </c>
      <c r="D552" t="s">
        <v>55</v>
      </c>
      <c r="E552">
        <v>3</v>
      </c>
      <c r="F552" t="s">
        <v>10</v>
      </c>
      <c r="G552" t="s">
        <v>51</v>
      </c>
      <c r="H552" t="s">
        <v>217</v>
      </c>
      <c r="I552" s="3" t="s">
        <v>108</v>
      </c>
      <c r="J552" t="s">
        <v>54</v>
      </c>
      <c r="K552" s="15">
        <v>700000</v>
      </c>
      <c r="L552" s="5" t="str">
        <f t="shared" si="8"/>
        <v>0 - 4</v>
      </c>
    </row>
    <row r="553" spans="3:12" hidden="1">
      <c r="C553" t="s">
        <v>31</v>
      </c>
      <c r="D553" t="s">
        <v>73</v>
      </c>
      <c r="E553">
        <v>3</v>
      </c>
      <c r="F553" t="s">
        <v>10</v>
      </c>
      <c r="G553" t="s">
        <v>57</v>
      </c>
      <c r="H553" t="s">
        <v>217</v>
      </c>
      <c r="I553" s="3" t="s">
        <v>108</v>
      </c>
      <c r="J553" t="s">
        <v>54</v>
      </c>
      <c r="K553" s="15">
        <v>700000</v>
      </c>
      <c r="L553" s="5" t="str">
        <f t="shared" si="8"/>
        <v>0 - 4</v>
      </c>
    </row>
    <row r="554" spans="3:12" hidden="1">
      <c r="C554" t="s">
        <v>31</v>
      </c>
      <c r="D554" t="s">
        <v>49</v>
      </c>
      <c r="E554">
        <v>3</v>
      </c>
      <c r="F554" t="s">
        <v>10</v>
      </c>
      <c r="G554" t="s">
        <v>57</v>
      </c>
      <c r="H554" t="s">
        <v>217</v>
      </c>
      <c r="I554" s="3" t="s">
        <v>108</v>
      </c>
      <c r="J554" t="s">
        <v>54</v>
      </c>
      <c r="K554" s="15">
        <v>700000</v>
      </c>
      <c r="L554" s="5" t="str">
        <f t="shared" si="8"/>
        <v>0 - 4</v>
      </c>
    </row>
    <row r="555" spans="3:12" hidden="1">
      <c r="C555" t="s">
        <v>31</v>
      </c>
      <c r="D555" t="s">
        <v>73</v>
      </c>
      <c r="E555">
        <v>3</v>
      </c>
      <c r="F555" t="s">
        <v>10</v>
      </c>
      <c r="G555" t="s">
        <v>59</v>
      </c>
      <c r="H555" t="s">
        <v>217</v>
      </c>
      <c r="I555" s="3" t="s">
        <v>165</v>
      </c>
      <c r="J555" t="s">
        <v>54</v>
      </c>
      <c r="K555" s="15">
        <v>720000</v>
      </c>
      <c r="L555" s="5" t="str">
        <f t="shared" si="8"/>
        <v>0 - 4</v>
      </c>
    </row>
    <row r="556" spans="3:12" hidden="1">
      <c r="C556" t="s">
        <v>31</v>
      </c>
      <c r="D556" t="s">
        <v>77</v>
      </c>
      <c r="E556">
        <v>3</v>
      </c>
      <c r="F556" t="s">
        <v>10</v>
      </c>
      <c r="G556" t="s">
        <v>51</v>
      </c>
      <c r="H556" t="s">
        <v>217</v>
      </c>
      <c r="I556" s="3" t="s">
        <v>165</v>
      </c>
      <c r="J556" t="s">
        <v>66</v>
      </c>
      <c r="K556" s="15">
        <v>720000</v>
      </c>
      <c r="L556" s="5" t="str">
        <f t="shared" si="8"/>
        <v>0 - 4</v>
      </c>
    </row>
    <row r="557" spans="3:12" hidden="1">
      <c r="C557" t="s">
        <v>31</v>
      </c>
      <c r="D557" t="s">
        <v>73</v>
      </c>
      <c r="E557">
        <v>3</v>
      </c>
      <c r="F557" t="s">
        <v>10</v>
      </c>
      <c r="G557" t="s">
        <v>57</v>
      </c>
      <c r="H557" t="s">
        <v>217</v>
      </c>
      <c r="I557" s="3" t="s">
        <v>165</v>
      </c>
      <c r="J557" t="s">
        <v>54</v>
      </c>
      <c r="K557" s="15">
        <v>720000</v>
      </c>
      <c r="L557" s="5" t="str">
        <f t="shared" si="8"/>
        <v>0 - 4</v>
      </c>
    </row>
    <row r="558" spans="3:12" hidden="1">
      <c r="C558" t="s">
        <v>31</v>
      </c>
      <c r="D558" t="s">
        <v>73</v>
      </c>
      <c r="E558">
        <v>3</v>
      </c>
      <c r="F558" t="s">
        <v>10</v>
      </c>
      <c r="G558" t="s">
        <v>51</v>
      </c>
      <c r="H558" t="s">
        <v>217</v>
      </c>
      <c r="I558" s="3" t="s">
        <v>120</v>
      </c>
      <c r="J558" t="s">
        <v>54</v>
      </c>
      <c r="K558" s="15">
        <v>740000</v>
      </c>
      <c r="L558" s="5" t="str">
        <f t="shared" si="8"/>
        <v>0 - 4</v>
      </c>
    </row>
    <row r="559" spans="3:12" hidden="1">
      <c r="C559" t="s">
        <v>31</v>
      </c>
      <c r="D559" t="s">
        <v>55</v>
      </c>
      <c r="E559">
        <v>3</v>
      </c>
      <c r="F559" t="s">
        <v>10</v>
      </c>
      <c r="G559" t="s">
        <v>59</v>
      </c>
      <c r="H559" t="s">
        <v>217</v>
      </c>
      <c r="I559" s="3" t="s">
        <v>269</v>
      </c>
      <c r="J559" t="s">
        <v>54</v>
      </c>
      <c r="K559" s="15">
        <v>754000</v>
      </c>
      <c r="L559" s="5" t="str">
        <f t="shared" si="8"/>
        <v>0 - 4</v>
      </c>
    </row>
    <row r="560" spans="3:12" hidden="1">
      <c r="C560" t="s">
        <v>31</v>
      </c>
      <c r="D560" t="s">
        <v>56</v>
      </c>
      <c r="E560">
        <v>3</v>
      </c>
      <c r="F560" t="s">
        <v>10</v>
      </c>
      <c r="G560" t="s">
        <v>59</v>
      </c>
      <c r="H560" t="s">
        <v>217</v>
      </c>
      <c r="I560" s="3" t="s">
        <v>225</v>
      </c>
      <c r="J560" t="s">
        <v>54</v>
      </c>
      <c r="K560" s="15">
        <v>766000</v>
      </c>
      <c r="L560" s="5" t="str">
        <f t="shared" si="8"/>
        <v>0 - 4</v>
      </c>
    </row>
    <row r="561" spans="3:12" hidden="1">
      <c r="C561" t="s">
        <v>31</v>
      </c>
      <c r="D561" t="s">
        <v>55</v>
      </c>
      <c r="E561">
        <v>3</v>
      </c>
      <c r="F561" t="s">
        <v>10</v>
      </c>
      <c r="G561" t="s">
        <v>51</v>
      </c>
      <c r="H561" t="s">
        <v>217</v>
      </c>
      <c r="I561" s="3" t="s">
        <v>96</v>
      </c>
      <c r="J561" t="s">
        <v>54</v>
      </c>
      <c r="K561" s="15">
        <v>780000</v>
      </c>
      <c r="L561" s="5" t="str">
        <f t="shared" si="8"/>
        <v>0 - 4</v>
      </c>
    </row>
    <row r="562" spans="3:12" hidden="1">
      <c r="C562" t="s">
        <v>31</v>
      </c>
      <c r="D562" t="s">
        <v>73</v>
      </c>
      <c r="E562">
        <v>3</v>
      </c>
      <c r="F562" t="s">
        <v>10</v>
      </c>
      <c r="G562" t="s">
        <v>51</v>
      </c>
      <c r="H562" t="s">
        <v>217</v>
      </c>
      <c r="I562" s="3" t="s">
        <v>116</v>
      </c>
      <c r="J562" t="s">
        <v>54</v>
      </c>
      <c r="K562" s="15">
        <v>800000</v>
      </c>
      <c r="L562" s="5" t="str">
        <f t="shared" si="8"/>
        <v>0 - 4</v>
      </c>
    </row>
    <row r="563" spans="3:12" hidden="1">
      <c r="C563" t="s">
        <v>31</v>
      </c>
      <c r="D563" t="s">
        <v>55</v>
      </c>
      <c r="E563">
        <v>3</v>
      </c>
      <c r="F563" t="s">
        <v>10</v>
      </c>
      <c r="G563" t="s">
        <v>59</v>
      </c>
      <c r="H563" t="s">
        <v>217</v>
      </c>
      <c r="I563" s="3" t="s">
        <v>116</v>
      </c>
      <c r="J563" t="s">
        <v>66</v>
      </c>
      <c r="K563" s="15">
        <v>800000</v>
      </c>
      <c r="L563" s="5" t="str">
        <f t="shared" si="8"/>
        <v>0 - 4</v>
      </c>
    </row>
    <row r="564" spans="3:12" hidden="1">
      <c r="C564" t="s">
        <v>31</v>
      </c>
      <c r="D564" t="s">
        <v>73</v>
      </c>
      <c r="E564">
        <v>3</v>
      </c>
      <c r="F564" t="s">
        <v>10</v>
      </c>
      <c r="G564" t="s">
        <v>59</v>
      </c>
      <c r="H564" t="s">
        <v>217</v>
      </c>
      <c r="I564" s="3" t="s">
        <v>270</v>
      </c>
      <c r="J564" t="s">
        <v>54</v>
      </c>
      <c r="K564" s="15">
        <v>817000</v>
      </c>
      <c r="L564" s="5" t="str">
        <f t="shared" si="8"/>
        <v>0 - 4</v>
      </c>
    </row>
    <row r="565" spans="3:12" hidden="1">
      <c r="C565" t="s">
        <v>31</v>
      </c>
      <c r="D565" t="s">
        <v>73</v>
      </c>
      <c r="E565">
        <v>3</v>
      </c>
      <c r="F565" t="s">
        <v>10</v>
      </c>
      <c r="G565" t="s">
        <v>59</v>
      </c>
      <c r="H565" t="s">
        <v>217</v>
      </c>
      <c r="I565" s="3" t="s">
        <v>71</v>
      </c>
      <c r="J565" t="s">
        <v>54</v>
      </c>
      <c r="K565" s="15">
        <v>820000</v>
      </c>
      <c r="L565" s="5" t="str">
        <f t="shared" si="8"/>
        <v>0 - 4</v>
      </c>
    </row>
    <row r="566" spans="3:12" hidden="1">
      <c r="C566" t="s">
        <v>31</v>
      </c>
      <c r="D566" t="s">
        <v>55</v>
      </c>
      <c r="E566">
        <v>3</v>
      </c>
      <c r="F566" t="s">
        <v>10</v>
      </c>
      <c r="G566" t="s">
        <v>59</v>
      </c>
      <c r="H566" t="s">
        <v>217</v>
      </c>
      <c r="I566" s="3" t="s">
        <v>72</v>
      </c>
      <c r="J566" t="s">
        <v>54</v>
      </c>
      <c r="K566" s="15">
        <v>850000</v>
      </c>
      <c r="L566" s="5" t="str">
        <f t="shared" si="8"/>
        <v>0 - 4</v>
      </c>
    </row>
    <row r="567" spans="3:12" hidden="1">
      <c r="C567" t="s">
        <v>31</v>
      </c>
      <c r="D567" t="s">
        <v>55</v>
      </c>
      <c r="E567">
        <v>3</v>
      </c>
      <c r="F567" t="s">
        <v>10</v>
      </c>
      <c r="G567" t="s">
        <v>59</v>
      </c>
      <c r="H567" t="s">
        <v>217</v>
      </c>
      <c r="I567" s="3" t="s">
        <v>111</v>
      </c>
      <c r="J567" t="s">
        <v>54</v>
      </c>
      <c r="K567" s="15">
        <v>870000</v>
      </c>
      <c r="L567" s="5" t="str">
        <f t="shared" si="8"/>
        <v>0 - 4</v>
      </c>
    </row>
    <row r="568" spans="3:12" hidden="1">
      <c r="C568" t="s">
        <v>31</v>
      </c>
      <c r="D568" t="s">
        <v>55</v>
      </c>
      <c r="E568">
        <v>3</v>
      </c>
      <c r="F568" t="s">
        <v>10</v>
      </c>
      <c r="G568" t="s">
        <v>59</v>
      </c>
      <c r="H568" t="s">
        <v>217</v>
      </c>
      <c r="I568" s="3" t="s">
        <v>168</v>
      </c>
      <c r="J568" t="s">
        <v>66</v>
      </c>
      <c r="K568" s="15">
        <v>880000</v>
      </c>
      <c r="L568" s="5" t="str">
        <f t="shared" si="8"/>
        <v>0 - 4</v>
      </c>
    </row>
    <row r="569" spans="3:12" hidden="1">
      <c r="C569" t="s">
        <v>31</v>
      </c>
      <c r="D569" t="s">
        <v>55</v>
      </c>
      <c r="E569">
        <v>3</v>
      </c>
      <c r="F569" t="s">
        <v>10</v>
      </c>
      <c r="G569" t="s">
        <v>51</v>
      </c>
      <c r="H569" t="s">
        <v>217</v>
      </c>
      <c r="I569" s="3" t="s">
        <v>168</v>
      </c>
      <c r="J569" t="s">
        <v>54</v>
      </c>
      <c r="K569" s="15">
        <v>880000</v>
      </c>
      <c r="L569" s="5" t="str">
        <f t="shared" si="8"/>
        <v>0 - 4</v>
      </c>
    </row>
    <row r="570" spans="3:12" hidden="1">
      <c r="C570" t="s">
        <v>31</v>
      </c>
      <c r="D570" t="s">
        <v>55</v>
      </c>
      <c r="E570">
        <v>3</v>
      </c>
      <c r="F570" t="s">
        <v>10</v>
      </c>
      <c r="G570" t="s">
        <v>59</v>
      </c>
      <c r="H570" t="s">
        <v>217</v>
      </c>
      <c r="I570" s="3" t="s">
        <v>126</v>
      </c>
      <c r="J570" t="s">
        <v>54</v>
      </c>
      <c r="K570" s="15">
        <v>925000</v>
      </c>
      <c r="L570" s="5" t="str">
        <f t="shared" si="8"/>
        <v>0 - 4</v>
      </c>
    </row>
    <row r="571" spans="3:12" hidden="1">
      <c r="C571" t="s">
        <v>31</v>
      </c>
      <c r="D571" t="s">
        <v>55</v>
      </c>
      <c r="E571">
        <v>3</v>
      </c>
      <c r="F571" t="s">
        <v>10</v>
      </c>
      <c r="G571" t="s">
        <v>59</v>
      </c>
      <c r="H571" t="s">
        <v>217</v>
      </c>
      <c r="I571" s="3" t="s">
        <v>110</v>
      </c>
      <c r="J571" t="s">
        <v>54</v>
      </c>
      <c r="K571" s="15">
        <v>1000000</v>
      </c>
      <c r="L571" s="5" t="str">
        <f t="shared" si="8"/>
        <v>0 - 4</v>
      </c>
    </row>
    <row r="572" spans="3:12" hidden="1">
      <c r="C572" t="s">
        <v>30</v>
      </c>
      <c r="D572" t="s">
        <v>73</v>
      </c>
      <c r="E572">
        <v>2</v>
      </c>
      <c r="F572" t="s">
        <v>10</v>
      </c>
      <c r="G572" t="s">
        <v>51</v>
      </c>
      <c r="H572" t="s">
        <v>217</v>
      </c>
      <c r="I572" s="3" t="s">
        <v>222</v>
      </c>
      <c r="J572" t="s">
        <v>54</v>
      </c>
      <c r="K572" s="15">
        <v>670000</v>
      </c>
      <c r="L572" s="5" t="str">
        <f t="shared" si="8"/>
        <v>0 - 4</v>
      </c>
    </row>
    <row r="573" spans="3:12" hidden="1">
      <c r="C573" t="s">
        <v>30</v>
      </c>
      <c r="D573" t="s">
        <v>73</v>
      </c>
      <c r="E573">
        <v>2</v>
      </c>
      <c r="F573" t="s">
        <v>10</v>
      </c>
      <c r="G573" t="s">
        <v>59</v>
      </c>
      <c r="H573" t="s">
        <v>217</v>
      </c>
      <c r="I573" s="3" t="s">
        <v>271</v>
      </c>
      <c r="J573" t="s">
        <v>54</v>
      </c>
      <c r="K573" s="15">
        <v>695000</v>
      </c>
      <c r="L573" s="5" t="str">
        <f t="shared" si="8"/>
        <v>0 - 4</v>
      </c>
    </row>
    <row r="574" spans="3:12" hidden="1">
      <c r="C574" t="s">
        <v>30</v>
      </c>
      <c r="D574" t="s">
        <v>80</v>
      </c>
      <c r="E574">
        <v>2</v>
      </c>
      <c r="F574" t="s">
        <v>10</v>
      </c>
      <c r="G574" t="s">
        <v>51</v>
      </c>
      <c r="H574" t="s">
        <v>217</v>
      </c>
      <c r="I574" s="3" t="s">
        <v>108</v>
      </c>
      <c r="J574" t="s">
        <v>54</v>
      </c>
      <c r="K574" s="15">
        <v>700000</v>
      </c>
      <c r="L574" s="5" t="str">
        <f t="shared" si="8"/>
        <v>0 - 4</v>
      </c>
    </row>
    <row r="575" spans="3:12" hidden="1">
      <c r="C575" t="s">
        <v>30</v>
      </c>
      <c r="D575" t="s">
        <v>55</v>
      </c>
      <c r="E575">
        <v>2</v>
      </c>
      <c r="F575" t="s">
        <v>10</v>
      </c>
      <c r="G575" t="s">
        <v>57</v>
      </c>
      <c r="H575" t="s">
        <v>217</v>
      </c>
      <c r="I575" s="3" t="s">
        <v>74</v>
      </c>
      <c r="J575" t="s">
        <v>54</v>
      </c>
      <c r="K575" s="15">
        <v>730000</v>
      </c>
      <c r="L575" s="5" t="str">
        <f t="shared" si="8"/>
        <v>0 - 4</v>
      </c>
    </row>
    <row r="576" spans="3:12" hidden="1">
      <c r="C576" t="s">
        <v>30</v>
      </c>
      <c r="D576" t="s">
        <v>55</v>
      </c>
      <c r="E576">
        <v>2</v>
      </c>
      <c r="F576" t="s">
        <v>10</v>
      </c>
      <c r="G576" t="s">
        <v>51</v>
      </c>
      <c r="H576" t="s">
        <v>217</v>
      </c>
      <c r="I576" s="3" t="s">
        <v>140</v>
      </c>
      <c r="J576" t="s">
        <v>54</v>
      </c>
      <c r="K576" s="15">
        <v>735000</v>
      </c>
      <c r="L576" s="5" t="str">
        <f t="shared" si="8"/>
        <v>0 - 4</v>
      </c>
    </row>
    <row r="577" spans="3:12" hidden="1">
      <c r="C577" t="s">
        <v>30</v>
      </c>
      <c r="D577" t="s">
        <v>55</v>
      </c>
      <c r="E577">
        <v>2</v>
      </c>
      <c r="F577" t="s">
        <v>10</v>
      </c>
      <c r="G577" t="s">
        <v>51</v>
      </c>
      <c r="H577" t="s">
        <v>217</v>
      </c>
      <c r="I577" s="3" t="s">
        <v>172</v>
      </c>
      <c r="J577" t="s">
        <v>54</v>
      </c>
      <c r="K577" s="15">
        <v>775000</v>
      </c>
      <c r="L577" s="5" t="str">
        <f t="shared" si="8"/>
        <v>0 - 4</v>
      </c>
    </row>
    <row r="578" spans="3:12" hidden="1">
      <c r="C578" t="s">
        <v>30</v>
      </c>
      <c r="D578" t="s">
        <v>55</v>
      </c>
      <c r="E578">
        <v>2</v>
      </c>
      <c r="F578" t="s">
        <v>10</v>
      </c>
      <c r="G578" t="s">
        <v>51</v>
      </c>
      <c r="H578" t="s">
        <v>217</v>
      </c>
      <c r="I578" s="3" t="s">
        <v>72</v>
      </c>
      <c r="J578" t="s">
        <v>66</v>
      </c>
      <c r="K578" s="15">
        <v>850000</v>
      </c>
      <c r="L578" s="5" t="str">
        <f t="shared" si="8"/>
        <v>0 - 4</v>
      </c>
    </row>
    <row r="579" spans="3:12" hidden="1">
      <c r="C579" t="s">
        <v>31</v>
      </c>
      <c r="D579" t="s">
        <v>49</v>
      </c>
      <c r="E579">
        <v>2</v>
      </c>
      <c r="F579" t="s">
        <v>10</v>
      </c>
      <c r="G579" t="s">
        <v>51</v>
      </c>
      <c r="H579" t="s">
        <v>217</v>
      </c>
      <c r="I579" s="3" t="s">
        <v>94</v>
      </c>
      <c r="J579" t="s">
        <v>54</v>
      </c>
      <c r="K579" s="15">
        <v>550000</v>
      </c>
      <c r="L579" s="5" t="str">
        <f t="shared" ref="L579:L642" si="9">_xlfn.XLOOKUP(E579,$P$2:$P$5,$O$2:$O$5,,1)</f>
        <v>0 - 4</v>
      </c>
    </row>
    <row r="580" spans="3:12" hidden="1">
      <c r="C580" t="s">
        <v>31</v>
      </c>
      <c r="D580" t="s">
        <v>73</v>
      </c>
      <c r="E580">
        <v>2</v>
      </c>
      <c r="F580" t="s">
        <v>10</v>
      </c>
      <c r="G580" t="s">
        <v>57</v>
      </c>
      <c r="H580" t="s">
        <v>217</v>
      </c>
      <c r="I580" s="3" t="s">
        <v>113</v>
      </c>
      <c r="J580" t="s">
        <v>54</v>
      </c>
      <c r="K580" s="15">
        <v>590000</v>
      </c>
      <c r="L580" s="5" t="str">
        <f t="shared" si="9"/>
        <v>0 - 4</v>
      </c>
    </row>
    <row r="581" spans="3:12" hidden="1">
      <c r="C581" t="s">
        <v>31</v>
      </c>
      <c r="D581" t="s">
        <v>73</v>
      </c>
      <c r="E581">
        <v>2</v>
      </c>
      <c r="F581" t="s">
        <v>10</v>
      </c>
      <c r="G581" t="s">
        <v>57</v>
      </c>
      <c r="H581" t="s">
        <v>217</v>
      </c>
      <c r="I581" s="3" t="s">
        <v>139</v>
      </c>
      <c r="J581" t="s">
        <v>54</v>
      </c>
      <c r="K581" s="15">
        <v>600000</v>
      </c>
      <c r="L581" s="5" t="str">
        <f t="shared" si="9"/>
        <v>0 - 4</v>
      </c>
    </row>
    <row r="582" spans="3:12" hidden="1">
      <c r="C582" t="s">
        <v>31</v>
      </c>
      <c r="D582" t="s">
        <v>73</v>
      </c>
      <c r="E582">
        <v>2</v>
      </c>
      <c r="F582" t="s">
        <v>10</v>
      </c>
      <c r="G582" t="s">
        <v>51</v>
      </c>
      <c r="H582" t="s">
        <v>217</v>
      </c>
      <c r="I582" s="3" t="s">
        <v>139</v>
      </c>
      <c r="J582" t="s">
        <v>54</v>
      </c>
      <c r="K582" s="15">
        <v>600000</v>
      </c>
      <c r="L582" s="5" t="str">
        <f t="shared" si="9"/>
        <v>0 - 4</v>
      </c>
    </row>
    <row r="583" spans="3:12" hidden="1">
      <c r="C583" t="s">
        <v>31</v>
      </c>
      <c r="D583" t="s">
        <v>55</v>
      </c>
      <c r="E583">
        <v>2</v>
      </c>
      <c r="F583" t="s">
        <v>10</v>
      </c>
      <c r="G583" t="s">
        <v>59</v>
      </c>
      <c r="H583" t="s">
        <v>217</v>
      </c>
      <c r="I583" s="3" t="s">
        <v>213</v>
      </c>
      <c r="J583" t="s">
        <v>54</v>
      </c>
      <c r="K583" s="15">
        <v>620000</v>
      </c>
      <c r="L583" s="5" t="str">
        <f t="shared" si="9"/>
        <v>0 - 4</v>
      </c>
    </row>
    <row r="584" spans="3:12" hidden="1">
      <c r="C584" t="s">
        <v>31</v>
      </c>
      <c r="D584" t="s">
        <v>73</v>
      </c>
      <c r="E584">
        <v>2</v>
      </c>
      <c r="F584" t="s">
        <v>10</v>
      </c>
      <c r="G584" t="s">
        <v>51</v>
      </c>
      <c r="H584" t="s">
        <v>217</v>
      </c>
      <c r="I584" s="3" t="s">
        <v>119</v>
      </c>
      <c r="J584" t="s">
        <v>66</v>
      </c>
      <c r="K584" s="15">
        <v>630000</v>
      </c>
      <c r="L584" s="5" t="str">
        <f t="shared" si="9"/>
        <v>0 - 4</v>
      </c>
    </row>
    <row r="585" spans="3:12" hidden="1">
      <c r="C585" t="s">
        <v>31</v>
      </c>
      <c r="D585" t="s">
        <v>73</v>
      </c>
      <c r="E585">
        <v>2</v>
      </c>
      <c r="F585" t="s">
        <v>10</v>
      </c>
      <c r="G585" t="s">
        <v>59</v>
      </c>
      <c r="H585" t="s">
        <v>217</v>
      </c>
      <c r="I585" s="3" t="s">
        <v>119</v>
      </c>
      <c r="J585" t="s">
        <v>66</v>
      </c>
      <c r="K585" s="15">
        <v>630000</v>
      </c>
      <c r="L585" s="5" t="str">
        <f t="shared" si="9"/>
        <v>0 - 4</v>
      </c>
    </row>
    <row r="586" spans="3:12" hidden="1">
      <c r="C586" t="s">
        <v>31</v>
      </c>
      <c r="D586" t="s">
        <v>73</v>
      </c>
      <c r="E586">
        <v>2</v>
      </c>
      <c r="F586" t="s">
        <v>10</v>
      </c>
      <c r="G586" t="s">
        <v>51</v>
      </c>
      <c r="H586" t="s">
        <v>217</v>
      </c>
      <c r="I586" s="3" t="s">
        <v>90</v>
      </c>
      <c r="J586" t="s">
        <v>54</v>
      </c>
      <c r="K586" s="15">
        <v>660000</v>
      </c>
      <c r="L586" s="5" t="str">
        <f t="shared" si="9"/>
        <v>0 - 4</v>
      </c>
    </row>
    <row r="587" spans="3:12" hidden="1">
      <c r="C587" t="s">
        <v>31</v>
      </c>
      <c r="D587" t="s">
        <v>67</v>
      </c>
      <c r="E587">
        <v>2</v>
      </c>
      <c r="F587" t="s">
        <v>10</v>
      </c>
      <c r="G587" t="s">
        <v>59</v>
      </c>
      <c r="H587" t="s">
        <v>217</v>
      </c>
      <c r="I587" s="3" t="s">
        <v>222</v>
      </c>
      <c r="J587" t="s">
        <v>54</v>
      </c>
      <c r="K587" s="15">
        <v>670000</v>
      </c>
      <c r="L587" s="5" t="str">
        <f t="shared" si="9"/>
        <v>0 - 4</v>
      </c>
    </row>
    <row r="588" spans="3:12" hidden="1">
      <c r="C588" t="s">
        <v>31</v>
      </c>
      <c r="D588" t="s">
        <v>73</v>
      </c>
      <c r="E588">
        <v>2</v>
      </c>
      <c r="F588" t="s">
        <v>10</v>
      </c>
      <c r="G588" t="s">
        <v>51</v>
      </c>
      <c r="H588" t="s">
        <v>217</v>
      </c>
      <c r="I588" s="3" t="s">
        <v>108</v>
      </c>
      <c r="J588" t="s">
        <v>54</v>
      </c>
      <c r="K588" s="15">
        <v>700000</v>
      </c>
      <c r="L588" s="5" t="str">
        <f t="shared" si="9"/>
        <v>0 - 4</v>
      </c>
    </row>
    <row r="589" spans="3:12" hidden="1">
      <c r="C589" t="s">
        <v>31</v>
      </c>
      <c r="D589" t="s">
        <v>67</v>
      </c>
      <c r="E589">
        <v>2</v>
      </c>
      <c r="F589" t="s">
        <v>10</v>
      </c>
      <c r="G589" t="s">
        <v>59</v>
      </c>
      <c r="H589" t="s">
        <v>217</v>
      </c>
      <c r="I589" s="3" t="s">
        <v>108</v>
      </c>
      <c r="J589" t="s">
        <v>66</v>
      </c>
      <c r="K589" s="15">
        <v>700000</v>
      </c>
      <c r="L589" s="5" t="str">
        <f t="shared" si="9"/>
        <v>0 - 4</v>
      </c>
    </row>
    <row r="590" spans="3:12" hidden="1">
      <c r="C590" t="s">
        <v>31</v>
      </c>
      <c r="D590" t="s">
        <v>55</v>
      </c>
      <c r="E590">
        <v>2</v>
      </c>
      <c r="F590" t="s">
        <v>10</v>
      </c>
      <c r="G590" t="s">
        <v>59</v>
      </c>
      <c r="H590" t="s">
        <v>217</v>
      </c>
      <c r="I590" s="3" t="s">
        <v>272</v>
      </c>
      <c r="J590" t="s">
        <v>54</v>
      </c>
      <c r="K590" s="15">
        <v>705000</v>
      </c>
      <c r="L590" s="5" t="str">
        <f t="shared" si="9"/>
        <v>0 - 4</v>
      </c>
    </row>
    <row r="591" spans="3:12" hidden="1">
      <c r="C591" t="s">
        <v>31</v>
      </c>
      <c r="D591" t="s">
        <v>73</v>
      </c>
      <c r="E591">
        <v>2</v>
      </c>
      <c r="F591" t="s">
        <v>10</v>
      </c>
      <c r="G591" t="s">
        <v>57</v>
      </c>
      <c r="H591" t="s">
        <v>217</v>
      </c>
      <c r="I591" s="3" t="s">
        <v>254</v>
      </c>
      <c r="J591" t="s">
        <v>54</v>
      </c>
      <c r="K591" s="15">
        <v>708000</v>
      </c>
      <c r="L591" s="5" t="str">
        <f t="shared" si="9"/>
        <v>0 - 4</v>
      </c>
    </row>
    <row r="592" spans="3:12" hidden="1">
      <c r="C592" t="s">
        <v>31</v>
      </c>
      <c r="D592" t="s">
        <v>73</v>
      </c>
      <c r="E592">
        <v>2</v>
      </c>
      <c r="F592" t="s">
        <v>10</v>
      </c>
      <c r="G592" t="s">
        <v>57</v>
      </c>
      <c r="H592" t="s">
        <v>217</v>
      </c>
      <c r="I592" s="3" t="s">
        <v>75</v>
      </c>
      <c r="J592" t="s">
        <v>54</v>
      </c>
      <c r="K592" s="15">
        <v>710000</v>
      </c>
      <c r="L592" s="5" t="str">
        <f t="shared" si="9"/>
        <v>0 - 4</v>
      </c>
    </row>
    <row r="593" spans="3:12" hidden="1">
      <c r="C593" t="s">
        <v>31</v>
      </c>
      <c r="D593" t="s">
        <v>73</v>
      </c>
      <c r="E593">
        <v>2</v>
      </c>
      <c r="F593" t="s">
        <v>10</v>
      </c>
      <c r="G593" t="s">
        <v>59</v>
      </c>
      <c r="H593" t="s">
        <v>217</v>
      </c>
      <c r="I593" s="3" t="s">
        <v>273</v>
      </c>
      <c r="J593" t="s">
        <v>66</v>
      </c>
      <c r="K593" s="15">
        <v>724000</v>
      </c>
      <c r="L593" s="5" t="str">
        <f t="shared" si="9"/>
        <v>0 - 4</v>
      </c>
    </row>
    <row r="594" spans="3:12" hidden="1">
      <c r="C594" t="s">
        <v>31</v>
      </c>
      <c r="D594" t="s">
        <v>73</v>
      </c>
      <c r="E594">
        <v>2</v>
      </c>
      <c r="F594" t="s">
        <v>10</v>
      </c>
      <c r="G594" t="s">
        <v>59</v>
      </c>
      <c r="H594" t="s">
        <v>217</v>
      </c>
      <c r="I594" s="3" t="s">
        <v>274</v>
      </c>
      <c r="J594" t="s">
        <v>54</v>
      </c>
      <c r="K594" s="15">
        <v>725000</v>
      </c>
      <c r="L594" s="5" t="str">
        <f t="shared" si="9"/>
        <v>0 - 4</v>
      </c>
    </row>
    <row r="595" spans="3:12" hidden="1">
      <c r="C595" t="s">
        <v>31</v>
      </c>
      <c r="D595" t="s">
        <v>55</v>
      </c>
      <c r="E595">
        <v>2</v>
      </c>
      <c r="F595" t="s">
        <v>10</v>
      </c>
      <c r="G595" t="s">
        <v>59</v>
      </c>
      <c r="H595" t="s">
        <v>217</v>
      </c>
      <c r="I595" s="3" t="s">
        <v>140</v>
      </c>
      <c r="J595" t="s">
        <v>66</v>
      </c>
      <c r="K595" s="15">
        <v>735000</v>
      </c>
      <c r="L595" s="5" t="str">
        <f t="shared" si="9"/>
        <v>0 - 4</v>
      </c>
    </row>
    <row r="596" spans="3:12" hidden="1">
      <c r="C596" t="s">
        <v>31</v>
      </c>
      <c r="D596" t="s">
        <v>55</v>
      </c>
      <c r="E596">
        <v>2</v>
      </c>
      <c r="F596" t="s">
        <v>10</v>
      </c>
      <c r="G596" t="s">
        <v>59</v>
      </c>
      <c r="H596" t="s">
        <v>217</v>
      </c>
      <c r="I596" s="3" t="s">
        <v>69</v>
      </c>
      <c r="J596" t="s">
        <v>54</v>
      </c>
      <c r="K596" s="15">
        <v>750000</v>
      </c>
      <c r="L596" s="5" t="str">
        <f t="shared" si="9"/>
        <v>0 - 4</v>
      </c>
    </row>
    <row r="597" spans="3:12" hidden="1">
      <c r="C597" t="s">
        <v>31</v>
      </c>
      <c r="D597" t="s">
        <v>55</v>
      </c>
      <c r="E597">
        <v>2</v>
      </c>
      <c r="F597" t="s">
        <v>10</v>
      </c>
      <c r="G597" t="s">
        <v>59</v>
      </c>
      <c r="H597" t="s">
        <v>217</v>
      </c>
      <c r="I597" s="3" t="s">
        <v>275</v>
      </c>
      <c r="J597" t="s">
        <v>54</v>
      </c>
      <c r="K597" s="15">
        <v>755000</v>
      </c>
      <c r="L597" s="5" t="str">
        <f t="shared" si="9"/>
        <v>0 - 4</v>
      </c>
    </row>
    <row r="598" spans="3:12" hidden="1">
      <c r="C598" t="s">
        <v>31</v>
      </c>
      <c r="D598" t="s">
        <v>49</v>
      </c>
      <c r="E598">
        <v>2</v>
      </c>
      <c r="F598" t="s">
        <v>10</v>
      </c>
      <c r="G598" t="s">
        <v>51</v>
      </c>
      <c r="H598" t="s">
        <v>217</v>
      </c>
      <c r="I598" s="3" t="s">
        <v>161</v>
      </c>
      <c r="J598" t="s">
        <v>54</v>
      </c>
      <c r="K598" s="15">
        <v>765000</v>
      </c>
      <c r="L598" s="5" t="str">
        <f t="shared" si="9"/>
        <v>0 - 4</v>
      </c>
    </row>
    <row r="599" spans="3:12" hidden="1">
      <c r="C599" t="s">
        <v>31</v>
      </c>
      <c r="D599" t="s">
        <v>55</v>
      </c>
      <c r="E599">
        <v>2</v>
      </c>
      <c r="F599" t="s">
        <v>10</v>
      </c>
      <c r="G599" t="s">
        <v>59</v>
      </c>
      <c r="H599" t="s">
        <v>217</v>
      </c>
      <c r="I599" s="3" t="s">
        <v>161</v>
      </c>
      <c r="J599" t="s">
        <v>54</v>
      </c>
      <c r="K599" s="15">
        <v>765000</v>
      </c>
      <c r="L599" s="5" t="str">
        <f t="shared" si="9"/>
        <v>0 - 4</v>
      </c>
    </row>
    <row r="600" spans="3:12" hidden="1">
      <c r="C600" t="s">
        <v>31</v>
      </c>
      <c r="D600" t="s">
        <v>55</v>
      </c>
      <c r="E600">
        <v>2</v>
      </c>
      <c r="F600" t="s">
        <v>10</v>
      </c>
      <c r="G600" t="s">
        <v>59</v>
      </c>
      <c r="H600" t="s">
        <v>217</v>
      </c>
      <c r="I600" s="3" t="s">
        <v>156</v>
      </c>
      <c r="J600" t="s">
        <v>54</v>
      </c>
      <c r="K600" s="15">
        <v>770000</v>
      </c>
      <c r="L600" s="5" t="str">
        <f t="shared" si="9"/>
        <v>0 - 4</v>
      </c>
    </row>
    <row r="601" spans="3:12" hidden="1">
      <c r="C601" t="s">
        <v>31</v>
      </c>
      <c r="D601" t="s">
        <v>73</v>
      </c>
      <c r="E601">
        <v>2</v>
      </c>
      <c r="F601" t="s">
        <v>10</v>
      </c>
      <c r="G601" t="s">
        <v>59</v>
      </c>
      <c r="H601" t="s">
        <v>217</v>
      </c>
      <c r="I601" s="3" t="s">
        <v>172</v>
      </c>
      <c r="J601" t="s">
        <v>66</v>
      </c>
      <c r="K601" s="15">
        <v>775000</v>
      </c>
      <c r="L601" s="5" t="str">
        <f t="shared" si="9"/>
        <v>0 - 4</v>
      </c>
    </row>
    <row r="602" spans="3:12" hidden="1">
      <c r="C602" t="s">
        <v>31</v>
      </c>
      <c r="D602" t="s">
        <v>55</v>
      </c>
      <c r="E602">
        <v>2</v>
      </c>
      <c r="F602" t="s">
        <v>10</v>
      </c>
      <c r="G602" t="s">
        <v>59</v>
      </c>
      <c r="H602" t="s">
        <v>217</v>
      </c>
      <c r="I602" s="3" t="s">
        <v>96</v>
      </c>
      <c r="J602" t="s">
        <v>54</v>
      </c>
      <c r="K602" s="15">
        <v>780000</v>
      </c>
      <c r="L602" s="5" t="str">
        <f t="shared" si="9"/>
        <v>0 - 4</v>
      </c>
    </row>
    <row r="603" spans="3:12" hidden="1">
      <c r="C603" t="s">
        <v>31</v>
      </c>
      <c r="D603" t="s">
        <v>55</v>
      </c>
      <c r="E603">
        <v>2</v>
      </c>
      <c r="F603" t="s">
        <v>10</v>
      </c>
      <c r="G603" t="s">
        <v>59</v>
      </c>
      <c r="H603" t="s">
        <v>217</v>
      </c>
      <c r="I603" s="3" t="s">
        <v>116</v>
      </c>
      <c r="J603" t="s">
        <v>54</v>
      </c>
      <c r="K603" s="15">
        <v>800000</v>
      </c>
      <c r="L603" s="5" t="str">
        <f t="shared" si="9"/>
        <v>0 - 4</v>
      </c>
    </row>
    <row r="604" spans="3:12" hidden="1">
      <c r="C604" t="s">
        <v>31</v>
      </c>
      <c r="D604" t="s">
        <v>55</v>
      </c>
      <c r="E604">
        <v>2</v>
      </c>
      <c r="F604" t="s">
        <v>10</v>
      </c>
      <c r="G604" t="s">
        <v>51</v>
      </c>
      <c r="H604" t="s">
        <v>217</v>
      </c>
      <c r="I604" s="3" t="s">
        <v>116</v>
      </c>
      <c r="J604" t="s">
        <v>54</v>
      </c>
      <c r="K604" s="15">
        <v>800000</v>
      </c>
      <c r="L604" s="5" t="str">
        <f t="shared" si="9"/>
        <v>0 - 4</v>
      </c>
    </row>
    <row r="605" spans="3:12" hidden="1">
      <c r="C605" t="s">
        <v>31</v>
      </c>
      <c r="D605" t="s">
        <v>55</v>
      </c>
      <c r="E605">
        <v>2</v>
      </c>
      <c r="F605" t="s">
        <v>10</v>
      </c>
      <c r="G605" t="s">
        <v>57</v>
      </c>
      <c r="H605" t="s">
        <v>217</v>
      </c>
      <c r="I605" s="3" t="s">
        <v>71</v>
      </c>
      <c r="J605" t="s">
        <v>54</v>
      </c>
      <c r="K605" s="15">
        <v>820000</v>
      </c>
      <c r="L605" s="5" t="str">
        <f t="shared" si="9"/>
        <v>0 - 4</v>
      </c>
    </row>
    <row r="606" spans="3:12" hidden="1">
      <c r="C606" t="s">
        <v>31</v>
      </c>
      <c r="D606" t="s">
        <v>50</v>
      </c>
      <c r="E606">
        <v>2</v>
      </c>
      <c r="F606" t="s">
        <v>10</v>
      </c>
      <c r="G606" t="s">
        <v>51</v>
      </c>
      <c r="H606" t="s">
        <v>217</v>
      </c>
      <c r="I606" s="3" t="s">
        <v>72</v>
      </c>
      <c r="J606" t="s">
        <v>54</v>
      </c>
      <c r="K606" s="15">
        <v>850000</v>
      </c>
      <c r="L606" s="5" t="str">
        <f t="shared" si="9"/>
        <v>0 - 4</v>
      </c>
    </row>
    <row r="607" spans="3:12" hidden="1">
      <c r="C607" t="s">
        <v>31</v>
      </c>
      <c r="D607" t="s">
        <v>55</v>
      </c>
      <c r="E607">
        <v>2</v>
      </c>
      <c r="F607" t="s">
        <v>10</v>
      </c>
      <c r="G607" t="s">
        <v>51</v>
      </c>
      <c r="H607" t="s">
        <v>217</v>
      </c>
      <c r="I607" s="3" t="s">
        <v>276</v>
      </c>
      <c r="J607" t="s">
        <v>54</v>
      </c>
      <c r="K607" s="15">
        <v>858000</v>
      </c>
      <c r="L607" s="5" t="str">
        <f t="shared" si="9"/>
        <v>0 - 4</v>
      </c>
    </row>
    <row r="608" spans="3:12" hidden="1">
      <c r="C608" t="s">
        <v>31</v>
      </c>
      <c r="D608" t="s">
        <v>73</v>
      </c>
      <c r="E608">
        <v>2</v>
      </c>
      <c r="F608" t="s">
        <v>10</v>
      </c>
      <c r="G608" t="s">
        <v>51</v>
      </c>
      <c r="H608" t="s">
        <v>217</v>
      </c>
      <c r="I608" s="3" t="s">
        <v>168</v>
      </c>
      <c r="J608" t="s">
        <v>66</v>
      </c>
      <c r="K608" s="15">
        <v>880000</v>
      </c>
      <c r="L608" s="5" t="str">
        <f t="shared" si="9"/>
        <v>0 - 4</v>
      </c>
    </row>
    <row r="609" spans="3:12" hidden="1">
      <c r="C609" t="s">
        <v>31</v>
      </c>
      <c r="D609" t="s">
        <v>55</v>
      </c>
      <c r="E609">
        <v>2</v>
      </c>
      <c r="F609" t="s">
        <v>10</v>
      </c>
      <c r="G609" t="s">
        <v>59</v>
      </c>
      <c r="H609" t="s">
        <v>217</v>
      </c>
      <c r="I609" s="3" t="s">
        <v>68</v>
      </c>
      <c r="J609" t="s">
        <v>54</v>
      </c>
      <c r="K609" s="15">
        <v>980000</v>
      </c>
      <c r="L609" s="5" t="str">
        <f t="shared" si="9"/>
        <v>0 - 4</v>
      </c>
    </row>
    <row r="610" spans="3:12" hidden="1">
      <c r="C610" t="s">
        <v>30</v>
      </c>
      <c r="D610" t="s">
        <v>56</v>
      </c>
      <c r="E610">
        <v>1</v>
      </c>
      <c r="F610" t="s">
        <v>10</v>
      </c>
      <c r="G610" t="s">
        <v>51</v>
      </c>
      <c r="H610" t="s">
        <v>217</v>
      </c>
      <c r="I610" s="3" t="s">
        <v>277</v>
      </c>
      <c r="J610" t="s">
        <v>54</v>
      </c>
      <c r="K610" s="15">
        <v>437000</v>
      </c>
      <c r="L610" s="5" t="str">
        <f t="shared" si="9"/>
        <v>0 - 4</v>
      </c>
    </row>
    <row r="611" spans="3:12" hidden="1">
      <c r="C611" t="s">
        <v>30</v>
      </c>
      <c r="D611" t="s">
        <v>73</v>
      </c>
      <c r="E611">
        <v>1</v>
      </c>
      <c r="F611" t="s">
        <v>10</v>
      </c>
      <c r="G611" t="s">
        <v>59</v>
      </c>
      <c r="H611" t="s">
        <v>217</v>
      </c>
      <c r="I611" s="3" t="s">
        <v>94</v>
      </c>
      <c r="J611" t="s">
        <v>66</v>
      </c>
      <c r="K611" s="15">
        <v>550000</v>
      </c>
      <c r="L611" s="5" t="str">
        <f t="shared" si="9"/>
        <v>0 - 4</v>
      </c>
    </row>
    <row r="612" spans="3:12" hidden="1">
      <c r="C612" t="s">
        <v>30</v>
      </c>
      <c r="D612" t="s">
        <v>73</v>
      </c>
      <c r="E612">
        <v>1</v>
      </c>
      <c r="F612" t="s">
        <v>10</v>
      </c>
      <c r="G612" t="s">
        <v>57</v>
      </c>
      <c r="H612" t="s">
        <v>217</v>
      </c>
      <c r="I612" s="3" t="s">
        <v>119</v>
      </c>
      <c r="J612" t="s">
        <v>54</v>
      </c>
      <c r="K612" s="15">
        <v>630000</v>
      </c>
      <c r="L612" s="5" t="str">
        <f t="shared" si="9"/>
        <v>0 - 4</v>
      </c>
    </row>
    <row r="613" spans="3:12" hidden="1">
      <c r="C613" t="s">
        <v>30</v>
      </c>
      <c r="D613" t="s">
        <v>55</v>
      </c>
      <c r="E613">
        <v>1</v>
      </c>
      <c r="F613" t="s">
        <v>10</v>
      </c>
      <c r="G613" t="s">
        <v>59</v>
      </c>
      <c r="H613" t="s">
        <v>217</v>
      </c>
      <c r="I613" s="3" t="s">
        <v>85</v>
      </c>
      <c r="J613" t="s">
        <v>54</v>
      </c>
      <c r="K613" s="15">
        <v>650000</v>
      </c>
      <c r="L613" s="5" t="str">
        <f t="shared" si="9"/>
        <v>0 - 4</v>
      </c>
    </row>
    <row r="614" spans="3:12" hidden="1">
      <c r="C614" t="s">
        <v>31</v>
      </c>
      <c r="D614" t="s">
        <v>73</v>
      </c>
      <c r="E614">
        <v>1</v>
      </c>
      <c r="F614" t="s">
        <v>10</v>
      </c>
      <c r="G614" t="s">
        <v>51</v>
      </c>
      <c r="H614" t="s">
        <v>217</v>
      </c>
      <c r="I614" s="3" t="s">
        <v>278</v>
      </c>
      <c r="J614" t="s">
        <v>54</v>
      </c>
      <c r="K614" s="15">
        <v>429000</v>
      </c>
      <c r="L614" s="5" t="str">
        <f t="shared" si="9"/>
        <v>0 - 4</v>
      </c>
    </row>
    <row r="615" spans="3:12" hidden="1">
      <c r="C615" t="s">
        <v>31</v>
      </c>
      <c r="D615" t="s">
        <v>73</v>
      </c>
      <c r="E615">
        <v>1</v>
      </c>
      <c r="F615" t="s">
        <v>10</v>
      </c>
      <c r="G615" t="s">
        <v>59</v>
      </c>
      <c r="H615" t="s">
        <v>217</v>
      </c>
      <c r="I615" s="3" t="s">
        <v>94</v>
      </c>
      <c r="J615" t="s">
        <v>54</v>
      </c>
      <c r="K615" s="15">
        <v>550000</v>
      </c>
      <c r="L615" s="5" t="str">
        <f t="shared" si="9"/>
        <v>0 - 4</v>
      </c>
    </row>
    <row r="616" spans="3:12" hidden="1">
      <c r="C616" t="s">
        <v>31</v>
      </c>
      <c r="D616" t="s">
        <v>67</v>
      </c>
      <c r="E616">
        <v>1</v>
      </c>
      <c r="F616" t="s">
        <v>10</v>
      </c>
      <c r="G616" t="s">
        <v>59</v>
      </c>
      <c r="H616" t="s">
        <v>217</v>
      </c>
      <c r="I616" s="3" t="s">
        <v>112</v>
      </c>
      <c r="J616" t="s">
        <v>66</v>
      </c>
      <c r="K616" s="15">
        <v>560000</v>
      </c>
      <c r="L616" s="5" t="str">
        <f t="shared" si="9"/>
        <v>0 - 4</v>
      </c>
    </row>
    <row r="617" spans="3:12" hidden="1">
      <c r="C617" t="s">
        <v>31</v>
      </c>
      <c r="D617" t="s">
        <v>73</v>
      </c>
      <c r="E617">
        <v>1</v>
      </c>
      <c r="F617" t="s">
        <v>10</v>
      </c>
      <c r="G617" t="s">
        <v>57</v>
      </c>
      <c r="H617" t="s">
        <v>217</v>
      </c>
      <c r="I617" s="3" t="s">
        <v>279</v>
      </c>
      <c r="J617" t="s">
        <v>54</v>
      </c>
      <c r="K617" s="15">
        <v>575000</v>
      </c>
      <c r="L617" s="5" t="str">
        <f t="shared" si="9"/>
        <v>0 - 4</v>
      </c>
    </row>
    <row r="618" spans="3:12" hidden="1">
      <c r="C618" t="s">
        <v>31</v>
      </c>
      <c r="D618" t="s">
        <v>73</v>
      </c>
      <c r="E618">
        <v>1</v>
      </c>
      <c r="F618" t="s">
        <v>10</v>
      </c>
      <c r="G618" t="s">
        <v>59</v>
      </c>
      <c r="H618" t="s">
        <v>217</v>
      </c>
      <c r="I618" s="3" t="s">
        <v>226</v>
      </c>
      <c r="J618" t="s">
        <v>54</v>
      </c>
      <c r="K618" s="15">
        <v>585000</v>
      </c>
      <c r="L618" s="5" t="str">
        <f t="shared" si="9"/>
        <v>0 - 4</v>
      </c>
    </row>
    <row r="619" spans="3:12" hidden="1">
      <c r="C619" t="s">
        <v>31</v>
      </c>
      <c r="D619" t="s">
        <v>55</v>
      </c>
      <c r="E619">
        <v>1</v>
      </c>
      <c r="F619" t="s">
        <v>10</v>
      </c>
      <c r="G619" t="s">
        <v>59</v>
      </c>
      <c r="H619" t="s">
        <v>217</v>
      </c>
      <c r="I619" s="3" t="s">
        <v>280</v>
      </c>
      <c r="J619" t="s">
        <v>66</v>
      </c>
      <c r="K619" s="15">
        <v>592000</v>
      </c>
      <c r="L619" s="5" t="str">
        <f t="shared" si="9"/>
        <v>0 - 4</v>
      </c>
    </row>
    <row r="620" spans="3:12" hidden="1">
      <c r="C620" t="s">
        <v>31</v>
      </c>
      <c r="D620" t="s">
        <v>73</v>
      </c>
      <c r="E620">
        <v>1</v>
      </c>
      <c r="F620" t="s">
        <v>10</v>
      </c>
      <c r="G620" t="s">
        <v>51</v>
      </c>
      <c r="H620" t="s">
        <v>217</v>
      </c>
      <c r="I620" s="3" t="s">
        <v>139</v>
      </c>
      <c r="J620" t="s">
        <v>54</v>
      </c>
      <c r="K620" s="15">
        <v>600000</v>
      </c>
      <c r="L620" s="5" t="str">
        <f t="shared" si="9"/>
        <v>0 - 4</v>
      </c>
    </row>
    <row r="621" spans="3:12" hidden="1">
      <c r="C621" t="s">
        <v>31</v>
      </c>
      <c r="D621" t="s">
        <v>73</v>
      </c>
      <c r="E621">
        <v>1</v>
      </c>
      <c r="F621" t="s">
        <v>10</v>
      </c>
      <c r="G621" t="s">
        <v>59</v>
      </c>
      <c r="H621" t="s">
        <v>217</v>
      </c>
      <c r="I621" s="3" t="s">
        <v>139</v>
      </c>
      <c r="J621" t="s">
        <v>54</v>
      </c>
      <c r="K621" s="15">
        <v>600000</v>
      </c>
      <c r="L621" s="5" t="str">
        <f t="shared" si="9"/>
        <v>0 - 4</v>
      </c>
    </row>
    <row r="622" spans="3:12" hidden="1">
      <c r="C622" t="s">
        <v>31</v>
      </c>
      <c r="D622" t="s">
        <v>73</v>
      </c>
      <c r="E622">
        <v>1</v>
      </c>
      <c r="F622" t="s">
        <v>10</v>
      </c>
      <c r="G622" t="s">
        <v>59</v>
      </c>
      <c r="H622" t="s">
        <v>217</v>
      </c>
      <c r="I622" s="3" t="s">
        <v>281</v>
      </c>
      <c r="J622" t="s">
        <v>54</v>
      </c>
      <c r="K622" s="15">
        <v>610000</v>
      </c>
      <c r="L622" s="5" t="str">
        <f t="shared" si="9"/>
        <v>0 - 4</v>
      </c>
    </row>
    <row r="623" spans="3:12" hidden="1">
      <c r="C623" t="s">
        <v>31</v>
      </c>
      <c r="D623" t="s">
        <v>73</v>
      </c>
      <c r="E623">
        <v>1</v>
      </c>
      <c r="F623" t="s">
        <v>10</v>
      </c>
      <c r="G623" t="s">
        <v>51</v>
      </c>
      <c r="H623" t="s">
        <v>217</v>
      </c>
      <c r="I623" s="3" t="s">
        <v>281</v>
      </c>
      <c r="J623" t="s">
        <v>66</v>
      </c>
      <c r="K623" s="15">
        <v>610000</v>
      </c>
      <c r="L623" s="5" t="str">
        <f t="shared" si="9"/>
        <v>0 - 4</v>
      </c>
    </row>
    <row r="624" spans="3:12" hidden="1">
      <c r="C624" t="s">
        <v>31</v>
      </c>
      <c r="D624" t="s">
        <v>73</v>
      </c>
      <c r="E624">
        <v>1</v>
      </c>
      <c r="F624" t="s">
        <v>10</v>
      </c>
      <c r="G624" t="s">
        <v>59</v>
      </c>
      <c r="H624" t="s">
        <v>217</v>
      </c>
      <c r="I624" s="3" t="s">
        <v>213</v>
      </c>
      <c r="J624" t="s">
        <v>66</v>
      </c>
      <c r="K624" s="15">
        <v>620000</v>
      </c>
      <c r="L624" s="5" t="str">
        <f t="shared" si="9"/>
        <v>0 - 4</v>
      </c>
    </row>
    <row r="625" spans="3:12" hidden="1">
      <c r="C625" t="s">
        <v>31</v>
      </c>
      <c r="D625" t="s">
        <v>55</v>
      </c>
      <c r="E625">
        <v>1</v>
      </c>
      <c r="F625" t="s">
        <v>10</v>
      </c>
      <c r="G625" t="s">
        <v>59</v>
      </c>
      <c r="H625" t="s">
        <v>217</v>
      </c>
      <c r="I625" s="3" t="s">
        <v>119</v>
      </c>
      <c r="J625" t="s">
        <v>54</v>
      </c>
      <c r="K625" s="15">
        <v>630000</v>
      </c>
      <c r="L625" s="5" t="str">
        <f t="shared" si="9"/>
        <v>0 - 4</v>
      </c>
    </row>
    <row r="626" spans="3:12" hidden="1">
      <c r="C626" t="s">
        <v>31</v>
      </c>
      <c r="D626" t="s">
        <v>73</v>
      </c>
      <c r="E626">
        <v>1</v>
      </c>
      <c r="F626" t="s">
        <v>10</v>
      </c>
      <c r="G626" t="s">
        <v>59</v>
      </c>
      <c r="H626" t="s">
        <v>217</v>
      </c>
      <c r="I626" s="3" t="s">
        <v>265</v>
      </c>
      <c r="J626" t="s">
        <v>54</v>
      </c>
      <c r="K626" s="15">
        <v>635000</v>
      </c>
      <c r="L626" s="5" t="str">
        <f t="shared" si="9"/>
        <v>0 - 4</v>
      </c>
    </row>
    <row r="627" spans="3:12" hidden="1">
      <c r="C627" t="s">
        <v>31</v>
      </c>
      <c r="D627" t="s">
        <v>55</v>
      </c>
      <c r="E627">
        <v>1</v>
      </c>
      <c r="F627" t="s">
        <v>10</v>
      </c>
      <c r="G627" t="s">
        <v>59</v>
      </c>
      <c r="H627" t="s">
        <v>217</v>
      </c>
      <c r="I627" s="3" t="s">
        <v>85</v>
      </c>
      <c r="J627" t="s">
        <v>54</v>
      </c>
      <c r="K627" s="15">
        <v>650000</v>
      </c>
      <c r="L627" s="5" t="str">
        <f t="shared" si="9"/>
        <v>0 - 4</v>
      </c>
    </row>
    <row r="628" spans="3:12" hidden="1">
      <c r="C628" t="s">
        <v>31</v>
      </c>
      <c r="D628" t="s">
        <v>55</v>
      </c>
      <c r="E628">
        <v>1</v>
      </c>
      <c r="F628" t="s">
        <v>10</v>
      </c>
      <c r="G628" t="s">
        <v>59</v>
      </c>
      <c r="H628" t="s">
        <v>217</v>
      </c>
      <c r="I628" s="3" t="s">
        <v>222</v>
      </c>
      <c r="J628" t="s">
        <v>66</v>
      </c>
      <c r="K628" s="15">
        <v>670000</v>
      </c>
      <c r="L628" s="5" t="str">
        <f t="shared" si="9"/>
        <v>0 - 4</v>
      </c>
    </row>
    <row r="629" spans="3:12" hidden="1">
      <c r="C629" t="s">
        <v>31</v>
      </c>
      <c r="D629" t="s">
        <v>73</v>
      </c>
      <c r="E629">
        <v>1</v>
      </c>
      <c r="F629" t="s">
        <v>10</v>
      </c>
      <c r="G629" t="s">
        <v>57</v>
      </c>
      <c r="H629" t="s">
        <v>217</v>
      </c>
      <c r="I629" s="3" t="s">
        <v>108</v>
      </c>
      <c r="J629" t="s">
        <v>54</v>
      </c>
      <c r="K629" s="15">
        <v>700000</v>
      </c>
      <c r="L629" s="5" t="str">
        <f t="shared" si="9"/>
        <v>0 - 4</v>
      </c>
    </row>
    <row r="630" spans="3:12" hidden="1">
      <c r="C630" t="s">
        <v>31</v>
      </c>
      <c r="D630" t="s">
        <v>55</v>
      </c>
      <c r="E630">
        <v>1</v>
      </c>
      <c r="F630" t="s">
        <v>10</v>
      </c>
      <c r="G630" t="s">
        <v>57</v>
      </c>
      <c r="H630" t="s">
        <v>217</v>
      </c>
      <c r="I630" s="3" t="s">
        <v>75</v>
      </c>
      <c r="J630" t="s">
        <v>54</v>
      </c>
      <c r="K630" s="15">
        <v>710000</v>
      </c>
      <c r="L630" s="5" t="str">
        <f t="shared" si="9"/>
        <v>0 - 4</v>
      </c>
    </row>
    <row r="631" spans="3:12" hidden="1">
      <c r="C631" t="s">
        <v>31</v>
      </c>
      <c r="D631" t="s">
        <v>73</v>
      </c>
      <c r="E631">
        <v>0</v>
      </c>
      <c r="F631" t="s">
        <v>10</v>
      </c>
      <c r="G631" t="s">
        <v>59</v>
      </c>
      <c r="H631" t="s">
        <v>217</v>
      </c>
      <c r="I631" s="3" t="s">
        <v>94</v>
      </c>
      <c r="J631" t="s">
        <v>66</v>
      </c>
      <c r="K631" s="15">
        <v>550000</v>
      </c>
      <c r="L631" s="5" t="str">
        <f t="shared" si="9"/>
        <v>0 - 4</v>
      </c>
    </row>
    <row r="632" spans="3:12" hidden="1">
      <c r="C632" t="s">
        <v>31</v>
      </c>
      <c r="D632" t="s">
        <v>73</v>
      </c>
      <c r="E632">
        <v>0</v>
      </c>
      <c r="F632" t="s">
        <v>10</v>
      </c>
      <c r="G632" t="s">
        <v>59</v>
      </c>
      <c r="H632" t="s">
        <v>217</v>
      </c>
      <c r="I632" s="3" t="s">
        <v>94</v>
      </c>
      <c r="J632" t="s">
        <v>66</v>
      </c>
      <c r="K632" s="15">
        <v>550000</v>
      </c>
      <c r="L632" s="5" t="str">
        <f t="shared" si="9"/>
        <v>0 - 4</v>
      </c>
    </row>
    <row r="633" spans="3:12" hidden="1">
      <c r="C633" t="s">
        <v>31</v>
      </c>
      <c r="D633" t="s">
        <v>73</v>
      </c>
      <c r="E633">
        <v>0</v>
      </c>
      <c r="F633" t="s">
        <v>10</v>
      </c>
      <c r="G633" t="s">
        <v>57</v>
      </c>
      <c r="H633" t="s">
        <v>217</v>
      </c>
      <c r="I633" s="3" t="s">
        <v>123</v>
      </c>
      <c r="J633" t="s">
        <v>54</v>
      </c>
      <c r="K633" s="15">
        <v>580000</v>
      </c>
      <c r="L633" s="5" t="str">
        <f t="shared" si="9"/>
        <v>0 - 4</v>
      </c>
    </row>
    <row r="634" spans="3:12" hidden="1">
      <c r="C634" t="s">
        <v>31</v>
      </c>
      <c r="D634" t="s">
        <v>73</v>
      </c>
      <c r="E634">
        <v>0</v>
      </c>
      <c r="F634" t="s">
        <v>10</v>
      </c>
      <c r="G634" t="s">
        <v>57</v>
      </c>
      <c r="H634" t="s">
        <v>217</v>
      </c>
      <c r="I634" s="3" t="s">
        <v>139</v>
      </c>
      <c r="J634" t="s">
        <v>54</v>
      </c>
      <c r="K634" s="15">
        <v>600000</v>
      </c>
      <c r="L634" s="5" t="str">
        <f t="shared" si="9"/>
        <v>0 - 4</v>
      </c>
    </row>
    <row r="635" spans="3:12" hidden="1">
      <c r="C635" t="s">
        <v>31</v>
      </c>
      <c r="D635" t="s">
        <v>55</v>
      </c>
      <c r="E635">
        <v>0</v>
      </c>
      <c r="F635" t="s">
        <v>10</v>
      </c>
      <c r="G635" t="s">
        <v>59</v>
      </c>
      <c r="H635" t="s">
        <v>217</v>
      </c>
      <c r="I635" s="3" t="s">
        <v>139</v>
      </c>
      <c r="J635" t="s">
        <v>66</v>
      </c>
      <c r="K635" s="15">
        <v>600000</v>
      </c>
      <c r="L635" s="5" t="str">
        <f t="shared" si="9"/>
        <v>0 - 4</v>
      </c>
    </row>
    <row r="636" spans="3:12" hidden="1">
      <c r="C636" t="s">
        <v>31</v>
      </c>
      <c r="D636" t="s">
        <v>55</v>
      </c>
      <c r="E636">
        <v>0</v>
      </c>
      <c r="F636" t="s">
        <v>10</v>
      </c>
      <c r="G636" t="s">
        <v>59</v>
      </c>
      <c r="H636" t="s">
        <v>217</v>
      </c>
      <c r="I636" s="3" t="s">
        <v>213</v>
      </c>
      <c r="J636" t="s">
        <v>54</v>
      </c>
      <c r="K636" s="15">
        <v>620000</v>
      </c>
      <c r="L636" s="5" t="str">
        <f t="shared" si="9"/>
        <v>0 - 4</v>
      </c>
    </row>
    <row r="637" spans="3:12" hidden="1">
      <c r="C637" t="s">
        <v>31</v>
      </c>
      <c r="D637" t="s">
        <v>73</v>
      </c>
      <c r="E637">
        <v>0</v>
      </c>
      <c r="F637" t="s">
        <v>10</v>
      </c>
      <c r="G637" t="s">
        <v>57</v>
      </c>
      <c r="H637" t="s">
        <v>217</v>
      </c>
      <c r="I637" s="3" t="s">
        <v>119</v>
      </c>
      <c r="J637" t="s">
        <v>54</v>
      </c>
      <c r="K637" s="15">
        <v>630000</v>
      </c>
      <c r="L637" s="5" t="str">
        <f t="shared" si="9"/>
        <v>0 - 4</v>
      </c>
    </row>
    <row r="638" spans="3:12" hidden="1">
      <c r="C638" t="s">
        <v>31</v>
      </c>
      <c r="D638" t="s">
        <v>55</v>
      </c>
      <c r="E638">
        <v>0</v>
      </c>
      <c r="F638" t="s">
        <v>10</v>
      </c>
      <c r="G638" t="s">
        <v>59</v>
      </c>
      <c r="H638" t="s">
        <v>217</v>
      </c>
      <c r="I638" s="3" t="s">
        <v>119</v>
      </c>
      <c r="J638" t="s">
        <v>54</v>
      </c>
      <c r="K638" s="15">
        <v>630000</v>
      </c>
      <c r="L638" s="5" t="str">
        <f t="shared" si="9"/>
        <v>0 - 4</v>
      </c>
    </row>
    <row r="639" spans="3:12" hidden="1">
      <c r="C639" t="s">
        <v>31</v>
      </c>
      <c r="D639" t="s">
        <v>55</v>
      </c>
      <c r="E639">
        <v>0</v>
      </c>
      <c r="F639" t="s">
        <v>10</v>
      </c>
      <c r="G639" t="s">
        <v>59</v>
      </c>
      <c r="H639" t="s">
        <v>217</v>
      </c>
      <c r="I639" s="3" t="s">
        <v>119</v>
      </c>
      <c r="J639" t="s">
        <v>54</v>
      </c>
      <c r="K639" s="15">
        <v>630000</v>
      </c>
      <c r="L639" s="5" t="str">
        <f t="shared" si="9"/>
        <v>0 - 4</v>
      </c>
    </row>
    <row r="640" spans="3:12" hidden="1">
      <c r="C640" t="s">
        <v>31</v>
      </c>
      <c r="D640" t="s">
        <v>73</v>
      </c>
      <c r="E640">
        <v>0</v>
      </c>
      <c r="F640" t="s">
        <v>10</v>
      </c>
      <c r="G640" t="s">
        <v>59</v>
      </c>
      <c r="H640" t="s">
        <v>217</v>
      </c>
      <c r="I640" s="3" t="s">
        <v>85</v>
      </c>
      <c r="J640" t="s">
        <v>66</v>
      </c>
      <c r="K640" s="15">
        <v>650000</v>
      </c>
      <c r="L640" s="5" t="str">
        <f t="shared" si="9"/>
        <v>0 - 4</v>
      </c>
    </row>
    <row r="641" spans="3:12" hidden="1">
      <c r="C641" t="s">
        <v>31</v>
      </c>
      <c r="D641" t="s">
        <v>55</v>
      </c>
      <c r="E641">
        <v>0</v>
      </c>
      <c r="F641" t="s">
        <v>10</v>
      </c>
      <c r="G641" t="s">
        <v>59</v>
      </c>
      <c r="H641" t="s">
        <v>217</v>
      </c>
      <c r="I641" s="3" t="s">
        <v>85</v>
      </c>
      <c r="J641" t="s">
        <v>54</v>
      </c>
      <c r="K641" s="15">
        <v>650000</v>
      </c>
      <c r="L641" s="5" t="str">
        <f t="shared" si="9"/>
        <v>0 - 4</v>
      </c>
    </row>
    <row r="642" spans="3:12" hidden="1">
      <c r="C642" t="s">
        <v>31</v>
      </c>
      <c r="D642" t="s">
        <v>55</v>
      </c>
      <c r="E642">
        <v>0</v>
      </c>
      <c r="F642" t="s">
        <v>10</v>
      </c>
      <c r="G642" t="s">
        <v>59</v>
      </c>
      <c r="H642" t="s">
        <v>217</v>
      </c>
      <c r="I642" s="3" t="s">
        <v>90</v>
      </c>
      <c r="J642" t="s">
        <v>66</v>
      </c>
      <c r="K642" s="15">
        <v>660000</v>
      </c>
      <c r="L642" s="5" t="str">
        <f t="shared" si="9"/>
        <v>0 - 4</v>
      </c>
    </row>
    <row r="643" spans="3:12" hidden="1">
      <c r="C643" t="s">
        <v>31</v>
      </c>
      <c r="D643" t="s">
        <v>55</v>
      </c>
      <c r="E643">
        <v>0</v>
      </c>
      <c r="F643" t="s">
        <v>10</v>
      </c>
      <c r="G643" t="s">
        <v>59</v>
      </c>
      <c r="H643" t="s">
        <v>217</v>
      </c>
      <c r="I643" s="3" t="s">
        <v>222</v>
      </c>
      <c r="J643" t="s">
        <v>54</v>
      </c>
      <c r="K643" s="15">
        <v>670000</v>
      </c>
      <c r="L643" s="5" t="str">
        <f t="shared" ref="L643:L706" si="10">_xlfn.XLOOKUP(E643,$P$2:$P$5,$O$2:$O$5,,1)</f>
        <v>0 - 4</v>
      </c>
    </row>
    <row r="644" spans="3:12" hidden="1">
      <c r="C644" t="s">
        <v>31</v>
      </c>
      <c r="D644" t="s">
        <v>55</v>
      </c>
      <c r="E644">
        <v>0</v>
      </c>
      <c r="F644" t="s">
        <v>10</v>
      </c>
      <c r="G644" t="s">
        <v>51</v>
      </c>
      <c r="H644" t="s">
        <v>217</v>
      </c>
      <c r="I644" s="3" t="s">
        <v>282</v>
      </c>
      <c r="J644" t="s">
        <v>54</v>
      </c>
      <c r="K644" s="15">
        <v>730125</v>
      </c>
      <c r="L644" s="5" t="str">
        <f t="shared" si="10"/>
        <v>0 - 4</v>
      </c>
    </row>
    <row r="645" spans="3:12" hidden="1">
      <c r="C645" t="s">
        <v>31</v>
      </c>
      <c r="D645" t="s">
        <v>49</v>
      </c>
      <c r="E645">
        <v>36</v>
      </c>
      <c r="F645" t="s">
        <v>11</v>
      </c>
      <c r="G645" t="s">
        <v>51</v>
      </c>
      <c r="H645" t="s">
        <v>217</v>
      </c>
      <c r="I645" s="3" t="s">
        <v>283</v>
      </c>
      <c r="J645" t="s">
        <v>54</v>
      </c>
      <c r="K645" s="15">
        <v>1092000</v>
      </c>
      <c r="L645" s="5" t="str">
        <f t="shared" si="10"/>
        <v>15 +</v>
      </c>
    </row>
    <row r="646" spans="3:12" hidden="1">
      <c r="C646" t="s">
        <v>31</v>
      </c>
      <c r="D646" t="s">
        <v>88</v>
      </c>
      <c r="E646">
        <v>32</v>
      </c>
      <c r="F646" t="s">
        <v>11</v>
      </c>
      <c r="G646" t="s">
        <v>51</v>
      </c>
      <c r="H646" t="s">
        <v>217</v>
      </c>
      <c r="I646" s="3" t="s">
        <v>106</v>
      </c>
      <c r="J646" t="s">
        <v>66</v>
      </c>
      <c r="K646" s="15">
        <v>1100000</v>
      </c>
      <c r="L646" s="5" t="str">
        <f t="shared" si="10"/>
        <v>15 +</v>
      </c>
    </row>
    <row r="647" spans="3:12" hidden="1">
      <c r="C647" t="s">
        <v>31</v>
      </c>
      <c r="D647" t="s">
        <v>49</v>
      </c>
      <c r="E647">
        <v>24</v>
      </c>
      <c r="F647" t="s">
        <v>11</v>
      </c>
      <c r="G647" t="s">
        <v>51</v>
      </c>
      <c r="H647" t="s">
        <v>217</v>
      </c>
      <c r="I647" s="3" t="s">
        <v>209</v>
      </c>
      <c r="J647" t="s">
        <v>54</v>
      </c>
      <c r="K647" s="15">
        <v>1010000</v>
      </c>
      <c r="L647" s="5" t="str">
        <f t="shared" si="10"/>
        <v>15 +</v>
      </c>
    </row>
    <row r="648" spans="3:12" hidden="1">
      <c r="C648" t="s">
        <v>31</v>
      </c>
      <c r="D648" t="s">
        <v>73</v>
      </c>
      <c r="E648">
        <v>23</v>
      </c>
      <c r="F648" t="s">
        <v>11</v>
      </c>
      <c r="G648" t="s">
        <v>59</v>
      </c>
      <c r="H648" t="s">
        <v>217</v>
      </c>
      <c r="I648" s="3" t="s">
        <v>159</v>
      </c>
      <c r="J648" t="s">
        <v>54</v>
      </c>
      <c r="K648" s="15">
        <v>680000</v>
      </c>
      <c r="L648" s="5" t="str">
        <f t="shared" si="10"/>
        <v>15 +</v>
      </c>
    </row>
    <row r="649" spans="3:12" hidden="1">
      <c r="C649" t="s">
        <v>31</v>
      </c>
      <c r="D649" t="s">
        <v>55</v>
      </c>
      <c r="E649">
        <v>23</v>
      </c>
      <c r="F649" t="s">
        <v>11</v>
      </c>
      <c r="G649" t="s">
        <v>57</v>
      </c>
      <c r="H649" t="s">
        <v>217</v>
      </c>
      <c r="I649" s="3" t="s">
        <v>61</v>
      </c>
      <c r="J649" t="s">
        <v>54</v>
      </c>
      <c r="K649" s="15">
        <v>1200000</v>
      </c>
      <c r="L649" s="5" t="str">
        <f t="shared" si="10"/>
        <v>15 +</v>
      </c>
    </row>
    <row r="650" spans="3:12" hidden="1">
      <c r="C650" t="s">
        <v>30</v>
      </c>
      <c r="D650" t="s">
        <v>49</v>
      </c>
      <c r="E650">
        <v>20</v>
      </c>
      <c r="F650" t="s">
        <v>11</v>
      </c>
      <c r="G650" t="s">
        <v>51</v>
      </c>
      <c r="H650" t="s">
        <v>217</v>
      </c>
      <c r="I650" s="3" t="s">
        <v>129</v>
      </c>
      <c r="J650" t="s">
        <v>54</v>
      </c>
      <c r="K650" s="15">
        <v>1150000</v>
      </c>
      <c r="L650" s="5" t="str">
        <f t="shared" si="10"/>
        <v>15 +</v>
      </c>
    </row>
    <row r="651" spans="3:12" hidden="1">
      <c r="C651" t="s">
        <v>31</v>
      </c>
      <c r="D651" t="s">
        <v>55</v>
      </c>
      <c r="E651">
        <v>18</v>
      </c>
      <c r="F651" t="s">
        <v>11</v>
      </c>
      <c r="G651" t="s">
        <v>59</v>
      </c>
      <c r="H651" t="s">
        <v>217</v>
      </c>
      <c r="I651" s="3" t="s">
        <v>284</v>
      </c>
      <c r="J651" t="s">
        <v>54</v>
      </c>
      <c r="K651" s="15">
        <v>853000</v>
      </c>
      <c r="L651" s="5" t="str">
        <f t="shared" si="10"/>
        <v>15 +</v>
      </c>
    </row>
    <row r="652" spans="3:12" hidden="1">
      <c r="C652" t="s">
        <v>31</v>
      </c>
      <c r="D652" t="s">
        <v>55</v>
      </c>
      <c r="E652">
        <v>13</v>
      </c>
      <c r="F652" t="s">
        <v>11</v>
      </c>
      <c r="G652" t="s">
        <v>59</v>
      </c>
      <c r="H652" t="s">
        <v>217</v>
      </c>
      <c r="I652" s="3" t="s">
        <v>129</v>
      </c>
      <c r="J652" t="s">
        <v>66</v>
      </c>
      <c r="K652" s="15">
        <v>1150000</v>
      </c>
      <c r="L652" s="5" t="str">
        <f t="shared" si="10"/>
        <v>9 - 14</v>
      </c>
    </row>
    <row r="653" spans="3:12" hidden="1">
      <c r="C653" t="s">
        <v>31</v>
      </c>
      <c r="D653" t="s">
        <v>55</v>
      </c>
      <c r="E653">
        <v>12</v>
      </c>
      <c r="F653" t="s">
        <v>11</v>
      </c>
      <c r="G653" t="s">
        <v>51</v>
      </c>
      <c r="H653" t="s">
        <v>217</v>
      </c>
      <c r="I653" s="3" t="s">
        <v>211</v>
      </c>
      <c r="J653" t="s">
        <v>54</v>
      </c>
      <c r="K653" s="15">
        <v>1060000</v>
      </c>
      <c r="L653" s="5" t="str">
        <f t="shared" si="10"/>
        <v>9 - 14</v>
      </c>
    </row>
    <row r="654" spans="3:12" hidden="1">
      <c r="C654" t="s">
        <v>31</v>
      </c>
      <c r="D654" t="s">
        <v>55</v>
      </c>
      <c r="E654">
        <v>12</v>
      </c>
      <c r="F654" t="s">
        <v>11</v>
      </c>
      <c r="G654" t="s">
        <v>51</v>
      </c>
      <c r="H654" t="s">
        <v>217</v>
      </c>
      <c r="I654" s="3" t="s">
        <v>285</v>
      </c>
      <c r="J654" t="s">
        <v>66</v>
      </c>
      <c r="K654" s="15">
        <v>1087350</v>
      </c>
      <c r="L654" s="5" t="str">
        <f t="shared" si="10"/>
        <v>9 - 14</v>
      </c>
    </row>
    <row r="655" spans="3:12" hidden="1">
      <c r="C655" t="s">
        <v>31</v>
      </c>
      <c r="D655" t="s">
        <v>55</v>
      </c>
      <c r="E655">
        <v>12</v>
      </c>
      <c r="F655" t="s">
        <v>11</v>
      </c>
      <c r="G655" t="s">
        <v>59</v>
      </c>
      <c r="H655" t="s">
        <v>217</v>
      </c>
      <c r="I655" s="3" t="s">
        <v>182</v>
      </c>
      <c r="J655" t="s">
        <v>54</v>
      </c>
      <c r="K655" s="15">
        <v>1450000</v>
      </c>
      <c r="L655" s="5" t="str">
        <f t="shared" si="10"/>
        <v>9 - 14</v>
      </c>
    </row>
    <row r="656" spans="3:12" hidden="1">
      <c r="C656" t="s">
        <v>30</v>
      </c>
      <c r="D656" t="s">
        <v>55</v>
      </c>
      <c r="E656">
        <v>11</v>
      </c>
      <c r="F656" t="s">
        <v>11</v>
      </c>
      <c r="G656" t="s">
        <v>59</v>
      </c>
      <c r="H656" t="s">
        <v>217</v>
      </c>
      <c r="I656" s="3" t="s">
        <v>61</v>
      </c>
      <c r="J656" t="s">
        <v>54</v>
      </c>
      <c r="K656" s="15">
        <v>1200000</v>
      </c>
      <c r="L656" s="5" t="str">
        <f t="shared" si="10"/>
        <v>9 - 14</v>
      </c>
    </row>
    <row r="657" spans="3:12" hidden="1">
      <c r="C657" t="s">
        <v>31</v>
      </c>
      <c r="D657" t="s">
        <v>63</v>
      </c>
      <c r="E657">
        <v>11</v>
      </c>
      <c r="F657" t="s">
        <v>11</v>
      </c>
      <c r="G657" t="s">
        <v>51</v>
      </c>
      <c r="H657" t="s">
        <v>217</v>
      </c>
      <c r="I657" s="3" t="s">
        <v>106</v>
      </c>
      <c r="J657" t="s">
        <v>66</v>
      </c>
      <c r="K657" s="15">
        <v>1100000</v>
      </c>
      <c r="L657" s="5" t="str">
        <f t="shared" si="10"/>
        <v>9 - 14</v>
      </c>
    </row>
    <row r="658" spans="3:12" hidden="1">
      <c r="C658" t="s">
        <v>31</v>
      </c>
      <c r="D658" t="s">
        <v>55</v>
      </c>
      <c r="E658">
        <v>8</v>
      </c>
      <c r="F658" t="s">
        <v>11</v>
      </c>
      <c r="G658" t="s">
        <v>57</v>
      </c>
      <c r="H658" t="s">
        <v>217</v>
      </c>
      <c r="I658" s="3" t="s">
        <v>193</v>
      </c>
      <c r="J658" t="s">
        <v>54</v>
      </c>
      <c r="K658" s="15">
        <v>990000</v>
      </c>
      <c r="L658" s="5" t="str">
        <f t="shared" si="10"/>
        <v>5  - 8</v>
      </c>
    </row>
    <row r="659" spans="3:12" hidden="1">
      <c r="C659" t="s">
        <v>31</v>
      </c>
      <c r="D659" t="s">
        <v>49</v>
      </c>
      <c r="E659">
        <v>8</v>
      </c>
      <c r="F659" t="s">
        <v>11</v>
      </c>
      <c r="G659" t="s">
        <v>59</v>
      </c>
      <c r="H659" t="s">
        <v>217</v>
      </c>
      <c r="I659" s="3" t="s">
        <v>148</v>
      </c>
      <c r="J659" t="s">
        <v>66</v>
      </c>
      <c r="K659" s="15">
        <v>1050000</v>
      </c>
      <c r="L659" s="5" t="str">
        <f t="shared" si="10"/>
        <v>5  - 8</v>
      </c>
    </row>
    <row r="660" spans="3:12" hidden="1">
      <c r="C660" t="s">
        <v>31</v>
      </c>
      <c r="D660" t="s">
        <v>73</v>
      </c>
      <c r="E660">
        <v>6</v>
      </c>
      <c r="F660" t="s">
        <v>11</v>
      </c>
      <c r="G660" t="s">
        <v>51</v>
      </c>
      <c r="H660" t="s">
        <v>217</v>
      </c>
      <c r="I660" s="3" t="s">
        <v>79</v>
      </c>
      <c r="J660" t="s">
        <v>54</v>
      </c>
      <c r="K660" s="15">
        <v>900000</v>
      </c>
      <c r="L660" s="5" t="str">
        <f t="shared" si="10"/>
        <v>5  - 8</v>
      </c>
    </row>
    <row r="661" spans="3:12" hidden="1">
      <c r="C661" t="s">
        <v>31</v>
      </c>
      <c r="D661" t="s">
        <v>55</v>
      </c>
      <c r="E661">
        <v>6</v>
      </c>
      <c r="F661" t="s">
        <v>11</v>
      </c>
      <c r="G661" t="s">
        <v>51</v>
      </c>
      <c r="H661" t="s">
        <v>217</v>
      </c>
      <c r="I661" s="3" t="s">
        <v>110</v>
      </c>
      <c r="J661" t="s">
        <v>54</v>
      </c>
      <c r="K661" s="15">
        <v>1000000</v>
      </c>
      <c r="L661" s="5" t="str">
        <f t="shared" si="10"/>
        <v>5  - 8</v>
      </c>
    </row>
    <row r="662" spans="3:12" hidden="1">
      <c r="C662" t="s">
        <v>31</v>
      </c>
      <c r="D662" t="s">
        <v>49</v>
      </c>
      <c r="E662">
        <v>5</v>
      </c>
      <c r="F662" t="s">
        <v>11</v>
      </c>
      <c r="G662" t="s">
        <v>59</v>
      </c>
      <c r="H662" t="s">
        <v>217</v>
      </c>
      <c r="I662" s="3" t="s">
        <v>116</v>
      </c>
      <c r="J662" t="s">
        <v>66</v>
      </c>
      <c r="K662" s="15">
        <v>800000</v>
      </c>
      <c r="L662" s="5" t="str">
        <f t="shared" si="10"/>
        <v>5  - 8</v>
      </c>
    </row>
    <row r="663" spans="3:12" hidden="1">
      <c r="C663" t="s">
        <v>31</v>
      </c>
      <c r="D663" t="s">
        <v>55</v>
      </c>
      <c r="E663">
        <v>5</v>
      </c>
      <c r="F663" t="s">
        <v>11</v>
      </c>
      <c r="G663" t="s">
        <v>59</v>
      </c>
      <c r="H663" t="s">
        <v>217</v>
      </c>
      <c r="I663" s="3" t="s">
        <v>286</v>
      </c>
      <c r="J663" t="s">
        <v>66</v>
      </c>
      <c r="K663" s="15">
        <v>815000</v>
      </c>
      <c r="L663" s="5" t="str">
        <f t="shared" si="10"/>
        <v>5  - 8</v>
      </c>
    </row>
    <row r="664" spans="3:12" hidden="1">
      <c r="C664" t="s">
        <v>31</v>
      </c>
      <c r="D664" t="s">
        <v>77</v>
      </c>
      <c r="E664">
        <v>4</v>
      </c>
      <c r="F664" t="s">
        <v>11</v>
      </c>
      <c r="G664" t="s">
        <v>51</v>
      </c>
      <c r="H664" t="s">
        <v>217</v>
      </c>
      <c r="I664" s="3" t="s">
        <v>85</v>
      </c>
      <c r="J664" t="s">
        <v>54</v>
      </c>
      <c r="K664" s="15">
        <v>650000</v>
      </c>
      <c r="L664" s="5" t="str">
        <f t="shared" si="10"/>
        <v>0 - 4</v>
      </c>
    </row>
    <row r="665" spans="3:12" hidden="1">
      <c r="C665" t="s">
        <v>31</v>
      </c>
      <c r="D665" t="s">
        <v>55</v>
      </c>
      <c r="E665">
        <v>4</v>
      </c>
      <c r="F665" t="s">
        <v>11</v>
      </c>
      <c r="G665" t="s">
        <v>59</v>
      </c>
      <c r="H665" t="s">
        <v>217</v>
      </c>
      <c r="I665" s="3" t="s">
        <v>247</v>
      </c>
      <c r="J665" t="s">
        <v>54</v>
      </c>
      <c r="K665" s="15">
        <v>885000</v>
      </c>
      <c r="L665" s="5" t="str">
        <f t="shared" si="10"/>
        <v>0 - 4</v>
      </c>
    </row>
    <row r="666" spans="3:12" hidden="1">
      <c r="C666" t="s">
        <v>31</v>
      </c>
      <c r="D666" t="s">
        <v>73</v>
      </c>
      <c r="E666">
        <v>3</v>
      </c>
      <c r="F666" t="s">
        <v>11</v>
      </c>
      <c r="G666" t="s">
        <v>59</v>
      </c>
      <c r="H666" t="s">
        <v>217</v>
      </c>
      <c r="I666" s="3" t="s">
        <v>287</v>
      </c>
      <c r="J666" t="s">
        <v>66</v>
      </c>
      <c r="K666" s="15">
        <v>844000</v>
      </c>
      <c r="L666" s="5" t="str">
        <f t="shared" si="10"/>
        <v>0 - 4</v>
      </c>
    </row>
    <row r="667" spans="3:12" hidden="1">
      <c r="C667" t="s">
        <v>31</v>
      </c>
      <c r="D667" t="s">
        <v>73</v>
      </c>
      <c r="E667">
        <v>2</v>
      </c>
      <c r="F667" t="s">
        <v>11</v>
      </c>
      <c r="G667" t="s">
        <v>57</v>
      </c>
      <c r="H667" t="s">
        <v>217</v>
      </c>
      <c r="I667" s="3" t="s">
        <v>118</v>
      </c>
      <c r="J667" t="s">
        <v>54</v>
      </c>
      <c r="K667" s="15">
        <v>570000</v>
      </c>
      <c r="L667" s="5" t="str">
        <f t="shared" si="10"/>
        <v>0 - 4</v>
      </c>
    </row>
    <row r="668" spans="3:12" hidden="1">
      <c r="C668" t="s">
        <v>31</v>
      </c>
      <c r="D668" t="s">
        <v>73</v>
      </c>
      <c r="E668">
        <v>2</v>
      </c>
      <c r="F668" t="s">
        <v>11</v>
      </c>
      <c r="G668" t="s">
        <v>59</v>
      </c>
      <c r="H668" t="s">
        <v>217</v>
      </c>
      <c r="I668" s="3" t="s">
        <v>85</v>
      </c>
      <c r="J668" t="s">
        <v>54</v>
      </c>
      <c r="K668" s="15">
        <v>650000</v>
      </c>
      <c r="L668" s="5" t="str">
        <f t="shared" si="10"/>
        <v>0 - 4</v>
      </c>
    </row>
    <row r="669" spans="3:12" hidden="1">
      <c r="C669" t="s">
        <v>31</v>
      </c>
      <c r="D669" t="s">
        <v>55</v>
      </c>
      <c r="E669">
        <v>1</v>
      </c>
      <c r="F669" t="s">
        <v>11</v>
      </c>
      <c r="G669" t="s">
        <v>59</v>
      </c>
      <c r="H669" t="s">
        <v>217</v>
      </c>
      <c r="I669" s="3" t="s">
        <v>94</v>
      </c>
      <c r="J669" t="s">
        <v>54</v>
      </c>
      <c r="K669" s="15">
        <v>550000</v>
      </c>
      <c r="L669" s="5" t="str">
        <f t="shared" si="10"/>
        <v>0 - 4</v>
      </c>
    </row>
    <row r="670" spans="3:12" hidden="1">
      <c r="C670" t="s">
        <v>31</v>
      </c>
      <c r="D670" t="s">
        <v>73</v>
      </c>
      <c r="E670">
        <v>18</v>
      </c>
      <c r="F670" t="s">
        <v>12</v>
      </c>
      <c r="G670" t="s">
        <v>57</v>
      </c>
      <c r="H670" t="s">
        <v>217</v>
      </c>
      <c r="I670" s="3" t="s">
        <v>74</v>
      </c>
      <c r="J670" t="s">
        <v>54</v>
      </c>
      <c r="K670" s="15">
        <v>730000</v>
      </c>
      <c r="L670" s="5" t="str">
        <f t="shared" si="10"/>
        <v>15 +</v>
      </c>
    </row>
    <row r="671" spans="3:12" hidden="1">
      <c r="C671" t="s">
        <v>31</v>
      </c>
      <c r="D671" t="s">
        <v>73</v>
      </c>
      <c r="E671">
        <v>7</v>
      </c>
      <c r="F671" t="s">
        <v>12</v>
      </c>
      <c r="G671" t="s">
        <v>51</v>
      </c>
      <c r="H671" t="s">
        <v>217</v>
      </c>
      <c r="I671" s="3" t="s">
        <v>167</v>
      </c>
      <c r="J671" t="s">
        <v>66</v>
      </c>
      <c r="K671" s="15">
        <v>860000</v>
      </c>
      <c r="L671" s="5" t="str">
        <f t="shared" si="10"/>
        <v>5  - 8</v>
      </c>
    </row>
    <row r="672" spans="3:12" hidden="1">
      <c r="C672" t="s">
        <v>31</v>
      </c>
      <c r="D672" t="s">
        <v>73</v>
      </c>
      <c r="E672">
        <v>7</v>
      </c>
      <c r="F672" t="s">
        <v>12</v>
      </c>
      <c r="G672" t="s">
        <v>51</v>
      </c>
      <c r="H672" t="s">
        <v>217</v>
      </c>
      <c r="I672" s="3" t="s">
        <v>111</v>
      </c>
      <c r="J672" t="s">
        <v>66</v>
      </c>
      <c r="K672" s="15">
        <v>870000</v>
      </c>
      <c r="L672" s="5" t="str">
        <f t="shared" si="10"/>
        <v>5  - 8</v>
      </c>
    </row>
    <row r="673" spans="3:12" hidden="1">
      <c r="C673" t="s">
        <v>31</v>
      </c>
      <c r="D673" t="s">
        <v>67</v>
      </c>
      <c r="E673">
        <v>3</v>
      </c>
      <c r="F673" t="s">
        <v>12</v>
      </c>
      <c r="G673" t="s">
        <v>51</v>
      </c>
      <c r="H673" t="s">
        <v>217</v>
      </c>
      <c r="I673" s="3" t="s">
        <v>90</v>
      </c>
      <c r="J673" t="s">
        <v>54</v>
      </c>
      <c r="K673" s="15">
        <v>660000</v>
      </c>
      <c r="L673" s="5" t="str">
        <f t="shared" si="10"/>
        <v>0 - 4</v>
      </c>
    </row>
    <row r="674" spans="3:12" hidden="1">
      <c r="C674" t="s">
        <v>31</v>
      </c>
      <c r="D674" t="s">
        <v>73</v>
      </c>
      <c r="E674">
        <v>2</v>
      </c>
      <c r="F674" t="s">
        <v>12</v>
      </c>
      <c r="G674" t="s">
        <v>57</v>
      </c>
      <c r="H674" t="s">
        <v>217</v>
      </c>
      <c r="I674" s="3" t="s">
        <v>165</v>
      </c>
      <c r="J674" t="s">
        <v>54</v>
      </c>
      <c r="K674" s="15">
        <v>720000</v>
      </c>
      <c r="L674" s="5" t="str">
        <f t="shared" si="10"/>
        <v>0 - 4</v>
      </c>
    </row>
    <row r="675" spans="3:12" hidden="1">
      <c r="C675" t="s">
        <v>31</v>
      </c>
      <c r="D675" t="s">
        <v>77</v>
      </c>
      <c r="E675">
        <v>0</v>
      </c>
      <c r="F675" t="s">
        <v>12</v>
      </c>
      <c r="G675" t="s">
        <v>57</v>
      </c>
      <c r="H675" t="s">
        <v>217</v>
      </c>
      <c r="I675" s="3" t="s">
        <v>288</v>
      </c>
      <c r="J675" t="s">
        <v>54</v>
      </c>
      <c r="K675" s="15">
        <v>584500</v>
      </c>
      <c r="L675" s="5" t="str">
        <f t="shared" si="10"/>
        <v>0 - 4</v>
      </c>
    </row>
    <row r="676" spans="3:12" hidden="1">
      <c r="C676" t="s">
        <v>31</v>
      </c>
      <c r="D676" t="s">
        <v>73</v>
      </c>
      <c r="E676">
        <v>20</v>
      </c>
      <c r="F676" t="s">
        <v>13</v>
      </c>
      <c r="G676" t="s">
        <v>59</v>
      </c>
      <c r="H676" t="s">
        <v>217</v>
      </c>
      <c r="I676" s="3" t="s">
        <v>289</v>
      </c>
      <c r="J676" t="s">
        <v>54</v>
      </c>
      <c r="K676" s="15">
        <v>936000</v>
      </c>
      <c r="L676" s="5" t="str">
        <f t="shared" si="10"/>
        <v>15 +</v>
      </c>
    </row>
    <row r="677" spans="3:12" hidden="1">
      <c r="C677" t="s">
        <v>31</v>
      </c>
      <c r="D677" t="s">
        <v>121</v>
      </c>
      <c r="E677">
        <v>18</v>
      </c>
      <c r="F677" t="s">
        <v>13</v>
      </c>
      <c r="G677" t="s">
        <v>51</v>
      </c>
      <c r="H677" t="s">
        <v>217</v>
      </c>
      <c r="I677" s="3" t="s">
        <v>168</v>
      </c>
      <c r="J677" t="s">
        <v>54</v>
      </c>
      <c r="K677" s="15">
        <v>880000</v>
      </c>
      <c r="L677" s="5" t="str">
        <f t="shared" si="10"/>
        <v>15 +</v>
      </c>
    </row>
    <row r="678" spans="3:12" hidden="1">
      <c r="C678" t="s">
        <v>31</v>
      </c>
      <c r="D678" t="s">
        <v>88</v>
      </c>
      <c r="E678">
        <v>15</v>
      </c>
      <c r="F678" t="s">
        <v>13</v>
      </c>
      <c r="G678" t="s">
        <v>57</v>
      </c>
      <c r="H678" t="s">
        <v>217</v>
      </c>
      <c r="I678" s="3" t="s">
        <v>98</v>
      </c>
      <c r="J678" t="s">
        <v>54</v>
      </c>
      <c r="K678" s="15">
        <v>920000</v>
      </c>
      <c r="L678" s="5" t="str">
        <f t="shared" si="10"/>
        <v>15 +</v>
      </c>
    </row>
    <row r="679" spans="3:12" hidden="1">
      <c r="C679" t="s">
        <v>31</v>
      </c>
      <c r="D679" t="s">
        <v>49</v>
      </c>
      <c r="E679">
        <v>15</v>
      </c>
      <c r="F679" t="s">
        <v>13</v>
      </c>
      <c r="G679" t="s">
        <v>51</v>
      </c>
      <c r="H679" t="s">
        <v>217</v>
      </c>
      <c r="I679" s="3" t="s">
        <v>106</v>
      </c>
      <c r="J679" t="s">
        <v>66</v>
      </c>
      <c r="K679" s="15">
        <v>1100000</v>
      </c>
      <c r="L679" s="5" t="str">
        <f t="shared" si="10"/>
        <v>15 +</v>
      </c>
    </row>
    <row r="680" spans="3:12" hidden="1">
      <c r="C680" t="s">
        <v>31</v>
      </c>
      <c r="D680" t="s">
        <v>73</v>
      </c>
      <c r="E680">
        <v>14</v>
      </c>
      <c r="F680" t="s">
        <v>13</v>
      </c>
      <c r="G680" t="s">
        <v>51</v>
      </c>
      <c r="H680" t="s">
        <v>217</v>
      </c>
      <c r="I680" s="3" t="s">
        <v>154</v>
      </c>
      <c r="J680" t="s">
        <v>54</v>
      </c>
      <c r="K680" s="15">
        <v>875000</v>
      </c>
      <c r="L680" s="5" t="str">
        <f t="shared" si="10"/>
        <v>9 - 14</v>
      </c>
    </row>
    <row r="681" spans="3:12" hidden="1">
      <c r="C681" t="s">
        <v>31</v>
      </c>
      <c r="D681" t="s">
        <v>55</v>
      </c>
      <c r="E681">
        <v>13</v>
      </c>
      <c r="F681" t="s">
        <v>13</v>
      </c>
      <c r="G681" t="s">
        <v>57</v>
      </c>
      <c r="H681" t="s">
        <v>217</v>
      </c>
      <c r="I681" s="3" t="s">
        <v>290</v>
      </c>
      <c r="J681" t="s">
        <v>54</v>
      </c>
      <c r="K681" s="15">
        <v>881000</v>
      </c>
      <c r="L681" s="5" t="str">
        <f t="shared" si="10"/>
        <v>9 - 14</v>
      </c>
    </row>
    <row r="682" spans="3:12" hidden="1">
      <c r="C682" t="s">
        <v>31</v>
      </c>
      <c r="D682" t="s">
        <v>55</v>
      </c>
      <c r="E682">
        <v>12</v>
      </c>
      <c r="F682" t="s">
        <v>13</v>
      </c>
      <c r="G682" t="s">
        <v>59</v>
      </c>
      <c r="H682" t="s">
        <v>217</v>
      </c>
      <c r="I682" s="3" t="s">
        <v>106</v>
      </c>
      <c r="J682" t="s">
        <v>66</v>
      </c>
      <c r="K682" s="15">
        <v>1100000</v>
      </c>
      <c r="L682" s="5" t="str">
        <f t="shared" si="10"/>
        <v>9 - 14</v>
      </c>
    </row>
    <row r="683" spans="3:12" hidden="1">
      <c r="C683" t="s">
        <v>31</v>
      </c>
      <c r="D683" t="s">
        <v>55</v>
      </c>
      <c r="E683">
        <v>12</v>
      </c>
      <c r="F683" t="s">
        <v>13</v>
      </c>
      <c r="G683" t="s">
        <v>59</v>
      </c>
      <c r="H683" t="s">
        <v>217</v>
      </c>
      <c r="I683" s="3" t="s">
        <v>175</v>
      </c>
      <c r="J683" t="s">
        <v>54</v>
      </c>
      <c r="K683" s="15">
        <v>1400000</v>
      </c>
      <c r="L683" s="5" t="str">
        <f t="shared" si="10"/>
        <v>9 - 14</v>
      </c>
    </row>
    <row r="684" spans="3:12" hidden="1">
      <c r="C684" t="s">
        <v>31</v>
      </c>
      <c r="D684" t="s">
        <v>73</v>
      </c>
      <c r="E684">
        <v>11</v>
      </c>
      <c r="F684" t="s">
        <v>13</v>
      </c>
      <c r="G684" t="s">
        <v>59</v>
      </c>
      <c r="H684" t="s">
        <v>217</v>
      </c>
      <c r="I684" s="3" t="s">
        <v>130</v>
      </c>
      <c r="J684" t="s">
        <v>66</v>
      </c>
      <c r="K684" s="15">
        <v>950000</v>
      </c>
      <c r="L684" s="5" t="str">
        <f t="shared" si="10"/>
        <v>9 - 14</v>
      </c>
    </row>
    <row r="685" spans="3:12" hidden="1">
      <c r="C685" t="s">
        <v>31</v>
      </c>
      <c r="D685" t="s">
        <v>73</v>
      </c>
      <c r="E685">
        <v>10</v>
      </c>
      <c r="F685" t="s">
        <v>13</v>
      </c>
      <c r="G685" t="s">
        <v>51</v>
      </c>
      <c r="H685" t="s">
        <v>217</v>
      </c>
      <c r="I685" s="3" t="s">
        <v>119</v>
      </c>
      <c r="J685" t="s">
        <v>66</v>
      </c>
      <c r="K685" s="15">
        <v>630000</v>
      </c>
      <c r="L685" s="5" t="str">
        <f t="shared" si="10"/>
        <v>9 - 14</v>
      </c>
    </row>
    <row r="686" spans="3:12" hidden="1">
      <c r="C686" t="s">
        <v>31</v>
      </c>
      <c r="D686" t="s">
        <v>55</v>
      </c>
      <c r="E686">
        <v>9</v>
      </c>
      <c r="F686" t="s">
        <v>13</v>
      </c>
      <c r="G686" t="s">
        <v>59</v>
      </c>
      <c r="H686" t="s">
        <v>217</v>
      </c>
      <c r="I686" s="3" t="s">
        <v>79</v>
      </c>
      <c r="J686" t="s">
        <v>54</v>
      </c>
      <c r="K686" s="15">
        <v>900000</v>
      </c>
      <c r="L686" s="5" t="str">
        <f t="shared" si="10"/>
        <v>9 - 14</v>
      </c>
    </row>
    <row r="687" spans="3:12" hidden="1">
      <c r="C687" t="s">
        <v>31</v>
      </c>
      <c r="D687" t="s">
        <v>55</v>
      </c>
      <c r="E687">
        <v>8</v>
      </c>
      <c r="F687" t="s">
        <v>13</v>
      </c>
      <c r="G687" t="s">
        <v>59</v>
      </c>
      <c r="H687" t="s">
        <v>217</v>
      </c>
      <c r="I687" s="3" t="s">
        <v>110</v>
      </c>
      <c r="J687" t="s">
        <v>66</v>
      </c>
      <c r="K687" s="15">
        <v>1000000</v>
      </c>
      <c r="L687" s="5" t="str">
        <f t="shared" si="10"/>
        <v>5  - 8</v>
      </c>
    </row>
    <row r="688" spans="3:12" hidden="1">
      <c r="C688" t="s">
        <v>31</v>
      </c>
      <c r="D688" t="s">
        <v>55</v>
      </c>
      <c r="E688">
        <v>8</v>
      </c>
      <c r="F688" t="s">
        <v>13</v>
      </c>
      <c r="G688" t="s">
        <v>59</v>
      </c>
      <c r="H688" t="s">
        <v>217</v>
      </c>
      <c r="I688" s="3" t="s">
        <v>106</v>
      </c>
      <c r="J688" t="s">
        <v>54</v>
      </c>
      <c r="K688" s="15">
        <v>1100000</v>
      </c>
      <c r="L688" s="5" t="str">
        <f t="shared" si="10"/>
        <v>5  - 8</v>
      </c>
    </row>
    <row r="689" spans="3:12" hidden="1">
      <c r="C689" t="s">
        <v>31</v>
      </c>
      <c r="D689" t="s">
        <v>55</v>
      </c>
      <c r="E689">
        <v>7</v>
      </c>
      <c r="F689" t="s">
        <v>13</v>
      </c>
      <c r="G689" t="s">
        <v>51</v>
      </c>
      <c r="H689" t="s">
        <v>217</v>
      </c>
      <c r="I689" s="3" t="s">
        <v>111</v>
      </c>
      <c r="J689" t="s">
        <v>54</v>
      </c>
      <c r="K689" s="15">
        <v>870000</v>
      </c>
      <c r="L689" s="5" t="str">
        <f t="shared" si="10"/>
        <v>5  - 8</v>
      </c>
    </row>
    <row r="690" spans="3:12" hidden="1">
      <c r="C690" t="s">
        <v>31</v>
      </c>
      <c r="D690" t="s">
        <v>67</v>
      </c>
      <c r="E690">
        <v>7</v>
      </c>
      <c r="F690" t="s">
        <v>13</v>
      </c>
      <c r="G690" t="s">
        <v>59</v>
      </c>
      <c r="H690" t="s">
        <v>217</v>
      </c>
      <c r="I690" s="3" t="s">
        <v>106</v>
      </c>
      <c r="J690" t="s">
        <v>66</v>
      </c>
      <c r="K690" s="15">
        <v>1100000</v>
      </c>
      <c r="L690" s="5" t="str">
        <f t="shared" si="10"/>
        <v>5  - 8</v>
      </c>
    </row>
    <row r="691" spans="3:12" hidden="1">
      <c r="C691" t="s">
        <v>31</v>
      </c>
      <c r="D691" t="s">
        <v>73</v>
      </c>
      <c r="E691">
        <v>7</v>
      </c>
      <c r="F691" t="s">
        <v>13</v>
      </c>
      <c r="G691" t="s">
        <v>59</v>
      </c>
      <c r="H691" t="s">
        <v>217</v>
      </c>
      <c r="I691" s="3" t="s">
        <v>61</v>
      </c>
      <c r="J691" t="s">
        <v>66</v>
      </c>
      <c r="K691" s="15">
        <v>1200000</v>
      </c>
      <c r="L691" s="5" t="str">
        <f t="shared" si="10"/>
        <v>5  - 8</v>
      </c>
    </row>
    <row r="692" spans="3:12" hidden="1">
      <c r="C692" t="s">
        <v>31</v>
      </c>
      <c r="D692" t="s">
        <v>77</v>
      </c>
      <c r="E692">
        <v>5</v>
      </c>
      <c r="F692" t="s">
        <v>13</v>
      </c>
      <c r="G692" t="s">
        <v>51</v>
      </c>
      <c r="H692" t="s">
        <v>217</v>
      </c>
      <c r="I692" s="3" t="s">
        <v>123</v>
      </c>
      <c r="J692" t="s">
        <v>54</v>
      </c>
      <c r="K692" s="15">
        <v>580000</v>
      </c>
      <c r="L692" s="5" t="str">
        <f t="shared" si="10"/>
        <v>5  - 8</v>
      </c>
    </row>
    <row r="693" spans="3:12" hidden="1">
      <c r="C693" t="s">
        <v>31</v>
      </c>
      <c r="D693" t="s">
        <v>73</v>
      </c>
      <c r="E693">
        <v>4</v>
      </c>
      <c r="F693" t="s">
        <v>13</v>
      </c>
      <c r="G693" t="s">
        <v>59</v>
      </c>
      <c r="H693" t="s">
        <v>217</v>
      </c>
      <c r="I693" s="3" t="s">
        <v>291</v>
      </c>
      <c r="J693" t="s">
        <v>66</v>
      </c>
      <c r="K693" s="15">
        <v>727000</v>
      </c>
      <c r="L693" s="5" t="str">
        <f t="shared" si="10"/>
        <v>0 - 4</v>
      </c>
    </row>
    <row r="694" spans="3:12" hidden="1">
      <c r="C694" t="s">
        <v>31</v>
      </c>
      <c r="D694" t="s">
        <v>55</v>
      </c>
      <c r="E694">
        <v>4</v>
      </c>
      <c r="F694" t="s">
        <v>13</v>
      </c>
      <c r="G694" t="s">
        <v>59</v>
      </c>
      <c r="H694" t="s">
        <v>217</v>
      </c>
      <c r="I694" s="3" t="s">
        <v>223</v>
      </c>
      <c r="J694" t="s">
        <v>54</v>
      </c>
      <c r="K694" s="15">
        <v>790000</v>
      </c>
      <c r="L694" s="5" t="str">
        <f t="shared" si="10"/>
        <v>0 - 4</v>
      </c>
    </row>
    <row r="695" spans="3:12" hidden="1">
      <c r="C695" t="s">
        <v>31</v>
      </c>
      <c r="D695" t="s">
        <v>55</v>
      </c>
      <c r="E695">
        <v>4</v>
      </c>
      <c r="F695" t="s">
        <v>13</v>
      </c>
      <c r="G695" t="s">
        <v>51</v>
      </c>
      <c r="H695" t="s">
        <v>217</v>
      </c>
      <c r="I695" s="3" t="s">
        <v>116</v>
      </c>
      <c r="J695" t="s">
        <v>54</v>
      </c>
      <c r="K695" s="15">
        <v>800000</v>
      </c>
      <c r="L695" s="5" t="str">
        <f t="shared" si="10"/>
        <v>0 - 4</v>
      </c>
    </row>
    <row r="696" spans="3:12" hidden="1">
      <c r="C696" t="s">
        <v>31</v>
      </c>
      <c r="D696" t="s">
        <v>55</v>
      </c>
      <c r="E696">
        <v>4</v>
      </c>
      <c r="F696" t="s">
        <v>13</v>
      </c>
      <c r="G696" t="s">
        <v>59</v>
      </c>
      <c r="H696" t="s">
        <v>217</v>
      </c>
      <c r="I696" s="3" t="s">
        <v>233</v>
      </c>
      <c r="J696" t="s">
        <v>66</v>
      </c>
      <c r="K696" s="15">
        <v>830000</v>
      </c>
      <c r="L696" s="5" t="str">
        <f t="shared" si="10"/>
        <v>0 - 4</v>
      </c>
    </row>
    <row r="697" spans="3:12" hidden="1">
      <c r="C697" t="s">
        <v>31</v>
      </c>
      <c r="D697" t="s">
        <v>55</v>
      </c>
      <c r="E697">
        <v>4</v>
      </c>
      <c r="F697" t="s">
        <v>13</v>
      </c>
      <c r="G697" t="s">
        <v>59</v>
      </c>
      <c r="H697" t="s">
        <v>217</v>
      </c>
      <c r="I697" s="3" t="s">
        <v>72</v>
      </c>
      <c r="J697" t="s">
        <v>54</v>
      </c>
      <c r="K697" s="15">
        <v>850000</v>
      </c>
      <c r="L697" s="5" t="str">
        <f t="shared" si="10"/>
        <v>0 - 4</v>
      </c>
    </row>
    <row r="698" spans="3:12" hidden="1">
      <c r="C698" t="s">
        <v>31</v>
      </c>
      <c r="D698" t="s">
        <v>55</v>
      </c>
      <c r="E698">
        <v>4</v>
      </c>
      <c r="F698" t="s">
        <v>13</v>
      </c>
      <c r="G698" t="s">
        <v>51</v>
      </c>
      <c r="H698" t="s">
        <v>217</v>
      </c>
      <c r="I698" s="3" t="s">
        <v>72</v>
      </c>
      <c r="J698" t="s">
        <v>66</v>
      </c>
      <c r="K698" s="15">
        <v>850000</v>
      </c>
      <c r="L698" s="5" t="str">
        <f t="shared" si="10"/>
        <v>0 - 4</v>
      </c>
    </row>
    <row r="699" spans="3:12" hidden="1">
      <c r="C699" t="s">
        <v>31</v>
      </c>
      <c r="D699" t="s">
        <v>55</v>
      </c>
      <c r="E699">
        <v>3</v>
      </c>
      <c r="F699" t="s">
        <v>13</v>
      </c>
      <c r="G699" t="s">
        <v>59</v>
      </c>
      <c r="H699" t="s">
        <v>217</v>
      </c>
      <c r="I699" s="3" t="s">
        <v>108</v>
      </c>
      <c r="J699" t="s">
        <v>54</v>
      </c>
      <c r="K699" s="15">
        <v>700000</v>
      </c>
      <c r="L699" s="5" t="str">
        <f t="shared" si="10"/>
        <v>0 - 4</v>
      </c>
    </row>
    <row r="700" spans="3:12" hidden="1">
      <c r="C700" t="s">
        <v>31</v>
      </c>
      <c r="D700" t="s">
        <v>73</v>
      </c>
      <c r="E700">
        <v>3</v>
      </c>
      <c r="F700" t="s">
        <v>13</v>
      </c>
      <c r="G700" t="s">
        <v>59</v>
      </c>
      <c r="H700" t="s">
        <v>217</v>
      </c>
      <c r="I700" s="3" t="s">
        <v>292</v>
      </c>
      <c r="J700" t="s">
        <v>66</v>
      </c>
      <c r="K700" s="15">
        <v>701829</v>
      </c>
      <c r="L700" s="5" t="str">
        <f t="shared" si="10"/>
        <v>0 - 4</v>
      </c>
    </row>
    <row r="701" spans="3:12" hidden="1">
      <c r="C701" t="s">
        <v>31</v>
      </c>
      <c r="D701" t="s">
        <v>73</v>
      </c>
      <c r="E701">
        <v>3</v>
      </c>
      <c r="F701" t="s">
        <v>13</v>
      </c>
      <c r="G701" t="s">
        <v>59</v>
      </c>
      <c r="H701" t="s">
        <v>217</v>
      </c>
      <c r="I701" s="3" t="s">
        <v>74</v>
      </c>
      <c r="J701" t="s">
        <v>66</v>
      </c>
      <c r="K701" s="15">
        <v>730000</v>
      </c>
      <c r="L701" s="5" t="str">
        <f t="shared" si="10"/>
        <v>0 - 4</v>
      </c>
    </row>
    <row r="702" spans="3:12" hidden="1">
      <c r="C702" t="s">
        <v>31</v>
      </c>
      <c r="D702" t="s">
        <v>73</v>
      </c>
      <c r="E702">
        <v>3</v>
      </c>
      <c r="F702" t="s">
        <v>13</v>
      </c>
      <c r="G702" t="s">
        <v>51</v>
      </c>
      <c r="H702" t="s">
        <v>217</v>
      </c>
      <c r="I702" s="3" t="s">
        <v>69</v>
      </c>
      <c r="J702" t="s">
        <v>54</v>
      </c>
      <c r="K702" s="15">
        <v>750000</v>
      </c>
      <c r="L702" s="5" t="str">
        <f t="shared" si="10"/>
        <v>0 - 4</v>
      </c>
    </row>
    <row r="703" spans="3:12" hidden="1">
      <c r="C703" t="s">
        <v>31</v>
      </c>
      <c r="D703" t="s">
        <v>73</v>
      </c>
      <c r="E703">
        <v>2</v>
      </c>
      <c r="F703" t="s">
        <v>13</v>
      </c>
      <c r="G703" t="s">
        <v>59</v>
      </c>
      <c r="H703" t="s">
        <v>217</v>
      </c>
      <c r="I703" s="3" t="s">
        <v>293</v>
      </c>
      <c r="J703" t="s">
        <v>54</v>
      </c>
      <c r="K703" s="15">
        <v>615000</v>
      </c>
      <c r="L703" s="5" t="str">
        <f t="shared" si="10"/>
        <v>0 - 4</v>
      </c>
    </row>
    <row r="704" spans="3:12" hidden="1">
      <c r="C704" t="s">
        <v>31</v>
      </c>
      <c r="D704" t="s">
        <v>55</v>
      </c>
      <c r="E704">
        <v>1</v>
      </c>
      <c r="F704" t="s">
        <v>13</v>
      </c>
      <c r="G704" t="s">
        <v>59</v>
      </c>
      <c r="H704" t="s">
        <v>217</v>
      </c>
      <c r="I704" s="3" t="s">
        <v>294</v>
      </c>
      <c r="J704" t="s">
        <v>66</v>
      </c>
      <c r="K704" s="15">
        <v>665000</v>
      </c>
      <c r="L704" s="5" t="str">
        <f t="shared" si="10"/>
        <v>0 - 4</v>
      </c>
    </row>
    <row r="705" spans="3:12" hidden="1">
      <c r="C705" t="s">
        <v>31</v>
      </c>
      <c r="D705" t="s">
        <v>49</v>
      </c>
      <c r="E705">
        <v>0</v>
      </c>
      <c r="F705" t="s">
        <v>17</v>
      </c>
      <c r="G705" t="s">
        <v>57</v>
      </c>
      <c r="H705" t="s">
        <v>217</v>
      </c>
      <c r="I705" s="3" t="s">
        <v>108</v>
      </c>
      <c r="J705" t="s">
        <v>54</v>
      </c>
      <c r="K705" s="15">
        <v>700000</v>
      </c>
      <c r="L705" s="5" t="str">
        <f t="shared" si="10"/>
        <v>0 - 4</v>
      </c>
    </row>
    <row r="706" spans="3:12" hidden="1">
      <c r="C706" t="s">
        <v>31</v>
      </c>
      <c r="D706" t="s">
        <v>73</v>
      </c>
      <c r="E706">
        <v>28</v>
      </c>
      <c r="F706" t="s">
        <v>18</v>
      </c>
      <c r="G706" t="s">
        <v>51</v>
      </c>
      <c r="H706" t="s">
        <v>217</v>
      </c>
      <c r="I706" s="3" t="s">
        <v>106</v>
      </c>
      <c r="J706" t="s">
        <v>54</v>
      </c>
      <c r="K706" s="15">
        <v>1100000</v>
      </c>
      <c r="L706" s="5" t="str">
        <f t="shared" si="10"/>
        <v>15 +</v>
      </c>
    </row>
    <row r="707" spans="3:12" hidden="1">
      <c r="C707" t="s">
        <v>31</v>
      </c>
      <c r="D707" t="s">
        <v>77</v>
      </c>
      <c r="E707">
        <v>25</v>
      </c>
      <c r="F707" t="s">
        <v>18</v>
      </c>
      <c r="G707" t="s">
        <v>51</v>
      </c>
      <c r="H707" t="s">
        <v>217</v>
      </c>
      <c r="I707" s="3" t="s">
        <v>116</v>
      </c>
      <c r="J707" t="s">
        <v>54</v>
      </c>
      <c r="K707" s="15">
        <v>800000</v>
      </c>
      <c r="L707" s="5" t="str">
        <f t="shared" ref="L707:L770" si="11">_xlfn.XLOOKUP(E707,$P$2:$P$5,$O$2:$O$5,,1)</f>
        <v>15 +</v>
      </c>
    </row>
    <row r="708" spans="3:12" hidden="1">
      <c r="C708" t="s">
        <v>31</v>
      </c>
      <c r="D708" t="s">
        <v>121</v>
      </c>
      <c r="E708">
        <v>24</v>
      </c>
      <c r="F708" t="s">
        <v>18</v>
      </c>
      <c r="G708" t="s">
        <v>51</v>
      </c>
      <c r="H708" t="s">
        <v>217</v>
      </c>
      <c r="I708" s="3" t="s">
        <v>144</v>
      </c>
      <c r="J708" t="s">
        <v>66</v>
      </c>
      <c r="K708" s="15">
        <v>970000</v>
      </c>
      <c r="L708" s="5" t="str">
        <f t="shared" si="11"/>
        <v>15 +</v>
      </c>
    </row>
    <row r="709" spans="3:12" hidden="1">
      <c r="C709" t="s">
        <v>31</v>
      </c>
      <c r="D709" t="s">
        <v>73</v>
      </c>
      <c r="E709">
        <v>22</v>
      </c>
      <c r="F709" t="s">
        <v>18</v>
      </c>
      <c r="G709" t="s">
        <v>51</v>
      </c>
      <c r="H709" t="s">
        <v>217</v>
      </c>
      <c r="I709" s="3" t="s">
        <v>110</v>
      </c>
      <c r="J709" t="s">
        <v>66</v>
      </c>
      <c r="K709" s="15">
        <v>1000000</v>
      </c>
      <c r="L709" s="5" t="str">
        <f t="shared" si="11"/>
        <v>15 +</v>
      </c>
    </row>
    <row r="710" spans="3:12" hidden="1">
      <c r="C710" t="s">
        <v>31</v>
      </c>
      <c r="D710" t="s">
        <v>55</v>
      </c>
      <c r="E710">
        <v>21</v>
      </c>
      <c r="F710" t="s">
        <v>18</v>
      </c>
      <c r="G710" t="s">
        <v>51</v>
      </c>
      <c r="H710" t="s">
        <v>217</v>
      </c>
      <c r="I710" s="3" t="s">
        <v>196</v>
      </c>
      <c r="J710" t="s">
        <v>66</v>
      </c>
      <c r="K710" s="15">
        <v>1700000</v>
      </c>
      <c r="L710" s="5" t="str">
        <f t="shared" si="11"/>
        <v>15 +</v>
      </c>
    </row>
    <row r="711" spans="3:12" hidden="1">
      <c r="C711" t="s">
        <v>31</v>
      </c>
      <c r="D711" t="s">
        <v>49</v>
      </c>
      <c r="E711">
        <v>20</v>
      </c>
      <c r="F711" t="s">
        <v>18</v>
      </c>
      <c r="G711" t="s">
        <v>51</v>
      </c>
      <c r="H711" t="s">
        <v>217</v>
      </c>
      <c r="I711" s="3" t="s">
        <v>61</v>
      </c>
      <c r="J711" t="s">
        <v>54</v>
      </c>
      <c r="K711" s="15">
        <v>1200000</v>
      </c>
      <c r="L711" s="5" t="str">
        <f t="shared" si="11"/>
        <v>15 +</v>
      </c>
    </row>
    <row r="712" spans="3:12" hidden="1">
      <c r="C712" t="s">
        <v>31</v>
      </c>
      <c r="D712" t="s">
        <v>55</v>
      </c>
      <c r="E712">
        <v>14</v>
      </c>
      <c r="F712" t="s">
        <v>18</v>
      </c>
      <c r="G712" t="s">
        <v>51</v>
      </c>
      <c r="H712" t="s">
        <v>217</v>
      </c>
      <c r="I712" s="3" t="s">
        <v>76</v>
      </c>
      <c r="J712" t="s">
        <v>54</v>
      </c>
      <c r="K712" s="15">
        <v>894000</v>
      </c>
      <c r="L712" s="5" t="str">
        <f t="shared" si="11"/>
        <v>9 - 14</v>
      </c>
    </row>
    <row r="713" spans="3:12" hidden="1">
      <c r="C713" t="s">
        <v>31</v>
      </c>
      <c r="D713" t="s">
        <v>73</v>
      </c>
      <c r="E713">
        <v>12</v>
      </c>
      <c r="F713" t="s">
        <v>18</v>
      </c>
      <c r="G713" t="s">
        <v>51</v>
      </c>
      <c r="H713" t="s">
        <v>217</v>
      </c>
      <c r="I713" s="3" t="s">
        <v>148</v>
      </c>
      <c r="J713" t="s">
        <v>54</v>
      </c>
      <c r="K713" s="15">
        <v>1050000</v>
      </c>
      <c r="L713" s="5" t="str">
        <f t="shared" si="11"/>
        <v>9 - 14</v>
      </c>
    </row>
    <row r="714" spans="3:12" hidden="1">
      <c r="C714" t="s">
        <v>31</v>
      </c>
      <c r="D714" t="s">
        <v>73</v>
      </c>
      <c r="E714">
        <v>10</v>
      </c>
      <c r="F714" t="s">
        <v>18</v>
      </c>
      <c r="G714" t="s">
        <v>51</v>
      </c>
      <c r="H714" t="s">
        <v>217</v>
      </c>
      <c r="I714" s="3" t="s">
        <v>295</v>
      </c>
      <c r="J714" t="s">
        <v>54</v>
      </c>
      <c r="K714" s="15">
        <v>857000</v>
      </c>
      <c r="L714" s="5" t="str">
        <f t="shared" si="11"/>
        <v>9 - 14</v>
      </c>
    </row>
    <row r="715" spans="3:12" hidden="1">
      <c r="C715" t="s">
        <v>31</v>
      </c>
      <c r="D715" t="s">
        <v>49</v>
      </c>
      <c r="E715">
        <v>7</v>
      </c>
      <c r="F715" t="s">
        <v>18</v>
      </c>
      <c r="G715" t="s">
        <v>59</v>
      </c>
      <c r="H715" t="s">
        <v>217</v>
      </c>
      <c r="I715" s="3" t="s">
        <v>53</v>
      </c>
      <c r="J715" t="s">
        <v>66</v>
      </c>
      <c r="K715" s="15">
        <v>865000</v>
      </c>
      <c r="L715" s="5" t="str">
        <f t="shared" si="11"/>
        <v>5  - 8</v>
      </c>
    </row>
    <row r="716" spans="3:12" hidden="1">
      <c r="C716" t="s">
        <v>31</v>
      </c>
      <c r="D716" t="s">
        <v>73</v>
      </c>
      <c r="E716">
        <v>6</v>
      </c>
      <c r="F716" t="s">
        <v>18</v>
      </c>
      <c r="G716" t="s">
        <v>51</v>
      </c>
      <c r="H716" t="s">
        <v>217</v>
      </c>
      <c r="I716" s="3" t="s">
        <v>119</v>
      </c>
      <c r="J716" t="s">
        <v>54</v>
      </c>
      <c r="K716" s="15">
        <v>630000</v>
      </c>
      <c r="L716" s="5" t="str">
        <f t="shared" si="11"/>
        <v>5  - 8</v>
      </c>
    </row>
    <row r="717" spans="3:12" hidden="1">
      <c r="C717" t="s">
        <v>31</v>
      </c>
      <c r="D717" t="s">
        <v>73</v>
      </c>
      <c r="E717">
        <v>6</v>
      </c>
      <c r="F717" t="s">
        <v>18</v>
      </c>
      <c r="G717" t="s">
        <v>59</v>
      </c>
      <c r="H717" t="s">
        <v>217</v>
      </c>
      <c r="I717" s="3" t="s">
        <v>120</v>
      </c>
      <c r="J717" t="s">
        <v>66</v>
      </c>
      <c r="K717" s="15">
        <v>740000</v>
      </c>
      <c r="L717" s="5" t="str">
        <f t="shared" si="11"/>
        <v>5  - 8</v>
      </c>
    </row>
    <row r="718" spans="3:12" hidden="1">
      <c r="C718" t="s">
        <v>31</v>
      </c>
      <c r="D718" t="s">
        <v>73</v>
      </c>
      <c r="E718">
        <v>6</v>
      </c>
      <c r="F718" t="s">
        <v>18</v>
      </c>
      <c r="G718" t="s">
        <v>57</v>
      </c>
      <c r="H718" t="s">
        <v>217</v>
      </c>
      <c r="I718" s="3" t="s">
        <v>120</v>
      </c>
      <c r="J718" t="s">
        <v>54</v>
      </c>
      <c r="K718" s="15">
        <v>740000</v>
      </c>
      <c r="L718" s="5" t="str">
        <f t="shared" si="11"/>
        <v>5  - 8</v>
      </c>
    </row>
    <row r="719" spans="3:12" hidden="1">
      <c r="C719" t="s">
        <v>31</v>
      </c>
      <c r="D719" t="s">
        <v>73</v>
      </c>
      <c r="E719">
        <v>6</v>
      </c>
      <c r="F719" t="s">
        <v>18</v>
      </c>
      <c r="G719" t="s">
        <v>59</v>
      </c>
      <c r="H719" t="s">
        <v>217</v>
      </c>
      <c r="I719" s="3" t="s">
        <v>129</v>
      </c>
      <c r="J719" t="s">
        <v>66</v>
      </c>
      <c r="K719" s="15">
        <v>1150000</v>
      </c>
      <c r="L719" s="5" t="str">
        <f t="shared" si="11"/>
        <v>5  - 8</v>
      </c>
    </row>
    <row r="720" spans="3:12" hidden="1">
      <c r="C720" t="s">
        <v>31</v>
      </c>
      <c r="D720" t="s">
        <v>73</v>
      </c>
      <c r="E720">
        <v>4</v>
      </c>
      <c r="F720" t="s">
        <v>18</v>
      </c>
      <c r="G720" t="s">
        <v>51</v>
      </c>
      <c r="H720" t="s">
        <v>217</v>
      </c>
      <c r="I720" s="3" t="s">
        <v>69</v>
      </c>
      <c r="J720" t="s">
        <v>54</v>
      </c>
      <c r="K720" s="15">
        <v>750000</v>
      </c>
      <c r="L720" s="5" t="str">
        <f t="shared" si="11"/>
        <v>0 - 4</v>
      </c>
    </row>
    <row r="721" spans="3:12" hidden="1">
      <c r="C721" t="s">
        <v>31</v>
      </c>
      <c r="D721" t="s">
        <v>56</v>
      </c>
      <c r="E721">
        <v>3</v>
      </c>
      <c r="F721" t="s">
        <v>18</v>
      </c>
      <c r="G721" t="s">
        <v>51</v>
      </c>
      <c r="H721" t="s">
        <v>217</v>
      </c>
      <c r="I721" s="3" t="s">
        <v>139</v>
      </c>
      <c r="J721" t="s">
        <v>54</v>
      </c>
      <c r="K721" s="15">
        <v>600000</v>
      </c>
      <c r="L721" s="5" t="str">
        <f t="shared" si="11"/>
        <v>0 - 4</v>
      </c>
    </row>
    <row r="722" spans="3:12" hidden="1">
      <c r="C722" t="s">
        <v>31</v>
      </c>
      <c r="D722" t="s">
        <v>73</v>
      </c>
      <c r="E722">
        <v>3</v>
      </c>
      <c r="F722" t="s">
        <v>18</v>
      </c>
      <c r="G722" t="s">
        <v>51</v>
      </c>
      <c r="H722" t="s">
        <v>217</v>
      </c>
      <c r="I722" s="3" t="s">
        <v>85</v>
      </c>
      <c r="J722" t="s">
        <v>54</v>
      </c>
      <c r="K722" s="15">
        <v>650000</v>
      </c>
      <c r="L722" s="5" t="str">
        <f t="shared" si="11"/>
        <v>0 - 4</v>
      </c>
    </row>
    <row r="723" spans="3:12" hidden="1">
      <c r="C723" t="s">
        <v>31</v>
      </c>
      <c r="D723" t="s">
        <v>73</v>
      </c>
      <c r="E723">
        <v>3</v>
      </c>
      <c r="F723" t="s">
        <v>18</v>
      </c>
      <c r="G723" t="s">
        <v>59</v>
      </c>
      <c r="H723" t="s">
        <v>217</v>
      </c>
      <c r="I723" s="3" t="s">
        <v>271</v>
      </c>
      <c r="J723" t="s">
        <v>54</v>
      </c>
      <c r="K723" s="15">
        <v>695000</v>
      </c>
      <c r="L723" s="5" t="str">
        <f t="shared" si="11"/>
        <v>0 - 4</v>
      </c>
    </row>
    <row r="724" spans="3:12" hidden="1">
      <c r="C724" t="s">
        <v>31</v>
      </c>
      <c r="D724" t="s">
        <v>73</v>
      </c>
      <c r="E724">
        <v>3</v>
      </c>
      <c r="F724" t="s">
        <v>18</v>
      </c>
      <c r="G724" t="s">
        <v>51</v>
      </c>
      <c r="H724" t="s">
        <v>217</v>
      </c>
      <c r="I724" s="3" t="s">
        <v>296</v>
      </c>
      <c r="J724" t="s">
        <v>54</v>
      </c>
      <c r="K724" s="15">
        <v>704000</v>
      </c>
      <c r="L724" s="5" t="str">
        <f t="shared" si="11"/>
        <v>0 - 4</v>
      </c>
    </row>
    <row r="725" spans="3:12" hidden="1">
      <c r="C725" t="s">
        <v>31</v>
      </c>
      <c r="D725" t="s">
        <v>56</v>
      </c>
      <c r="E725">
        <v>3</v>
      </c>
      <c r="F725" t="s">
        <v>18</v>
      </c>
      <c r="G725" t="s">
        <v>51</v>
      </c>
      <c r="H725" t="s">
        <v>217</v>
      </c>
      <c r="I725" s="3" t="s">
        <v>84</v>
      </c>
      <c r="J725" t="s">
        <v>54</v>
      </c>
      <c r="K725" s="15">
        <v>797000</v>
      </c>
      <c r="L725" s="5" t="str">
        <f t="shared" si="11"/>
        <v>0 - 4</v>
      </c>
    </row>
    <row r="726" spans="3:12" hidden="1">
      <c r="C726" t="s">
        <v>31</v>
      </c>
      <c r="D726" t="s">
        <v>80</v>
      </c>
      <c r="E726">
        <v>1</v>
      </c>
      <c r="F726" t="s">
        <v>18</v>
      </c>
      <c r="G726" t="s">
        <v>51</v>
      </c>
      <c r="H726" t="s">
        <v>217</v>
      </c>
      <c r="I726" s="3" t="s">
        <v>112</v>
      </c>
      <c r="J726" t="s">
        <v>54</v>
      </c>
      <c r="K726" s="15">
        <v>560000</v>
      </c>
      <c r="L726" s="5" t="str">
        <f t="shared" si="11"/>
        <v>0 - 4</v>
      </c>
    </row>
    <row r="727" spans="3:12" hidden="1">
      <c r="C727" t="s">
        <v>31</v>
      </c>
      <c r="D727" t="s">
        <v>56</v>
      </c>
      <c r="E727">
        <v>1</v>
      </c>
      <c r="F727" t="s">
        <v>18</v>
      </c>
      <c r="G727" t="s">
        <v>51</v>
      </c>
      <c r="H727" t="s">
        <v>217</v>
      </c>
      <c r="I727" s="3" t="s">
        <v>279</v>
      </c>
      <c r="J727" t="s">
        <v>54</v>
      </c>
      <c r="K727" s="15">
        <v>575000</v>
      </c>
      <c r="L727" s="5" t="str">
        <f t="shared" si="11"/>
        <v>0 - 4</v>
      </c>
    </row>
    <row r="728" spans="3:12" hidden="1">
      <c r="C728" t="s">
        <v>31</v>
      </c>
      <c r="D728" t="s">
        <v>67</v>
      </c>
      <c r="E728">
        <v>0</v>
      </c>
      <c r="F728" t="s">
        <v>18</v>
      </c>
      <c r="G728" t="s">
        <v>59</v>
      </c>
      <c r="H728" t="s">
        <v>217</v>
      </c>
      <c r="I728" s="3" t="s">
        <v>81</v>
      </c>
      <c r="J728" t="s">
        <v>66</v>
      </c>
      <c r="K728" s="15">
        <v>640000</v>
      </c>
      <c r="L728" s="5" t="str">
        <f t="shared" si="11"/>
        <v>0 - 4</v>
      </c>
    </row>
    <row r="729" spans="3:12" hidden="1">
      <c r="C729" t="s">
        <v>31</v>
      </c>
      <c r="D729" t="s">
        <v>55</v>
      </c>
      <c r="E729">
        <v>40</v>
      </c>
      <c r="F729" t="s">
        <v>14</v>
      </c>
      <c r="G729" t="s">
        <v>57</v>
      </c>
      <c r="H729" t="s">
        <v>217</v>
      </c>
      <c r="I729" s="3" t="s">
        <v>115</v>
      </c>
      <c r="J729" t="s">
        <v>54</v>
      </c>
      <c r="K729" s="15">
        <v>715000</v>
      </c>
      <c r="L729" s="5" t="str">
        <f t="shared" si="11"/>
        <v>15 +</v>
      </c>
    </row>
    <row r="730" spans="3:12" hidden="1">
      <c r="C730" t="s">
        <v>31</v>
      </c>
      <c r="D730" t="s">
        <v>55</v>
      </c>
      <c r="E730">
        <v>40</v>
      </c>
      <c r="F730" t="s">
        <v>14</v>
      </c>
      <c r="G730" t="s">
        <v>59</v>
      </c>
      <c r="H730" t="s">
        <v>217</v>
      </c>
      <c r="I730" s="3" t="s">
        <v>106</v>
      </c>
      <c r="J730" t="s">
        <v>54</v>
      </c>
      <c r="K730" s="15">
        <v>1100000</v>
      </c>
      <c r="L730" s="5" t="str">
        <f t="shared" si="11"/>
        <v>15 +</v>
      </c>
    </row>
    <row r="731" spans="3:12" hidden="1">
      <c r="C731" t="s">
        <v>31</v>
      </c>
      <c r="D731" t="s">
        <v>73</v>
      </c>
      <c r="E731">
        <v>23</v>
      </c>
      <c r="F731" t="s">
        <v>14</v>
      </c>
      <c r="G731" t="s">
        <v>51</v>
      </c>
      <c r="H731" t="s">
        <v>217</v>
      </c>
      <c r="I731" s="3" t="s">
        <v>297</v>
      </c>
      <c r="J731" t="s">
        <v>54</v>
      </c>
      <c r="K731" s="15">
        <v>818193</v>
      </c>
      <c r="L731" s="5" t="str">
        <f t="shared" si="11"/>
        <v>15 +</v>
      </c>
    </row>
    <row r="732" spans="3:12" hidden="1">
      <c r="C732" t="s">
        <v>31</v>
      </c>
      <c r="D732" t="s">
        <v>73</v>
      </c>
      <c r="E732">
        <v>22</v>
      </c>
      <c r="F732" t="s">
        <v>14</v>
      </c>
      <c r="G732" t="s">
        <v>51</v>
      </c>
      <c r="H732" t="s">
        <v>217</v>
      </c>
      <c r="I732" s="3" t="s">
        <v>298</v>
      </c>
      <c r="J732" t="s">
        <v>54</v>
      </c>
      <c r="K732" s="15">
        <v>975000</v>
      </c>
      <c r="L732" s="5" t="str">
        <f t="shared" si="11"/>
        <v>15 +</v>
      </c>
    </row>
    <row r="733" spans="3:12" hidden="1">
      <c r="C733" t="s">
        <v>31</v>
      </c>
      <c r="D733" t="s">
        <v>88</v>
      </c>
      <c r="E733">
        <v>22</v>
      </c>
      <c r="F733" t="s">
        <v>14</v>
      </c>
      <c r="G733" t="s">
        <v>59</v>
      </c>
      <c r="H733" t="s">
        <v>217</v>
      </c>
      <c r="I733" s="3" t="s">
        <v>299</v>
      </c>
      <c r="J733" t="s">
        <v>66</v>
      </c>
      <c r="K733" s="15">
        <v>1280000</v>
      </c>
      <c r="L733" s="5" t="str">
        <f t="shared" si="11"/>
        <v>15 +</v>
      </c>
    </row>
    <row r="734" spans="3:12" hidden="1">
      <c r="C734" t="s">
        <v>31</v>
      </c>
      <c r="D734" t="s">
        <v>49</v>
      </c>
      <c r="E734">
        <v>21</v>
      </c>
      <c r="F734" t="s">
        <v>14</v>
      </c>
      <c r="G734" t="s">
        <v>51</v>
      </c>
      <c r="H734" t="s">
        <v>217</v>
      </c>
      <c r="I734" s="3" t="s">
        <v>239</v>
      </c>
      <c r="J734" t="s">
        <v>54</v>
      </c>
      <c r="K734" s="15">
        <v>1080000</v>
      </c>
      <c r="L734" s="5" t="str">
        <f t="shared" si="11"/>
        <v>15 +</v>
      </c>
    </row>
    <row r="735" spans="3:12" hidden="1">
      <c r="C735" t="s">
        <v>31</v>
      </c>
      <c r="D735" t="s">
        <v>67</v>
      </c>
      <c r="E735">
        <v>20</v>
      </c>
      <c r="F735" t="s">
        <v>14</v>
      </c>
      <c r="G735" t="s">
        <v>59</v>
      </c>
      <c r="H735" t="s">
        <v>217</v>
      </c>
      <c r="I735" s="3" t="s">
        <v>173</v>
      </c>
      <c r="J735" t="s">
        <v>66</v>
      </c>
      <c r="K735" s="15">
        <v>1250000</v>
      </c>
      <c r="L735" s="5" t="str">
        <f t="shared" si="11"/>
        <v>15 +</v>
      </c>
    </row>
    <row r="736" spans="3:12" hidden="1">
      <c r="C736" t="s">
        <v>31</v>
      </c>
      <c r="D736" t="s">
        <v>50</v>
      </c>
      <c r="E736">
        <v>20</v>
      </c>
      <c r="F736" t="s">
        <v>14</v>
      </c>
      <c r="G736" t="s">
        <v>59</v>
      </c>
      <c r="H736" t="s">
        <v>217</v>
      </c>
      <c r="I736" s="3" t="s">
        <v>175</v>
      </c>
      <c r="J736" t="s">
        <v>54</v>
      </c>
      <c r="K736" s="15">
        <v>1400000</v>
      </c>
      <c r="L736" s="5" t="str">
        <f t="shared" si="11"/>
        <v>15 +</v>
      </c>
    </row>
    <row r="737" spans="3:12" hidden="1">
      <c r="C737" t="s">
        <v>31</v>
      </c>
      <c r="D737" t="s">
        <v>55</v>
      </c>
      <c r="E737">
        <v>18</v>
      </c>
      <c r="F737" t="s">
        <v>14</v>
      </c>
      <c r="G737" t="s">
        <v>59</v>
      </c>
      <c r="H737" t="s">
        <v>217</v>
      </c>
      <c r="I737" s="3" t="s">
        <v>300</v>
      </c>
      <c r="J737" t="s">
        <v>66</v>
      </c>
      <c r="K737" s="15">
        <v>1148000</v>
      </c>
      <c r="L737" s="5" t="str">
        <f t="shared" si="11"/>
        <v>15 +</v>
      </c>
    </row>
    <row r="738" spans="3:12" hidden="1">
      <c r="C738" t="s">
        <v>31</v>
      </c>
      <c r="D738" t="s">
        <v>49</v>
      </c>
      <c r="E738">
        <v>18</v>
      </c>
      <c r="F738" t="s">
        <v>14</v>
      </c>
      <c r="G738" t="s">
        <v>59</v>
      </c>
      <c r="H738" t="s">
        <v>217</v>
      </c>
      <c r="I738" s="3" t="s">
        <v>129</v>
      </c>
      <c r="J738" t="s">
        <v>66</v>
      </c>
      <c r="K738" s="15">
        <v>1150000</v>
      </c>
      <c r="L738" s="5" t="str">
        <f t="shared" si="11"/>
        <v>15 +</v>
      </c>
    </row>
    <row r="739" spans="3:12" hidden="1">
      <c r="C739" t="s">
        <v>30</v>
      </c>
      <c r="D739" t="s">
        <v>55</v>
      </c>
      <c r="E739">
        <v>17</v>
      </c>
      <c r="F739" t="s">
        <v>14</v>
      </c>
      <c r="G739" t="s">
        <v>51</v>
      </c>
      <c r="H739" t="s">
        <v>217</v>
      </c>
      <c r="I739" s="3" t="s">
        <v>301</v>
      </c>
      <c r="J739" t="s">
        <v>54</v>
      </c>
      <c r="K739" s="15">
        <v>1017500</v>
      </c>
      <c r="L739" s="5" t="str">
        <f t="shared" si="11"/>
        <v>15 +</v>
      </c>
    </row>
    <row r="740" spans="3:12" hidden="1">
      <c r="C740" t="s">
        <v>31</v>
      </c>
      <c r="D740" t="s">
        <v>125</v>
      </c>
      <c r="E740">
        <v>17</v>
      </c>
      <c r="F740" t="s">
        <v>14</v>
      </c>
      <c r="G740" t="s">
        <v>51</v>
      </c>
      <c r="H740" t="s">
        <v>217</v>
      </c>
      <c r="I740" s="3" t="s">
        <v>72</v>
      </c>
      <c r="J740" t="s">
        <v>54</v>
      </c>
      <c r="K740" s="15">
        <v>850000</v>
      </c>
      <c r="L740" s="5" t="str">
        <f t="shared" si="11"/>
        <v>15 +</v>
      </c>
    </row>
    <row r="741" spans="3:12" hidden="1">
      <c r="C741" t="s">
        <v>31</v>
      </c>
      <c r="D741" t="s">
        <v>73</v>
      </c>
      <c r="E741">
        <v>16</v>
      </c>
      <c r="F741" t="s">
        <v>14</v>
      </c>
      <c r="G741" t="s">
        <v>51</v>
      </c>
      <c r="H741" t="s">
        <v>217</v>
      </c>
      <c r="I741" s="3" t="s">
        <v>96</v>
      </c>
      <c r="J741" t="s">
        <v>54</v>
      </c>
      <c r="K741" s="15">
        <v>780000</v>
      </c>
      <c r="L741" s="5" t="str">
        <f t="shared" si="11"/>
        <v>15 +</v>
      </c>
    </row>
    <row r="742" spans="3:12" hidden="1">
      <c r="C742" t="s">
        <v>31</v>
      </c>
      <c r="D742" t="s">
        <v>73</v>
      </c>
      <c r="E742">
        <v>16</v>
      </c>
      <c r="F742" t="s">
        <v>14</v>
      </c>
      <c r="G742" t="s">
        <v>59</v>
      </c>
      <c r="H742" t="s">
        <v>217</v>
      </c>
      <c r="I742" s="3" t="s">
        <v>168</v>
      </c>
      <c r="J742" t="s">
        <v>54</v>
      </c>
      <c r="K742" s="15">
        <v>880000</v>
      </c>
      <c r="L742" s="5" t="str">
        <f t="shared" si="11"/>
        <v>15 +</v>
      </c>
    </row>
    <row r="743" spans="3:12" hidden="1">
      <c r="C743" t="s">
        <v>31</v>
      </c>
      <c r="D743" t="s">
        <v>49</v>
      </c>
      <c r="E743">
        <v>16</v>
      </c>
      <c r="F743" t="s">
        <v>14</v>
      </c>
      <c r="G743" t="s">
        <v>51</v>
      </c>
      <c r="H743" t="s">
        <v>217</v>
      </c>
      <c r="I743" s="3" t="s">
        <v>160</v>
      </c>
      <c r="J743" t="s">
        <v>54</v>
      </c>
      <c r="K743" s="15">
        <v>903000</v>
      </c>
      <c r="L743" s="5" t="str">
        <f t="shared" si="11"/>
        <v>15 +</v>
      </c>
    </row>
    <row r="744" spans="3:12" hidden="1">
      <c r="C744" t="s">
        <v>31</v>
      </c>
      <c r="D744" t="s">
        <v>73</v>
      </c>
      <c r="E744">
        <v>16</v>
      </c>
      <c r="F744" t="s">
        <v>14</v>
      </c>
      <c r="G744" t="s">
        <v>51</v>
      </c>
      <c r="H744" t="s">
        <v>217</v>
      </c>
      <c r="I744" s="3" t="s">
        <v>302</v>
      </c>
      <c r="J744" t="s">
        <v>54</v>
      </c>
      <c r="K744" s="15">
        <v>1078329</v>
      </c>
      <c r="L744" s="5" t="str">
        <f t="shared" si="11"/>
        <v>15 +</v>
      </c>
    </row>
    <row r="745" spans="3:12" hidden="1">
      <c r="C745" t="s">
        <v>31</v>
      </c>
      <c r="D745" t="s">
        <v>73</v>
      </c>
      <c r="E745">
        <v>15</v>
      </c>
      <c r="F745" t="s">
        <v>14</v>
      </c>
      <c r="G745" t="s">
        <v>51</v>
      </c>
      <c r="H745" t="s">
        <v>217</v>
      </c>
      <c r="I745" s="3" t="s">
        <v>303</v>
      </c>
      <c r="J745" t="s">
        <v>54</v>
      </c>
      <c r="K745" s="15">
        <v>958000</v>
      </c>
      <c r="L745" s="5" t="str">
        <f t="shared" si="11"/>
        <v>15 +</v>
      </c>
    </row>
    <row r="746" spans="3:12" hidden="1">
      <c r="C746" t="s">
        <v>31</v>
      </c>
      <c r="D746" t="s">
        <v>73</v>
      </c>
      <c r="E746">
        <v>14</v>
      </c>
      <c r="F746" t="s">
        <v>14</v>
      </c>
      <c r="G746" t="s">
        <v>51</v>
      </c>
      <c r="H746" t="s">
        <v>217</v>
      </c>
      <c r="I746" s="3" t="s">
        <v>233</v>
      </c>
      <c r="J746" t="s">
        <v>54</v>
      </c>
      <c r="K746" s="15">
        <v>830000</v>
      </c>
      <c r="L746" s="5" t="str">
        <f t="shared" si="11"/>
        <v>9 - 14</v>
      </c>
    </row>
    <row r="747" spans="3:12" hidden="1">
      <c r="C747" t="s">
        <v>31</v>
      </c>
      <c r="D747" t="s">
        <v>55</v>
      </c>
      <c r="E747">
        <v>14</v>
      </c>
      <c r="F747" t="s">
        <v>14</v>
      </c>
      <c r="G747" t="s">
        <v>51</v>
      </c>
      <c r="H747" t="s">
        <v>217</v>
      </c>
      <c r="I747" s="3" t="s">
        <v>243</v>
      </c>
      <c r="J747" t="s">
        <v>54</v>
      </c>
      <c r="K747" s="15">
        <v>1155000</v>
      </c>
      <c r="L747" s="5" t="str">
        <f t="shared" si="11"/>
        <v>9 - 14</v>
      </c>
    </row>
    <row r="748" spans="3:12" hidden="1">
      <c r="C748" t="s">
        <v>31</v>
      </c>
      <c r="D748" t="s">
        <v>73</v>
      </c>
      <c r="E748">
        <v>14</v>
      </c>
      <c r="F748" t="s">
        <v>14</v>
      </c>
      <c r="G748" t="s">
        <v>51</v>
      </c>
      <c r="H748" t="s">
        <v>217</v>
      </c>
      <c r="I748" s="3" t="s">
        <v>61</v>
      </c>
      <c r="J748" t="s">
        <v>54</v>
      </c>
      <c r="K748" s="15">
        <v>1200000</v>
      </c>
      <c r="L748" s="5" t="str">
        <f t="shared" si="11"/>
        <v>9 - 14</v>
      </c>
    </row>
    <row r="749" spans="3:12" hidden="1">
      <c r="C749" t="s">
        <v>31</v>
      </c>
      <c r="D749" t="s">
        <v>73</v>
      </c>
      <c r="E749">
        <v>12</v>
      </c>
      <c r="F749" t="s">
        <v>14</v>
      </c>
      <c r="G749" t="s">
        <v>51</v>
      </c>
      <c r="H749" t="s">
        <v>217</v>
      </c>
      <c r="I749" s="3" t="s">
        <v>144</v>
      </c>
      <c r="J749" t="s">
        <v>54</v>
      </c>
      <c r="K749" s="15">
        <v>970000</v>
      </c>
      <c r="L749" s="5" t="str">
        <f t="shared" si="11"/>
        <v>9 - 14</v>
      </c>
    </row>
    <row r="750" spans="3:12" hidden="1">
      <c r="C750" t="s">
        <v>31</v>
      </c>
      <c r="D750" t="s">
        <v>55</v>
      </c>
      <c r="E750">
        <v>9</v>
      </c>
      <c r="F750" t="s">
        <v>14</v>
      </c>
      <c r="G750" t="s">
        <v>51</v>
      </c>
      <c r="H750" t="s">
        <v>217</v>
      </c>
      <c r="I750" s="3" t="s">
        <v>122</v>
      </c>
      <c r="J750" t="s">
        <v>54</v>
      </c>
      <c r="K750" s="15">
        <v>930000</v>
      </c>
      <c r="L750" s="5" t="str">
        <f t="shared" si="11"/>
        <v>9 - 14</v>
      </c>
    </row>
    <row r="751" spans="3:12" hidden="1">
      <c r="C751" t="s">
        <v>31</v>
      </c>
      <c r="D751" t="s">
        <v>55</v>
      </c>
      <c r="E751">
        <v>9</v>
      </c>
      <c r="F751" t="s">
        <v>14</v>
      </c>
      <c r="G751" t="s">
        <v>51</v>
      </c>
      <c r="H751" t="s">
        <v>217</v>
      </c>
      <c r="I751" s="3" t="s">
        <v>110</v>
      </c>
      <c r="J751" t="s">
        <v>66</v>
      </c>
      <c r="K751" s="15">
        <v>1000000</v>
      </c>
      <c r="L751" s="5" t="str">
        <f t="shared" si="11"/>
        <v>9 - 14</v>
      </c>
    </row>
    <row r="752" spans="3:12" hidden="1">
      <c r="C752" t="s">
        <v>31</v>
      </c>
      <c r="D752" t="s">
        <v>73</v>
      </c>
      <c r="E752">
        <v>9</v>
      </c>
      <c r="F752" t="s">
        <v>14</v>
      </c>
      <c r="G752" t="s">
        <v>51</v>
      </c>
      <c r="H752" t="s">
        <v>217</v>
      </c>
      <c r="I752" s="3" t="s">
        <v>106</v>
      </c>
      <c r="J752" t="s">
        <v>54</v>
      </c>
      <c r="K752" s="15">
        <v>1100000</v>
      </c>
      <c r="L752" s="5" t="str">
        <f t="shared" si="11"/>
        <v>9 - 14</v>
      </c>
    </row>
    <row r="753" spans="3:12" hidden="1">
      <c r="C753" t="s">
        <v>31</v>
      </c>
      <c r="D753" t="s">
        <v>55</v>
      </c>
      <c r="E753">
        <v>9</v>
      </c>
      <c r="F753" t="s">
        <v>14</v>
      </c>
      <c r="G753" t="s">
        <v>59</v>
      </c>
      <c r="H753" t="s">
        <v>217</v>
      </c>
      <c r="I753" s="3" t="s">
        <v>304</v>
      </c>
      <c r="J753" t="s">
        <v>66</v>
      </c>
      <c r="K753" s="15">
        <v>1105000</v>
      </c>
      <c r="L753" s="5" t="str">
        <f t="shared" si="11"/>
        <v>9 - 14</v>
      </c>
    </row>
    <row r="754" spans="3:12" hidden="1">
      <c r="C754" t="s">
        <v>31</v>
      </c>
      <c r="D754" t="s">
        <v>73</v>
      </c>
      <c r="E754">
        <v>8</v>
      </c>
      <c r="F754" t="s">
        <v>14</v>
      </c>
      <c r="G754" t="s">
        <v>59</v>
      </c>
      <c r="H754" t="s">
        <v>217</v>
      </c>
      <c r="I754" s="3" t="s">
        <v>61</v>
      </c>
      <c r="J754" t="s">
        <v>54</v>
      </c>
      <c r="K754" s="15">
        <v>1200000</v>
      </c>
      <c r="L754" s="5" t="str">
        <f t="shared" si="11"/>
        <v>5  - 8</v>
      </c>
    </row>
    <row r="755" spans="3:12" hidden="1">
      <c r="C755" t="s">
        <v>31</v>
      </c>
      <c r="D755" t="s">
        <v>55</v>
      </c>
      <c r="E755">
        <v>7</v>
      </c>
      <c r="F755" t="s">
        <v>14</v>
      </c>
      <c r="G755" t="s">
        <v>57</v>
      </c>
      <c r="H755" t="s">
        <v>217</v>
      </c>
      <c r="I755" s="3" t="s">
        <v>305</v>
      </c>
      <c r="J755" t="s">
        <v>54</v>
      </c>
      <c r="K755" s="15">
        <v>735200</v>
      </c>
      <c r="L755" s="5" t="str">
        <f t="shared" si="11"/>
        <v>5  - 8</v>
      </c>
    </row>
    <row r="756" spans="3:12" hidden="1">
      <c r="C756" t="s">
        <v>31</v>
      </c>
      <c r="D756" t="s">
        <v>55</v>
      </c>
      <c r="E756">
        <v>7</v>
      </c>
      <c r="F756" t="s">
        <v>14</v>
      </c>
      <c r="G756" t="s">
        <v>51</v>
      </c>
      <c r="H756" t="s">
        <v>217</v>
      </c>
      <c r="I756" s="3" t="s">
        <v>69</v>
      </c>
      <c r="J756" t="s">
        <v>66</v>
      </c>
      <c r="K756" s="15">
        <v>750000</v>
      </c>
      <c r="L756" s="5" t="str">
        <f t="shared" si="11"/>
        <v>5  - 8</v>
      </c>
    </row>
    <row r="757" spans="3:12" hidden="1">
      <c r="C757" t="s">
        <v>31</v>
      </c>
      <c r="D757" t="s">
        <v>55</v>
      </c>
      <c r="E757">
        <v>7</v>
      </c>
      <c r="F757" t="s">
        <v>14</v>
      </c>
      <c r="G757" t="s">
        <v>59</v>
      </c>
      <c r="H757" t="s">
        <v>217</v>
      </c>
      <c r="I757" s="3" t="s">
        <v>116</v>
      </c>
      <c r="J757" t="s">
        <v>66</v>
      </c>
      <c r="K757" s="15">
        <v>800000</v>
      </c>
      <c r="L757" s="5" t="str">
        <f t="shared" si="11"/>
        <v>5  - 8</v>
      </c>
    </row>
    <row r="758" spans="3:12" hidden="1">
      <c r="C758" t="s">
        <v>31</v>
      </c>
      <c r="D758" t="s">
        <v>49</v>
      </c>
      <c r="E758">
        <v>7</v>
      </c>
      <c r="F758" t="s">
        <v>14</v>
      </c>
      <c r="G758" t="s">
        <v>59</v>
      </c>
      <c r="H758" t="s">
        <v>217</v>
      </c>
      <c r="I758" s="3" t="s">
        <v>116</v>
      </c>
      <c r="J758" t="s">
        <v>66</v>
      </c>
      <c r="K758" s="15">
        <v>800000</v>
      </c>
      <c r="L758" s="5" t="str">
        <f t="shared" si="11"/>
        <v>5  - 8</v>
      </c>
    </row>
    <row r="759" spans="3:12" hidden="1">
      <c r="C759" t="s">
        <v>31</v>
      </c>
      <c r="D759" t="s">
        <v>73</v>
      </c>
      <c r="E759">
        <v>7</v>
      </c>
      <c r="F759" t="s">
        <v>14</v>
      </c>
      <c r="G759" t="s">
        <v>59</v>
      </c>
      <c r="H759" t="s">
        <v>217</v>
      </c>
      <c r="I759" s="3" t="s">
        <v>181</v>
      </c>
      <c r="J759" t="s">
        <v>54</v>
      </c>
      <c r="K759" s="15">
        <v>1030000</v>
      </c>
      <c r="L759" s="5" t="str">
        <f t="shared" si="11"/>
        <v>5  - 8</v>
      </c>
    </row>
    <row r="760" spans="3:12" hidden="1">
      <c r="C760" t="s">
        <v>30</v>
      </c>
      <c r="D760" t="s">
        <v>50</v>
      </c>
      <c r="E760">
        <v>5</v>
      </c>
      <c r="F760" t="s">
        <v>14</v>
      </c>
      <c r="G760" t="s">
        <v>59</v>
      </c>
      <c r="H760" t="s">
        <v>217</v>
      </c>
      <c r="I760" s="3" t="s">
        <v>222</v>
      </c>
      <c r="J760" t="s">
        <v>66</v>
      </c>
      <c r="K760" s="15">
        <v>670000</v>
      </c>
      <c r="L760" s="5" t="str">
        <f t="shared" si="11"/>
        <v>5  - 8</v>
      </c>
    </row>
    <row r="761" spans="3:12" hidden="1">
      <c r="C761" t="s">
        <v>30</v>
      </c>
      <c r="D761" t="s">
        <v>73</v>
      </c>
      <c r="E761">
        <v>5</v>
      </c>
      <c r="F761" t="s">
        <v>14</v>
      </c>
      <c r="G761" t="s">
        <v>51</v>
      </c>
      <c r="H761" t="s">
        <v>217</v>
      </c>
      <c r="I761" s="3" t="s">
        <v>306</v>
      </c>
      <c r="J761" t="s">
        <v>54</v>
      </c>
      <c r="K761" s="15">
        <v>785000</v>
      </c>
      <c r="L761" s="5" t="str">
        <f t="shared" si="11"/>
        <v>5  - 8</v>
      </c>
    </row>
    <row r="762" spans="3:12" hidden="1">
      <c r="C762" t="s">
        <v>31</v>
      </c>
      <c r="D762" t="s">
        <v>55</v>
      </c>
      <c r="E762">
        <v>5</v>
      </c>
      <c r="F762" t="s">
        <v>14</v>
      </c>
      <c r="G762" t="s">
        <v>59</v>
      </c>
      <c r="H762" t="s">
        <v>217</v>
      </c>
      <c r="I762" s="3" t="s">
        <v>69</v>
      </c>
      <c r="J762" t="s">
        <v>66</v>
      </c>
      <c r="K762" s="15">
        <v>750000</v>
      </c>
      <c r="L762" s="5" t="str">
        <f t="shared" si="11"/>
        <v>5  - 8</v>
      </c>
    </row>
    <row r="763" spans="3:12" hidden="1">
      <c r="C763" t="s">
        <v>31</v>
      </c>
      <c r="D763" t="s">
        <v>55</v>
      </c>
      <c r="E763">
        <v>5</v>
      </c>
      <c r="F763" t="s">
        <v>14</v>
      </c>
      <c r="G763" t="s">
        <v>59</v>
      </c>
      <c r="H763" t="s">
        <v>217</v>
      </c>
      <c r="I763" s="3" t="s">
        <v>106</v>
      </c>
      <c r="J763" t="s">
        <v>54</v>
      </c>
      <c r="K763" s="15">
        <v>1100000</v>
      </c>
      <c r="L763" s="5" t="str">
        <f t="shared" si="11"/>
        <v>5  - 8</v>
      </c>
    </row>
    <row r="764" spans="3:12" hidden="1">
      <c r="C764" t="s">
        <v>31</v>
      </c>
      <c r="D764" t="s">
        <v>73</v>
      </c>
      <c r="E764">
        <v>4</v>
      </c>
      <c r="F764" t="s">
        <v>14</v>
      </c>
      <c r="G764" t="s">
        <v>51</v>
      </c>
      <c r="H764" t="s">
        <v>217</v>
      </c>
      <c r="I764" s="3" t="s">
        <v>165</v>
      </c>
      <c r="J764" t="s">
        <v>54</v>
      </c>
      <c r="K764" s="15">
        <v>720000</v>
      </c>
      <c r="L764" s="5" t="str">
        <f t="shared" si="11"/>
        <v>0 - 4</v>
      </c>
    </row>
    <row r="765" spans="3:12" hidden="1">
      <c r="C765" t="s">
        <v>31</v>
      </c>
      <c r="D765" t="s">
        <v>73</v>
      </c>
      <c r="E765">
        <v>4</v>
      </c>
      <c r="F765" t="s">
        <v>14</v>
      </c>
      <c r="G765" t="s">
        <v>51</v>
      </c>
      <c r="H765" t="s">
        <v>217</v>
      </c>
      <c r="I765" s="3" t="s">
        <v>96</v>
      </c>
      <c r="J765" t="s">
        <v>54</v>
      </c>
      <c r="K765" s="15">
        <v>780000</v>
      </c>
      <c r="L765" s="5" t="str">
        <f t="shared" si="11"/>
        <v>0 - 4</v>
      </c>
    </row>
    <row r="766" spans="3:12" hidden="1">
      <c r="C766" t="s">
        <v>31</v>
      </c>
      <c r="D766" t="s">
        <v>55</v>
      </c>
      <c r="E766">
        <v>4</v>
      </c>
      <c r="F766" t="s">
        <v>14</v>
      </c>
      <c r="G766" t="s">
        <v>59</v>
      </c>
      <c r="H766" t="s">
        <v>217</v>
      </c>
      <c r="I766" s="3" t="s">
        <v>116</v>
      </c>
      <c r="J766" t="s">
        <v>54</v>
      </c>
      <c r="K766" s="15">
        <v>800000</v>
      </c>
      <c r="L766" s="5" t="str">
        <f t="shared" si="11"/>
        <v>0 - 4</v>
      </c>
    </row>
    <row r="767" spans="3:12" hidden="1">
      <c r="C767" t="s">
        <v>31</v>
      </c>
      <c r="D767" t="s">
        <v>55</v>
      </c>
      <c r="E767">
        <v>4</v>
      </c>
      <c r="F767" t="s">
        <v>14</v>
      </c>
      <c r="G767" t="s">
        <v>59</v>
      </c>
      <c r="H767" t="s">
        <v>217</v>
      </c>
      <c r="I767" s="3" t="s">
        <v>219</v>
      </c>
      <c r="J767" t="s">
        <v>54</v>
      </c>
      <c r="K767" s="15">
        <v>1140000</v>
      </c>
      <c r="L767" s="5" t="str">
        <f t="shared" si="11"/>
        <v>0 - 4</v>
      </c>
    </row>
    <row r="768" spans="3:12" hidden="1">
      <c r="C768" t="s">
        <v>30</v>
      </c>
      <c r="D768" t="s">
        <v>55</v>
      </c>
      <c r="E768">
        <v>3</v>
      </c>
      <c r="F768" t="s">
        <v>14</v>
      </c>
      <c r="G768" t="s">
        <v>57</v>
      </c>
      <c r="H768" t="s">
        <v>217</v>
      </c>
      <c r="I768" s="3" t="s">
        <v>165</v>
      </c>
      <c r="J768" t="s">
        <v>54</v>
      </c>
      <c r="K768" s="15">
        <v>720000</v>
      </c>
      <c r="L768" s="5" t="str">
        <f t="shared" si="11"/>
        <v>0 - 4</v>
      </c>
    </row>
    <row r="769" spans="3:12" hidden="1">
      <c r="C769" t="s">
        <v>31</v>
      </c>
      <c r="D769" t="s">
        <v>73</v>
      </c>
      <c r="E769">
        <v>3</v>
      </c>
      <c r="F769" t="s">
        <v>14</v>
      </c>
      <c r="G769" t="s">
        <v>51</v>
      </c>
      <c r="H769" t="s">
        <v>217</v>
      </c>
      <c r="I769" s="3" t="s">
        <v>81</v>
      </c>
      <c r="J769" t="s">
        <v>54</v>
      </c>
      <c r="K769" s="15">
        <v>640000</v>
      </c>
      <c r="L769" s="5" t="str">
        <f t="shared" si="11"/>
        <v>0 - 4</v>
      </c>
    </row>
    <row r="770" spans="3:12" hidden="1">
      <c r="C770" t="s">
        <v>31</v>
      </c>
      <c r="D770" t="s">
        <v>55</v>
      </c>
      <c r="E770">
        <v>3</v>
      </c>
      <c r="F770" t="s">
        <v>14</v>
      </c>
      <c r="G770" t="s">
        <v>51</v>
      </c>
      <c r="H770" t="s">
        <v>217</v>
      </c>
      <c r="I770" s="3" t="s">
        <v>307</v>
      </c>
      <c r="J770" t="s">
        <v>54</v>
      </c>
      <c r="K770" s="15">
        <v>645000</v>
      </c>
      <c r="L770" s="5" t="str">
        <f t="shared" si="11"/>
        <v>0 - 4</v>
      </c>
    </row>
    <row r="771" spans="3:12" hidden="1">
      <c r="C771" t="s">
        <v>31</v>
      </c>
      <c r="D771" t="s">
        <v>73</v>
      </c>
      <c r="E771">
        <v>3</v>
      </c>
      <c r="F771" t="s">
        <v>14</v>
      </c>
      <c r="G771" t="s">
        <v>59</v>
      </c>
      <c r="H771" t="s">
        <v>217</v>
      </c>
      <c r="I771" s="3" t="s">
        <v>69</v>
      </c>
      <c r="J771" t="s">
        <v>66</v>
      </c>
      <c r="K771" s="15">
        <v>750000</v>
      </c>
      <c r="L771" s="5" t="str">
        <f t="shared" ref="L771:L834" si="12">_xlfn.XLOOKUP(E771,$P$2:$P$5,$O$2:$O$5,,1)</f>
        <v>0 - 4</v>
      </c>
    </row>
    <row r="772" spans="3:12" hidden="1">
      <c r="C772" t="s">
        <v>31</v>
      </c>
      <c r="D772" t="s">
        <v>55</v>
      </c>
      <c r="E772">
        <v>3</v>
      </c>
      <c r="F772" t="s">
        <v>14</v>
      </c>
      <c r="G772" t="s">
        <v>59</v>
      </c>
      <c r="H772" t="s">
        <v>217</v>
      </c>
      <c r="I772" s="3" t="s">
        <v>156</v>
      </c>
      <c r="J772" t="s">
        <v>66</v>
      </c>
      <c r="K772" s="15">
        <v>770000</v>
      </c>
      <c r="L772" s="5" t="str">
        <f t="shared" si="12"/>
        <v>0 - 4</v>
      </c>
    </row>
    <row r="773" spans="3:12" hidden="1">
      <c r="C773" t="s">
        <v>31</v>
      </c>
      <c r="D773" t="s">
        <v>73</v>
      </c>
      <c r="E773">
        <v>3</v>
      </c>
      <c r="F773" t="s">
        <v>14</v>
      </c>
      <c r="G773" t="s">
        <v>51</v>
      </c>
      <c r="H773" t="s">
        <v>217</v>
      </c>
      <c r="I773" s="3" t="s">
        <v>306</v>
      </c>
      <c r="J773" t="s">
        <v>66</v>
      </c>
      <c r="K773" s="15">
        <v>785000</v>
      </c>
      <c r="L773" s="5" t="str">
        <f t="shared" si="12"/>
        <v>0 - 4</v>
      </c>
    </row>
    <row r="774" spans="3:12" hidden="1">
      <c r="C774" t="s">
        <v>31</v>
      </c>
      <c r="D774" t="s">
        <v>55</v>
      </c>
      <c r="E774">
        <v>3</v>
      </c>
      <c r="F774" t="s">
        <v>14</v>
      </c>
      <c r="G774" t="s">
        <v>59</v>
      </c>
      <c r="H774" t="s">
        <v>217</v>
      </c>
      <c r="I774" s="3" t="s">
        <v>116</v>
      </c>
      <c r="J774" t="s">
        <v>66</v>
      </c>
      <c r="K774" s="15">
        <v>800000</v>
      </c>
      <c r="L774" s="5" t="str">
        <f t="shared" si="12"/>
        <v>0 - 4</v>
      </c>
    </row>
    <row r="775" spans="3:12" hidden="1">
      <c r="C775" t="s">
        <v>31</v>
      </c>
      <c r="D775" t="s">
        <v>67</v>
      </c>
      <c r="E775">
        <v>3</v>
      </c>
      <c r="F775" t="s">
        <v>14</v>
      </c>
      <c r="G775" t="s">
        <v>59</v>
      </c>
      <c r="H775" t="s">
        <v>217</v>
      </c>
      <c r="I775" s="3" t="s">
        <v>61</v>
      </c>
      <c r="J775" t="s">
        <v>54</v>
      </c>
      <c r="K775" s="15">
        <v>1200000</v>
      </c>
      <c r="L775" s="5" t="str">
        <f t="shared" si="12"/>
        <v>0 - 4</v>
      </c>
    </row>
    <row r="776" spans="3:12" hidden="1">
      <c r="C776" t="s">
        <v>30</v>
      </c>
      <c r="D776" t="s">
        <v>55</v>
      </c>
      <c r="E776">
        <v>2</v>
      </c>
      <c r="F776" t="s">
        <v>14</v>
      </c>
      <c r="G776" t="s">
        <v>57</v>
      </c>
      <c r="H776" t="s">
        <v>217</v>
      </c>
      <c r="I776" s="3" t="s">
        <v>108</v>
      </c>
      <c r="J776" t="s">
        <v>54</v>
      </c>
      <c r="K776" s="15">
        <v>700000</v>
      </c>
      <c r="L776" s="5" t="str">
        <f t="shared" si="12"/>
        <v>0 - 4</v>
      </c>
    </row>
    <row r="777" spans="3:12" hidden="1">
      <c r="C777" t="s">
        <v>30</v>
      </c>
      <c r="D777" t="s">
        <v>55</v>
      </c>
      <c r="E777">
        <v>2</v>
      </c>
      <c r="F777" t="s">
        <v>14</v>
      </c>
      <c r="G777" t="s">
        <v>57</v>
      </c>
      <c r="H777" t="s">
        <v>217</v>
      </c>
      <c r="I777" s="3" t="s">
        <v>71</v>
      </c>
      <c r="J777" t="s">
        <v>54</v>
      </c>
      <c r="K777" s="15">
        <v>820000</v>
      </c>
      <c r="L777" s="5" t="str">
        <f t="shared" si="12"/>
        <v>0 - 4</v>
      </c>
    </row>
    <row r="778" spans="3:12" hidden="1">
      <c r="C778" t="s">
        <v>31</v>
      </c>
      <c r="D778" t="s">
        <v>50</v>
      </c>
      <c r="E778">
        <v>2</v>
      </c>
      <c r="F778" t="s">
        <v>14</v>
      </c>
      <c r="G778" t="s">
        <v>57</v>
      </c>
      <c r="H778" t="s">
        <v>217</v>
      </c>
      <c r="I778" s="3" t="s">
        <v>119</v>
      </c>
      <c r="J778" t="s">
        <v>54</v>
      </c>
      <c r="K778" s="15">
        <v>630000</v>
      </c>
      <c r="L778" s="5" t="str">
        <f t="shared" si="12"/>
        <v>0 - 4</v>
      </c>
    </row>
    <row r="779" spans="3:12" hidden="1">
      <c r="C779" t="s">
        <v>31</v>
      </c>
      <c r="D779" t="s">
        <v>73</v>
      </c>
      <c r="E779">
        <v>2</v>
      </c>
      <c r="F779" t="s">
        <v>14</v>
      </c>
      <c r="G779" t="s">
        <v>59</v>
      </c>
      <c r="H779" t="s">
        <v>217</v>
      </c>
      <c r="I779" s="3" t="s">
        <v>265</v>
      </c>
      <c r="J779" t="s">
        <v>54</v>
      </c>
      <c r="K779" s="15">
        <v>635000</v>
      </c>
      <c r="L779" s="5" t="str">
        <f t="shared" si="12"/>
        <v>0 - 4</v>
      </c>
    </row>
    <row r="780" spans="3:12" hidden="1">
      <c r="C780" t="s">
        <v>31</v>
      </c>
      <c r="D780" t="s">
        <v>73</v>
      </c>
      <c r="E780">
        <v>2</v>
      </c>
      <c r="F780" t="s">
        <v>14</v>
      </c>
      <c r="G780" t="s">
        <v>51</v>
      </c>
      <c r="H780" t="s">
        <v>217</v>
      </c>
      <c r="I780" s="3" t="s">
        <v>308</v>
      </c>
      <c r="J780" t="s">
        <v>54</v>
      </c>
      <c r="K780" s="15">
        <v>673000</v>
      </c>
      <c r="L780" s="5" t="str">
        <f t="shared" si="12"/>
        <v>0 - 4</v>
      </c>
    </row>
    <row r="781" spans="3:12" hidden="1">
      <c r="C781" t="s">
        <v>31</v>
      </c>
      <c r="D781" t="s">
        <v>55</v>
      </c>
      <c r="E781">
        <v>2</v>
      </c>
      <c r="F781" t="s">
        <v>14</v>
      </c>
      <c r="G781" t="s">
        <v>51</v>
      </c>
      <c r="H781" t="s">
        <v>217</v>
      </c>
      <c r="I781" s="3" t="s">
        <v>159</v>
      </c>
      <c r="J781" t="s">
        <v>54</v>
      </c>
      <c r="K781" s="15">
        <v>680000</v>
      </c>
      <c r="L781" s="5" t="str">
        <f t="shared" si="12"/>
        <v>0 - 4</v>
      </c>
    </row>
    <row r="782" spans="3:12" hidden="1">
      <c r="C782" t="s">
        <v>31</v>
      </c>
      <c r="D782" t="s">
        <v>73</v>
      </c>
      <c r="E782">
        <v>2</v>
      </c>
      <c r="F782" t="s">
        <v>14</v>
      </c>
      <c r="G782" t="s">
        <v>51</v>
      </c>
      <c r="H782" t="s">
        <v>217</v>
      </c>
      <c r="I782" s="3" t="s">
        <v>309</v>
      </c>
      <c r="J782" t="s">
        <v>66</v>
      </c>
      <c r="K782" s="15">
        <v>701000</v>
      </c>
      <c r="L782" s="5" t="str">
        <f t="shared" si="12"/>
        <v>0 - 4</v>
      </c>
    </row>
    <row r="783" spans="3:12" hidden="1">
      <c r="C783" t="s">
        <v>31</v>
      </c>
      <c r="D783" t="s">
        <v>55</v>
      </c>
      <c r="E783">
        <v>2</v>
      </c>
      <c r="F783" t="s">
        <v>14</v>
      </c>
      <c r="G783" t="s">
        <v>59</v>
      </c>
      <c r="H783" t="s">
        <v>217</v>
      </c>
      <c r="I783" s="3" t="s">
        <v>74</v>
      </c>
      <c r="J783" t="s">
        <v>54</v>
      </c>
      <c r="K783" s="15">
        <v>730000</v>
      </c>
      <c r="L783" s="5" t="str">
        <f t="shared" si="12"/>
        <v>0 - 4</v>
      </c>
    </row>
    <row r="784" spans="3:12" hidden="1">
      <c r="C784" t="s">
        <v>31</v>
      </c>
      <c r="D784" t="s">
        <v>56</v>
      </c>
      <c r="E784">
        <v>1</v>
      </c>
      <c r="F784" t="s">
        <v>14</v>
      </c>
      <c r="G784" t="s">
        <v>51</v>
      </c>
      <c r="H784" t="s">
        <v>217</v>
      </c>
      <c r="I784" s="3" t="s">
        <v>310</v>
      </c>
      <c r="J784" t="s">
        <v>66</v>
      </c>
      <c r="K784" s="15">
        <v>480000</v>
      </c>
      <c r="L784" s="5" t="str">
        <f t="shared" si="12"/>
        <v>0 - 4</v>
      </c>
    </row>
    <row r="785" spans="3:12" hidden="1">
      <c r="C785" t="s">
        <v>31</v>
      </c>
      <c r="D785" t="s">
        <v>73</v>
      </c>
      <c r="E785">
        <v>1</v>
      </c>
      <c r="F785" t="s">
        <v>14</v>
      </c>
      <c r="G785" t="s">
        <v>51</v>
      </c>
      <c r="H785" t="s">
        <v>217</v>
      </c>
      <c r="I785" s="3" t="s">
        <v>87</v>
      </c>
      <c r="J785" t="s">
        <v>54</v>
      </c>
      <c r="K785" s="15">
        <v>525000</v>
      </c>
      <c r="L785" s="5" t="str">
        <f t="shared" si="12"/>
        <v>0 - 4</v>
      </c>
    </row>
    <row r="786" spans="3:12" hidden="1">
      <c r="C786" t="s">
        <v>31</v>
      </c>
      <c r="D786" t="s">
        <v>73</v>
      </c>
      <c r="E786">
        <v>1</v>
      </c>
      <c r="F786" t="s">
        <v>14</v>
      </c>
      <c r="G786" t="s">
        <v>51</v>
      </c>
      <c r="H786" t="s">
        <v>217</v>
      </c>
      <c r="I786" s="3" t="s">
        <v>191</v>
      </c>
      <c r="J786" t="s">
        <v>54</v>
      </c>
      <c r="K786" s="15">
        <v>530000</v>
      </c>
      <c r="L786" s="5" t="str">
        <f t="shared" si="12"/>
        <v>0 - 4</v>
      </c>
    </row>
    <row r="787" spans="3:12" hidden="1">
      <c r="C787" t="s">
        <v>31</v>
      </c>
      <c r="D787" t="s">
        <v>73</v>
      </c>
      <c r="E787">
        <v>1</v>
      </c>
      <c r="F787" t="s">
        <v>14</v>
      </c>
      <c r="G787" t="s">
        <v>51</v>
      </c>
      <c r="H787" t="s">
        <v>217</v>
      </c>
      <c r="I787" s="3" t="s">
        <v>139</v>
      </c>
      <c r="J787" t="s">
        <v>54</v>
      </c>
      <c r="K787" s="15">
        <v>600000</v>
      </c>
      <c r="L787" s="5" t="str">
        <f t="shared" si="12"/>
        <v>0 - 4</v>
      </c>
    </row>
    <row r="788" spans="3:12" hidden="1">
      <c r="C788" t="s">
        <v>31</v>
      </c>
      <c r="D788" t="s">
        <v>73</v>
      </c>
      <c r="E788">
        <v>1</v>
      </c>
      <c r="F788" t="s">
        <v>14</v>
      </c>
      <c r="G788" t="s">
        <v>59</v>
      </c>
      <c r="H788" t="s">
        <v>217</v>
      </c>
      <c r="I788" s="3" t="s">
        <v>227</v>
      </c>
      <c r="J788" t="s">
        <v>54</v>
      </c>
      <c r="K788" s="15">
        <v>605000</v>
      </c>
      <c r="L788" s="5" t="str">
        <f t="shared" si="12"/>
        <v>0 - 4</v>
      </c>
    </row>
    <row r="789" spans="3:12" hidden="1">
      <c r="C789" t="s">
        <v>31</v>
      </c>
      <c r="D789" t="s">
        <v>73</v>
      </c>
      <c r="E789">
        <v>1</v>
      </c>
      <c r="F789" t="s">
        <v>14</v>
      </c>
      <c r="G789" t="s">
        <v>51</v>
      </c>
      <c r="H789" t="s">
        <v>217</v>
      </c>
      <c r="I789" s="3" t="s">
        <v>119</v>
      </c>
      <c r="J789" t="s">
        <v>54</v>
      </c>
      <c r="K789" s="15">
        <v>630000</v>
      </c>
      <c r="L789" s="5" t="str">
        <f t="shared" si="12"/>
        <v>0 - 4</v>
      </c>
    </row>
    <row r="790" spans="3:12" hidden="1">
      <c r="C790" t="s">
        <v>31</v>
      </c>
      <c r="D790" t="s">
        <v>55</v>
      </c>
      <c r="E790">
        <v>1</v>
      </c>
      <c r="F790" t="s">
        <v>14</v>
      </c>
      <c r="G790" t="s">
        <v>59</v>
      </c>
      <c r="H790" t="s">
        <v>217</v>
      </c>
      <c r="I790" s="3" t="s">
        <v>85</v>
      </c>
      <c r="J790" t="s">
        <v>66</v>
      </c>
      <c r="K790" s="15">
        <v>650000</v>
      </c>
      <c r="L790" s="5" t="str">
        <f t="shared" si="12"/>
        <v>0 - 4</v>
      </c>
    </row>
    <row r="791" spans="3:12" hidden="1">
      <c r="C791" t="s">
        <v>32</v>
      </c>
      <c r="D791" t="s">
        <v>73</v>
      </c>
      <c r="E791">
        <v>0</v>
      </c>
      <c r="F791" t="s">
        <v>14</v>
      </c>
      <c r="G791" t="s">
        <v>59</v>
      </c>
      <c r="H791" t="s">
        <v>217</v>
      </c>
      <c r="I791" s="3" t="s">
        <v>191</v>
      </c>
      <c r="J791" t="s">
        <v>54</v>
      </c>
      <c r="K791" s="15">
        <v>530000</v>
      </c>
      <c r="L791" s="5" t="str">
        <f t="shared" si="12"/>
        <v>0 - 4</v>
      </c>
    </row>
    <row r="792" spans="3:12" hidden="1">
      <c r="C792" t="s">
        <v>31</v>
      </c>
      <c r="D792" t="s">
        <v>73</v>
      </c>
      <c r="E792">
        <v>0</v>
      </c>
      <c r="F792" t="s">
        <v>14</v>
      </c>
      <c r="G792" t="s">
        <v>59</v>
      </c>
      <c r="H792" t="s">
        <v>217</v>
      </c>
      <c r="I792" s="3" t="s">
        <v>191</v>
      </c>
      <c r="J792" t="s">
        <v>54</v>
      </c>
      <c r="K792" s="15">
        <v>530000</v>
      </c>
      <c r="L792" s="5" t="str">
        <f t="shared" si="12"/>
        <v>0 - 4</v>
      </c>
    </row>
    <row r="793" spans="3:12" hidden="1">
      <c r="C793" t="s">
        <v>31</v>
      </c>
      <c r="D793" t="s">
        <v>73</v>
      </c>
      <c r="E793">
        <v>0</v>
      </c>
      <c r="F793" t="s">
        <v>14</v>
      </c>
      <c r="G793" t="s">
        <v>51</v>
      </c>
      <c r="H793" t="s">
        <v>217</v>
      </c>
      <c r="I793" s="3" t="s">
        <v>191</v>
      </c>
      <c r="J793" t="s">
        <v>54</v>
      </c>
      <c r="K793" s="15">
        <v>530000</v>
      </c>
      <c r="L793" s="5" t="str">
        <f t="shared" si="12"/>
        <v>0 - 4</v>
      </c>
    </row>
    <row r="794" spans="3:12" hidden="1">
      <c r="C794" t="s">
        <v>31</v>
      </c>
      <c r="D794" t="s">
        <v>67</v>
      </c>
      <c r="E794">
        <v>0</v>
      </c>
      <c r="F794" t="s">
        <v>14</v>
      </c>
      <c r="G794" t="s">
        <v>51</v>
      </c>
      <c r="H794" t="s">
        <v>217</v>
      </c>
      <c r="I794" s="3" t="s">
        <v>191</v>
      </c>
      <c r="J794" t="s">
        <v>54</v>
      </c>
      <c r="K794" s="15">
        <v>530000</v>
      </c>
      <c r="L794" s="5" t="str">
        <f t="shared" si="12"/>
        <v>0 - 4</v>
      </c>
    </row>
    <row r="795" spans="3:12" hidden="1">
      <c r="C795" t="s">
        <v>31</v>
      </c>
      <c r="D795" t="s">
        <v>73</v>
      </c>
      <c r="E795">
        <v>0</v>
      </c>
      <c r="F795" t="s">
        <v>14</v>
      </c>
      <c r="G795" t="s">
        <v>59</v>
      </c>
      <c r="H795" t="s">
        <v>217</v>
      </c>
      <c r="I795" s="3" t="s">
        <v>139</v>
      </c>
      <c r="J795" t="s">
        <v>54</v>
      </c>
      <c r="K795" s="15">
        <v>600000</v>
      </c>
      <c r="L795" s="5" t="str">
        <f t="shared" si="12"/>
        <v>0 - 4</v>
      </c>
    </row>
    <row r="796" spans="3:12" hidden="1">
      <c r="C796" t="s">
        <v>31</v>
      </c>
      <c r="D796" t="s">
        <v>73</v>
      </c>
      <c r="E796">
        <v>0</v>
      </c>
      <c r="F796" t="s">
        <v>14</v>
      </c>
      <c r="G796" t="s">
        <v>57</v>
      </c>
      <c r="H796" t="s">
        <v>217</v>
      </c>
      <c r="I796" s="3" t="s">
        <v>293</v>
      </c>
      <c r="J796" t="s">
        <v>54</v>
      </c>
      <c r="K796" s="15">
        <v>615000</v>
      </c>
      <c r="L796" s="5" t="str">
        <f t="shared" si="12"/>
        <v>0 - 4</v>
      </c>
    </row>
    <row r="797" spans="3:12" hidden="1">
      <c r="C797" t="s">
        <v>31</v>
      </c>
      <c r="D797" t="s">
        <v>55</v>
      </c>
      <c r="E797">
        <v>0</v>
      </c>
      <c r="F797" t="s">
        <v>14</v>
      </c>
      <c r="G797" t="s">
        <v>51</v>
      </c>
      <c r="H797" t="s">
        <v>217</v>
      </c>
      <c r="I797" s="3" t="s">
        <v>311</v>
      </c>
      <c r="J797" t="s">
        <v>54</v>
      </c>
      <c r="K797" s="15">
        <v>786000</v>
      </c>
      <c r="L797" s="5" t="str">
        <f t="shared" si="12"/>
        <v>0 - 4</v>
      </c>
    </row>
    <row r="798" spans="3:12" hidden="1">
      <c r="C798" t="s">
        <v>31</v>
      </c>
      <c r="D798" t="s">
        <v>88</v>
      </c>
      <c r="E798">
        <v>29</v>
      </c>
      <c r="F798" t="s">
        <v>15</v>
      </c>
      <c r="G798" t="s">
        <v>51</v>
      </c>
      <c r="H798" t="s">
        <v>217</v>
      </c>
      <c r="I798" s="3" t="s">
        <v>103</v>
      </c>
      <c r="J798" t="s">
        <v>54</v>
      </c>
      <c r="K798" s="15">
        <v>1170000</v>
      </c>
      <c r="L798" s="5" t="str">
        <f t="shared" si="12"/>
        <v>15 +</v>
      </c>
    </row>
    <row r="799" spans="3:12" hidden="1">
      <c r="C799" t="s">
        <v>31</v>
      </c>
      <c r="D799" t="s">
        <v>56</v>
      </c>
      <c r="E799">
        <v>25</v>
      </c>
      <c r="F799" t="s">
        <v>15</v>
      </c>
      <c r="G799" t="s">
        <v>51</v>
      </c>
      <c r="H799" t="s">
        <v>217</v>
      </c>
      <c r="I799" s="3" t="s">
        <v>110</v>
      </c>
      <c r="J799" t="s">
        <v>54</v>
      </c>
      <c r="K799" s="15">
        <v>1000000</v>
      </c>
      <c r="L799" s="5" t="str">
        <f t="shared" si="12"/>
        <v>15 +</v>
      </c>
    </row>
    <row r="800" spans="3:12" hidden="1">
      <c r="C800" t="s">
        <v>31</v>
      </c>
      <c r="D800" t="s">
        <v>49</v>
      </c>
      <c r="E800">
        <v>25</v>
      </c>
      <c r="F800" t="s">
        <v>15</v>
      </c>
      <c r="G800" t="s">
        <v>59</v>
      </c>
      <c r="H800" t="s">
        <v>217</v>
      </c>
      <c r="I800" s="3" t="s">
        <v>148</v>
      </c>
      <c r="J800" t="s">
        <v>54</v>
      </c>
      <c r="K800" s="15">
        <v>1050000</v>
      </c>
      <c r="L800" s="5" t="str">
        <f t="shared" si="12"/>
        <v>15 +</v>
      </c>
    </row>
    <row r="801" spans="3:12" hidden="1">
      <c r="C801" t="s">
        <v>31</v>
      </c>
      <c r="D801" t="s">
        <v>56</v>
      </c>
      <c r="E801">
        <v>24</v>
      </c>
      <c r="F801" t="s">
        <v>15</v>
      </c>
      <c r="G801" t="s">
        <v>51</v>
      </c>
      <c r="H801" t="s">
        <v>217</v>
      </c>
      <c r="I801" s="3" t="s">
        <v>79</v>
      </c>
      <c r="J801" t="s">
        <v>54</v>
      </c>
      <c r="K801" s="15">
        <v>900000</v>
      </c>
      <c r="L801" s="5" t="str">
        <f t="shared" si="12"/>
        <v>15 +</v>
      </c>
    </row>
    <row r="802" spans="3:12" hidden="1">
      <c r="C802" t="s">
        <v>31</v>
      </c>
      <c r="D802" t="s">
        <v>56</v>
      </c>
      <c r="E802">
        <v>23</v>
      </c>
      <c r="F802" t="s">
        <v>15</v>
      </c>
      <c r="G802" t="s">
        <v>59</v>
      </c>
      <c r="H802" t="s">
        <v>217</v>
      </c>
      <c r="I802" s="3" t="s">
        <v>133</v>
      </c>
      <c r="J802" t="s">
        <v>54</v>
      </c>
      <c r="K802" s="15">
        <v>960000</v>
      </c>
      <c r="L802" s="5" t="str">
        <f t="shared" si="12"/>
        <v>15 +</v>
      </c>
    </row>
    <row r="803" spans="3:12" hidden="1">
      <c r="C803" t="s">
        <v>31</v>
      </c>
      <c r="D803" t="s">
        <v>73</v>
      </c>
      <c r="E803">
        <v>22</v>
      </c>
      <c r="F803" t="s">
        <v>15</v>
      </c>
      <c r="G803" t="s">
        <v>51</v>
      </c>
      <c r="H803" t="s">
        <v>217</v>
      </c>
      <c r="I803" s="3" t="s">
        <v>106</v>
      </c>
      <c r="J803" t="s">
        <v>54</v>
      </c>
      <c r="K803" s="15">
        <v>1100000</v>
      </c>
      <c r="L803" s="5" t="str">
        <f t="shared" si="12"/>
        <v>15 +</v>
      </c>
    </row>
    <row r="804" spans="3:12" hidden="1">
      <c r="C804" t="s">
        <v>30</v>
      </c>
      <c r="D804" t="s">
        <v>49</v>
      </c>
      <c r="E804">
        <v>19</v>
      </c>
      <c r="F804" t="s">
        <v>15</v>
      </c>
      <c r="G804" t="s">
        <v>59</v>
      </c>
      <c r="H804" t="s">
        <v>217</v>
      </c>
      <c r="I804" s="3" t="s">
        <v>106</v>
      </c>
      <c r="J804" t="s">
        <v>66</v>
      </c>
      <c r="K804" s="15">
        <v>1100000</v>
      </c>
      <c r="L804" s="5" t="str">
        <f t="shared" si="12"/>
        <v>15 +</v>
      </c>
    </row>
    <row r="805" spans="3:12" hidden="1">
      <c r="C805" t="s">
        <v>31</v>
      </c>
      <c r="D805" t="s">
        <v>55</v>
      </c>
      <c r="E805">
        <v>19</v>
      </c>
      <c r="F805" t="s">
        <v>15</v>
      </c>
      <c r="G805" t="s">
        <v>51</v>
      </c>
      <c r="H805" t="s">
        <v>217</v>
      </c>
      <c r="I805" s="3" t="s">
        <v>182</v>
      </c>
      <c r="J805" t="s">
        <v>66</v>
      </c>
      <c r="K805" s="15">
        <v>1450000</v>
      </c>
      <c r="L805" s="5" t="str">
        <f t="shared" si="12"/>
        <v>15 +</v>
      </c>
    </row>
    <row r="806" spans="3:12" hidden="1">
      <c r="C806" t="s">
        <v>30</v>
      </c>
      <c r="D806" t="s">
        <v>55</v>
      </c>
      <c r="E806">
        <v>18</v>
      </c>
      <c r="F806" t="s">
        <v>15</v>
      </c>
      <c r="G806" t="s">
        <v>51</v>
      </c>
      <c r="H806" t="s">
        <v>217</v>
      </c>
      <c r="I806" s="3" t="s">
        <v>312</v>
      </c>
      <c r="J806" t="s">
        <v>66</v>
      </c>
      <c r="K806" s="15">
        <v>996000</v>
      </c>
      <c r="L806" s="5" t="str">
        <f t="shared" si="12"/>
        <v>15 +</v>
      </c>
    </row>
    <row r="807" spans="3:12" hidden="1">
      <c r="C807" t="s">
        <v>31</v>
      </c>
      <c r="D807" t="s">
        <v>55</v>
      </c>
      <c r="E807">
        <v>18</v>
      </c>
      <c r="F807" t="s">
        <v>15</v>
      </c>
      <c r="G807" t="s">
        <v>51</v>
      </c>
      <c r="H807" t="s">
        <v>217</v>
      </c>
      <c r="I807" s="3" t="s">
        <v>148</v>
      </c>
      <c r="J807" t="s">
        <v>66</v>
      </c>
      <c r="K807" s="15">
        <v>1050000</v>
      </c>
      <c r="L807" s="5" t="str">
        <f t="shared" si="12"/>
        <v>15 +</v>
      </c>
    </row>
    <row r="808" spans="3:12" hidden="1">
      <c r="C808" t="s">
        <v>31</v>
      </c>
      <c r="D808" t="s">
        <v>55</v>
      </c>
      <c r="E808">
        <v>18</v>
      </c>
      <c r="F808" t="s">
        <v>15</v>
      </c>
      <c r="G808" t="s">
        <v>59</v>
      </c>
      <c r="H808" t="s">
        <v>217</v>
      </c>
      <c r="I808" s="3" t="s">
        <v>173</v>
      </c>
      <c r="J808" t="s">
        <v>54</v>
      </c>
      <c r="K808" s="15">
        <v>1250000</v>
      </c>
      <c r="L808" s="5" t="str">
        <f t="shared" si="12"/>
        <v>15 +</v>
      </c>
    </row>
    <row r="809" spans="3:12" hidden="1">
      <c r="C809" t="s">
        <v>31</v>
      </c>
      <c r="D809" t="s">
        <v>73</v>
      </c>
      <c r="E809">
        <v>16</v>
      </c>
      <c r="F809" t="s">
        <v>15</v>
      </c>
      <c r="G809" t="s">
        <v>59</v>
      </c>
      <c r="H809" t="s">
        <v>217</v>
      </c>
      <c r="I809" s="3" t="s">
        <v>148</v>
      </c>
      <c r="J809" t="s">
        <v>66</v>
      </c>
      <c r="K809" s="15">
        <v>1050000</v>
      </c>
      <c r="L809" s="5" t="str">
        <f t="shared" si="12"/>
        <v>15 +</v>
      </c>
    </row>
    <row r="810" spans="3:12" hidden="1">
      <c r="C810" t="s">
        <v>31</v>
      </c>
      <c r="D810" t="s">
        <v>88</v>
      </c>
      <c r="E810">
        <v>15</v>
      </c>
      <c r="F810" t="s">
        <v>15</v>
      </c>
      <c r="G810" t="s">
        <v>59</v>
      </c>
      <c r="H810" t="s">
        <v>217</v>
      </c>
      <c r="I810" s="3" t="s">
        <v>103</v>
      </c>
      <c r="J810" t="s">
        <v>66</v>
      </c>
      <c r="K810" s="15">
        <v>1170000</v>
      </c>
      <c r="L810" s="5" t="str">
        <f t="shared" si="12"/>
        <v>15 +</v>
      </c>
    </row>
    <row r="811" spans="3:12" hidden="1">
      <c r="C811" t="s">
        <v>30</v>
      </c>
      <c r="D811" t="s">
        <v>73</v>
      </c>
      <c r="E811">
        <v>14</v>
      </c>
      <c r="F811" t="s">
        <v>15</v>
      </c>
      <c r="G811" t="s">
        <v>59</v>
      </c>
      <c r="H811" t="s">
        <v>217</v>
      </c>
      <c r="I811" s="3" t="s">
        <v>239</v>
      </c>
      <c r="J811" t="s">
        <v>66</v>
      </c>
      <c r="K811" s="15">
        <v>1080000</v>
      </c>
      <c r="L811" s="5" t="str">
        <f t="shared" si="12"/>
        <v>9 - 14</v>
      </c>
    </row>
    <row r="812" spans="3:12" hidden="1">
      <c r="C812" t="s">
        <v>31</v>
      </c>
      <c r="D812" t="s">
        <v>55</v>
      </c>
      <c r="E812">
        <v>14</v>
      </c>
      <c r="F812" t="s">
        <v>15</v>
      </c>
      <c r="G812" t="s">
        <v>59</v>
      </c>
      <c r="H812" t="s">
        <v>217</v>
      </c>
      <c r="I812" s="3" t="s">
        <v>104</v>
      </c>
      <c r="J812" t="s">
        <v>54</v>
      </c>
      <c r="K812" s="15">
        <v>1300000</v>
      </c>
      <c r="L812" s="5" t="str">
        <f t="shared" si="12"/>
        <v>9 - 14</v>
      </c>
    </row>
    <row r="813" spans="3:12" hidden="1">
      <c r="C813" t="s">
        <v>31</v>
      </c>
      <c r="D813" t="s">
        <v>73</v>
      </c>
      <c r="E813">
        <v>14</v>
      </c>
      <c r="F813" t="s">
        <v>15</v>
      </c>
      <c r="G813" t="s">
        <v>127</v>
      </c>
      <c r="H813" t="s">
        <v>217</v>
      </c>
      <c r="I813" s="3" t="s">
        <v>313</v>
      </c>
      <c r="J813" t="s">
        <v>54</v>
      </c>
      <c r="K813" s="15">
        <v>2250000</v>
      </c>
      <c r="L813" s="5" t="str">
        <f t="shared" si="12"/>
        <v>9 - 14</v>
      </c>
    </row>
    <row r="814" spans="3:12" hidden="1">
      <c r="C814" t="s">
        <v>30</v>
      </c>
      <c r="D814" t="s">
        <v>73</v>
      </c>
      <c r="E814">
        <v>13</v>
      </c>
      <c r="F814" t="s">
        <v>15</v>
      </c>
      <c r="G814" t="s">
        <v>51</v>
      </c>
      <c r="H814" t="s">
        <v>217</v>
      </c>
      <c r="I814" s="3" t="s">
        <v>79</v>
      </c>
      <c r="J814" t="s">
        <v>66</v>
      </c>
      <c r="K814" s="15">
        <v>900000</v>
      </c>
      <c r="L814" s="5" t="str">
        <f t="shared" si="12"/>
        <v>9 - 14</v>
      </c>
    </row>
    <row r="815" spans="3:12" hidden="1">
      <c r="C815" t="s">
        <v>31</v>
      </c>
      <c r="D815" t="s">
        <v>49</v>
      </c>
      <c r="E815">
        <v>13</v>
      </c>
      <c r="F815" t="s">
        <v>15</v>
      </c>
      <c r="G815" t="s">
        <v>59</v>
      </c>
      <c r="H815" t="s">
        <v>217</v>
      </c>
      <c r="I815" s="3" t="s">
        <v>110</v>
      </c>
      <c r="J815" t="s">
        <v>66</v>
      </c>
      <c r="K815" s="15">
        <v>1000000</v>
      </c>
      <c r="L815" s="5" t="str">
        <f t="shared" si="12"/>
        <v>9 - 14</v>
      </c>
    </row>
    <row r="816" spans="3:12" hidden="1">
      <c r="C816" t="s">
        <v>31</v>
      </c>
      <c r="D816" t="s">
        <v>67</v>
      </c>
      <c r="E816">
        <v>12</v>
      </c>
      <c r="F816" t="s">
        <v>15</v>
      </c>
      <c r="G816" t="s">
        <v>51</v>
      </c>
      <c r="H816" t="s">
        <v>217</v>
      </c>
      <c r="I816" s="3" t="s">
        <v>314</v>
      </c>
      <c r="J816" t="s">
        <v>54</v>
      </c>
      <c r="K816" s="15">
        <v>987000</v>
      </c>
      <c r="L816" s="5" t="str">
        <f t="shared" si="12"/>
        <v>9 - 14</v>
      </c>
    </row>
    <row r="817" spans="3:12" hidden="1">
      <c r="C817" t="s">
        <v>31</v>
      </c>
      <c r="D817" t="s">
        <v>55</v>
      </c>
      <c r="E817">
        <v>11</v>
      </c>
      <c r="F817" t="s">
        <v>15</v>
      </c>
      <c r="G817" t="s">
        <v>59</v>
      </c>
      <c r="H817" t="s">
        <v>217</v>
      </c>
      <c r="I817" s="3" t="s">
        <v>315</v>
      </c>
      <c r="J817" t="s">
        <v>66</v>
      </c>
      <c r="K817" s="15">
        <v>1024000</v>
      </c>
      <c r="L817" s="5" t="str">
        <f t="shared" si="12"/>
        <v>9 - 14</v>
      </c>
    </row>
    <row r="818" spans="3:12" hidden="1">
      <c r="C818" t="s">
        <v>30</v>
      </c>
      <c r="D818" t="s">
        <v>55</v>
      </c>
      <c r="E818">
        <v>10</v>
      </c>
      <c r="F818" t="s">
        <v>15</v>
      </c>
      <c r="G818" t="s">
        <v>51</v>
      </c>
      <c r="H818" t="s">
        <v>217</v>
      </c>
      <c r="I818" s="3" t="s">
        <v>202</v>
      </c>
      <c r="J818" t="s">
        <v>66</v>
      </c>
      <c r="K818" s="15">
        <v>1040000</v>
      </c>
      <c r="L818" s="5" t="str">
        <f t="shared" si="12"/>
        <v>9 - 14</v>
      </c>
    </row>
    <row r="819" spans="3:12" hidden="1">
      <c r="C819" t="s">
        <v>31</v>
      </c>
      <c r="D819" t="s">
        <v>73</v>
      </c>
      <c r="E819">
        <v>10</v>
      </c>
      <c r="F819" t="s">
        <v>15</v>
      </c>
      <c r="G819" t="s">
        <v>57</v>
      </c>
      <c r="H819" t="s">
        <v>217</v>
      </c>
      <c r="I819" s="3" t="s">
        <v>75</v>
      </c>
      <c r="J819" t="s">
        <v>54</v>
      </c>
      <c r="K819" s="15">
        <v>710000</v>
      </c>
      <c r="L819" s="5" t="str">
        <f t="shared" si="12"/>
        <v>9 - 14</v>
      </c>
    </row>
    <row r="820" spans="3:12" hidden="1">
      <c r="C820" t="s">
        <v>31</v>
      </c>
      <c r="D820" t="s">
        <v>55</v>
      </c>
      <c r="E820">
        <v>10</v>
      </c>
      <c r="F820" t="s">
        <v>15</v>
      </c>
      <c r="G820" t="s">
        <v>59</v>
      </c>
      <c r="H820" t="s">
        <v>217</v>
      </c>
      <c r="I820" s="3" t="s">
        <v>116</v>
      </c>
      <c r="J820" t="s">
        <v>54</v>
      </c>
      <c r="K820" s="15">
        <v>800000</v>
      </c>
      <c r="L820" s="5" t="str">
        <f t="shared" si="12"/>
        <v>9 - 14</v>
      </c>
    </row>
    <row r="821" spans="3:12" hidden="1">
      <c r="C821" t="s">
        <v>31</v>
      </c>
      <c r="D821" t="s">
        <v>73</v>
      </c>
      <c r="E821">
        <v>10</v>
      </c>
      <c r="F821" t="s">
        <v>15</v>
      </c>
      <c r="G821" t="s">
        <v>59</v>
      </c>
      <c r="H821" t="s">
        <v>217</v>
      </c>
      <c r="I821" s="3" t="s">
        <v>110</v>
      </c>
      <c r="J821" t="s">
        <v>66</v>
      </c>
      <c r="K821" s="15">
        <v>1000000</v>
      </c>
      <c r="L821" s="5" t="str">
        <f t="shared" si="12"/>
        <v>9 - 14</v>
      </c>
    </row>
    <row r="822" spans="3:12" hidden="1">
      <c r="C822" t="s">
        <v>31</v>
      </c>
      <c r="D822" t="s">
        <v>55</v>
      </c>
      <c r="E822">
        <v>8</v>
      </c>
      <c r="F822" t="s">
        <v>15</v>
      </c>
      <c r="G822" t="s">
        <v>57</v>
      </c>
      <c r="H822" t="s">
        <v>217</v>
      </c>
      <c r="I822" s="3" t="s">
        <v>75</v>
      </c>
      <c r="J822" t="s">
        <v>54</v>
      </c>
      <c r="K822" s="15">
        <v>710000</v>
      </c>
      <c r="L822" s="5" t="str">
        <f t="shared" si="12"/>
        <v>5  - 8</v>
      </c>
    </row>
    <row r="823" spans="3:12" hidden="1">
      <c r="C823" t="s">
        <v>31</v>
      </c>
      <c r="D823" t="s">
        <v>55</v>
      </c>
      <c r="E823">
        <v>8</v>
      </c>
      <c r="F823" t="s">
        <v>15</v>
      </c>
      <c r="G823" t="s">
        <v>59</v>
      </c>
      <c r="H823" t="s">
        <v>217</v>
      </c>
      <c r="I823" s="3" t="s">
        <v>316</v>
      </c>
      <c r="J823" t="s">
        <v>66</v>
      </c>
      <c r="K823" s="15">
        <v>895000</v>
      </c>
      <c r="L823" s="5" t="str">
        <f t="shared" si="12"/>
        <v>5  - 8</v>
      </c>
    </row>
    <row r="824" spans="3:12" hidden="1">
      <c r="C824" t="s">
        <v>31</v>
      </c>
      <c r="D824" t="s">
        <v>55</v>
      </c>
      <c r="E824">
        <v>7</v>
      </c>
      <c r="F824" t="s">
        <v>15</v>
      </c>
      <c r="G824" t="s">
        <v>59</v>
      </c>
      <c r="H824" t="s">
        <v>217</v>
      </c>
      <c r="I824" s="3" t="s">
        <v>291</v>
      </c>
      <c r="J824" t="s">
        <v>54</v>
      </c>
      <c r="K824" s="15">
        <v>727000</v>
      </c>
      <c r="L824" s="5" t="str">
        <f t="shared" si="12"/>
        <v>5  - 8</v>
      </c>
    </row>
    <row r="825" spans="3:12" hidden="1">
      <c r="C825" t="s">
        <v>31</v>
      </c>
      <c r="D825" t="s">
        <v>73</v>
      </c>
      <c r="E825">
        <v>7</v>
      </c>
      <c r="F825" t="s">
        <v>15</v>
      </c>
      <c r="G825" t="s">
        <v>51</v>
      </c>
      <c r="H825" t="s">
        <v>217</v>
      </c>
      <c r="I825" s="3" t="s">
        <v>317</v>
      </c>
      <c r="J825" t="s">
        <v>66</v>
      </c>
      <c r="K825" s="15">
        <v>1087000</v>
      </c>
      <c r="L825" s="5" t="str">
        <f t="shared" si="12"/>
        <v>5  - 8</v>
      </c>
    </row>
    <row r="826" spans="3:12" hidden="1">
      <c r="C826" t="s">
        <v>31</v>
      </c>
      <c r="D826" t="s">
        <v>55</v>
      </c>
      <c r="E826">
        <v>6</v>
      </c>
      <c r="F826" t="s">
        <v>15</v>
      </c>
      <c r="G826" t="s">
        <v>59</v>
      </c>
      <c r="H826" t="s">
        <v>217</v>
      </c>
      <c r="I826" s="3" t="s">
        <v>166</v>
      </c>
      <c r="J826" t="s">
        <v>54</v>
      </c>
      <c r="K826" s="15">
        <v>890000</v>
      </c>
      <c r="L826" s="5" t="str">
        <f t="shared" si="12"/>
        <v>5  - 8</v>
      </c>
    </row>
    <row r="827" spans="3:12" hidden="1">
      <c r="C827" t="s">
        <v>31</v>
      </c>
      <c r="D827" t="s">
        <v>73</v>
      </c>
      <c r="E827">
        <v>6</v>
      </c>
      <c r="F827" t="s">
        <v>15</v>
      </c>
      <c r="G827" t="s">
        <v>59</v>
      </c>
      <c r="H827" t="s">
        <v>217</v>
      </c>
      <c r="I827" s="3" t="s">
        <v>79</v>
      </c>
      <c r="J827" t="s">
        <v>66</v>
      </c>
      <c r="K827" s="15">
        <v>900000</v>
      </c>
      <c r="L827" s="5" t="str">
        <f t="shared" si="12"/>
        <v>5  - 8</v>
      </c>
    </row>
    <row r="828" spans="3:12" hidden="1">
      <c r="C828" t="s">
        <v>31</v>
      </c>
      <c r="D828" t="s">
        <v>73</v>
      </c>
      <c r="E828">
        <v>6</v>
      </c>
      <c r="F828" t="s">
        <v>15</v>
      </c>
      <c r="G828" t="s">
        <v>51</v>
      </c>
      <c r="H828" t="s">
        <v>217</v>
      </c>
      <c r="I828" s="3" t="s">
        <v>318</v>
      </c>
      <c r="J828" t="s">
        <v>54</v>
      </c>
      <c r="K828" s="15">
        <v>1116600</v>
      </c>
      <c r="L828" s="5" t="str">
        <f t="shared" si="12"/>
        <v>5  - 8</v>
      </c>
    </row>
    <row r="829" spans="3:12" hidden="1">
      <c r="C829" t="s">
        <v>31</v>
      </c>
      <c r="D829" t="s">
        <v>49</v>
      </c>
      <c r="E829">
        <v>5</v>
      </c>
      <c r="F829" t="s">
        <v>15</v>
      </c>
      <c r="G829" t="s">
        <v>51</v>
      </c>
      <c r="H829" t="s">
        <v>217</v>
      </c>
      <c r="I829" s="3" t="s">
        <v>81</v>
      </c>
      <c r="J829" t="s">
        <v>54</v>
      </c>
      <c r="K829" s="15">
        <v>640000</v>
      </c>
      <c r="L829" s="5" t="str">
        <f t="shared" si="12"/>
        <v>5  - 8</v>
      </c>
    </row>
    <row r="830" spans="3:12" hidden="1">
      <c r="C830" t="s">
        <v>31</v>
      </c>
      <c r="D830" t="s">
        <v>73</v>
      </c>
      <c r="E830">
        <v>5</v>
      </c>
      <c r="F830" t="s">
        <v>15</v>
      </c>
      <c r="G830" t="s">
        <v>59</v>
      </c>
      <c r="H830" t="s">
        <v>217</v>
      </c>
      <c r="I830" s="3" t="s">
        <v>220</v>
      </c>
      <c r="J830" t="s">
        <v>54</v>
      </c>
      <c r="K830" s="15">
        <v>760000</v>
      </c>
      <c r="L830" s="5" t="str">
        <f t="shared" si="12"/>
        <v>5  - 8</v>
      </c>
    </row>
    <row r="831" spans="3:12" hidden="1">
      <c r="C831" t="s">
        <v>31</v>
      </c>
      <c r="D831" t="s">
        <v>73</v>
      </c>
      <c r="E831">
        <v>4</v>
      </c>
      <c r="F831" t="s">
        <v>15</v>
      </c>
      <c r="G831" t="s">
        <v>51</v>
      </c>
      <c r="H831" t="s">
        <v>217</v>
      </c>
      <c r="I831" s="3" t="s">
        <v>307</v>
      </c>
      <c r="J831" t="s">
        <v>66</v>
      </c>
      <c r="K831" s="15">
        <v>645000</v>
      </c>
      <c r="L831" s="5" t="str">
        <f t="shared" si="12"/>
        <v>0 - 4</v>
      </c>
    </row>
    <row r="832" spans="3:12" hidden="1">
      <c r="C832" t="s">
        <v>31</v>
      </c>
      <c r="D832" t="s">
        <v>49</v>
      </c>
      <c r="E832">
        <v>3</v>
      </c>
      <c r="F832" t="s">
        <v>15</v>
      </c>
      <c r="G832" t="s">
        <v>51</v>
      </c>
      <c r="H832" t="s">
        <v>217</v>
      </c>
      <c r="I832" s="3" t="s">
        <v>139</v>
      </c>
      <c r="J832" t="s">
        <v>54</v>
      </c>
      <c r="K832" s="15">
        <v>600000</v>
      </c>
      <c r="L832" s="5" t="str">
        <f t="shared" si="12"/>
        <v>0 - 4</v>
      </c>
    </row>
    <row r="833" spans="3:12" hidden="1">
      <c r="C833" t="s">
        <v>31</v>
      </c>
      <c r="D833" t="s">
        <v>73</v>
      </c>
      <c r="E833">
        <v>2</v>
      </c>
      <c r="F833" t="s">
        <v>15</v>
      </c>
      <c r="G833" t="s">
        <v>51</v>
      </c>
      <c r="H833" t="s">
        <v>217</v>
      </c>
      <c r="I833" s="3" t="s">
        <v>227</v>
      </c>
      <c r="J833" t="s">
        <v>54</v>
      </c>
      <c r="K833" s="15">
        <v>605000</v>
      </c>
      <c r="L833" s="5" t="str">
        <f t="shared" si="12"/>
        <v>0 - 4</v>
      </c>
    </row>
    <row r="834" spans="3:12" hidden="1">
      <c r="C834" t="s">
        <v>31</v>
      </c>
      <c r="D834" t="s">
        <v>73</v>
      </c>
      <c r="E834">
        <v>1</v>
      </c>
      <c r="F834" t="s">
        <v>15</v>
      </c>
      <c r="G834" t="s">
        <v>51</v>
      </c>
      <c r="H834" t="s">
        <v>217</v>
      </c>
      <c r="I834" s="3" t="s">
        <v>139</v>
      </c>
      <c r="J834" t="s">
        <v>54</v>
      </c>
      <c r="K834" s="15">
        <v>600000</v>
      </c>
      <c r="L834" s="5" t="str">
        <f t="shared" si="12"/>
        <v>0 - 4</v>
      </c>
    </row>
    <row r="835" spans="3:12" hidden="1">
      <c r="C835" t="s">
        <v>31</v>
      </c>
      <c r="D835" t="s">
        <v>73</v>
      </c>
      <c r="E835">
        <v>1</v>
      </c>
      <c r="F835" t="s">
        <v>15</v>
      </c>
      <c r="G835" t="s">
        <v>51</v>
      </c>
      <c r="H835" t="s">
        <v>217</v>
      </c>
      <c r="I835" s="3" t="s">
        <v>139</v>
      </c>
      <c r="J835" t="s">
        <v>54</v>
      </c>
      <c r="K835" s="15">
        <v>600000</v>
      </c>
      <c r="L835" s="5" t="str">
        <f t="shared" ref="L835:L898" si="13">_xlfn.XLOOKUP(E835,$P$2:$P$5,$O$2:$O$5,,1)</f>
        <v>0 - 4</v>
      </c>
    </row>
    <row r="836" spans="3:12" hidden="1">
      <c r="C836" t="s">
        <v>31</v>
      </c>
      <c r="D836" t="s">
        <v>77</v>
      </c>
      <c r="E836">
        <v>1</v>
      </c>
      <c r="F836" t="s">
        <v>15</v>
      </c>
      <c r="G836" t="s">
        <v>51</v>
      </c>
      <c r="H836" t="s">
        <v>217</v>
      </c>
      <c r="I836" s="3" t="s">
        <v>139</v>
      </c>
      <c r="J836" t="s">
        <v>54</v>
      </c>
      <c r="K836" s="15">
        <v>600000</v>
      </c>
      <c r="L836" s="5" t="str">
        <f t="shared" si="13"/>
        <v>0 - 4</v>
      </c>
    </row>
    <row r="837" spans="3:12" hidden="1">
      <c r="C837" t="s">
        <v>31</v>
      </c>
      <c r="D837" t="s">
        <v>55</v>
      </c>
      <c r="E837">
        <v>1</v>
      </c>
      <c r="F837" t="s">
        <v>15</v>
      </c>
      <c r="G837" t="s">
        <v>51</v>
      </c>
      <c r="H837" t="s">
        <v>217</v>
      </c>
      <c r="I837" s="3" t="s">
        <v>319</v>
      </c>
      <c r="J837" t="s">
        <v>66</v>
      </c>
      <c r="K837" s="15">
        <v>654400</v>
      </c>
      <c r="L837" s="5" t="str">
        <f t="shared" si="13"/>
        <v>0 - 4</v>
      </c>
    </row>
    <row r="838" spans="3:12" hidden="1">
      <c r="C838" t="s">
        <v>31</v>
      </c>
      <c r="D838" t="s">
        <v>73</v>
      </c>
      <c r="E838">
        <v>0</v>
      </c>
      <c r="F838" t="s">
        <v>15</v>
      </c>
      <c r="G838" t="s">
        <v>59</v>
      </c>
      <c r="H838" t="s">
        <v>217</v>
      </c>
      <c r="I838" s="3" t="s">
        <v>191</v>
      </c>
      <c r="J838" t="s">
        <v>54</v>
      </c>
      <c r="K838" s="15">
        <v>530000</v>
      </c>
      <c r="L838" s="5" t="str">
        <f t="shared" si="13"/>
        <v>0 - 4</v>
      </c>
    </row>
    <row r="839" spans="3:12" hidden="1">
      <c r="C839" t="s">
        <v>31</v>
      </c>
      <c r="D839" t="s">
        <v>67</v>
      </c>
      <c r="E839">
        <v>6</v>
      </c>
      <c r="F839" t="s">
        <v>8</v>
      </c>
      <c r="G839" t="s">
        <v>51</v>
      </c>
      <c r="H839" t="s">
        <v>320</v>
      </c>
      <c r="I839" s="3" t="s">
        <v>79</v>
      </c>
      <c r="J839" t="s">
        <v>54</v>
      </c>
      <c r="K839" s="15">
        <v>900000</v>
      </c>
      <c r="L839" s="5" t="str">
        <f t="shared" si="13"/>
        <v>5  - 8</v>
      </c>
    </row>
    <row r="840" spans="3:12" hidden="1">
      <c r="C840" t="s">
        <v>31</v>
      </c>
      <c r="D840" t="s">
        <v>55</v>
      </c>
      <c r="E840">
        <v>3</v>
      </c>
      <c r="F840" t="s">
        <v>8</v>
      </c>
      <c r="G840" t="s">
        <v>51</v>
      </c>
      <c r="H840" t="s">
        <v>320</v>
      </c>
      <c r="I840" s="3" t="s">
        <v>233</v>
      </c>
      <c r="J840" t="s">
        <v>66</v>
      </c>
      <c r="K840" s="15">
        <v>830000</v>
      </c>
      <c r="L840" s="5" t="str">
        <f t="shared" si="13"/>
        <v>0 - 4</v>
      </c>
    </row>
    <row r="841" spans="3:12" hidden="1">
      <c r="C841" t="s">
        <v>31</v>
      </c>
      <c r="D841" t="s">
        <v>73</v>
      </c>
      <c r="E841">
        <v>1</v>
      </c>
      <c r="F841" t="s">
        <v>8</v>
      </c>
      <c r="G841" t="s">
        <v>57</v>
      </c>
      <c r="H841" t="s">
        <v>320</v>
      </c>
      <c r="I841" s="3" t="s">
        <v>139</v>
      </c>
      <c r="J841" t="s">
        <v>54</v>
      </c>
      <c r="K841" s="15">
        <v>600000</v>
      </c>
      <c r="L841" s="5" t="str">
        <f t="shared" si="13"/>
        <v>0 - 4</v>
      </c>
    </row>
    <row r="842" spans="3:12" hidden="1">
      <c r="C842" t="s">
        <v>31</v>
      </c>
      <c r="D842" t="s">
        <v>62</v>
      </c>
      <c r="E842">
        <v>7</v>
      </c>
      <c r="F842" t="s">
        <v>9</v>
      </c>
      <c r="G842" t="s">
        <v>51</v>
      </c>
      <c r="H842" t="s">
        <v>320</v>
      </c>
      <c r="I842" s="3" t="s">
        <v>167</v>
      </c>
      <c r="J842" t="s">
        <v>54</v>
      </c>
      <c r="K842" s="15">
        <v>860000</v>
      </c>
      <c r="L842" s="5" t="str">
        <f t="shared" si="13"/>
        <v>5  - 8</v>
      </c>
    </row>
    <row r="843" spans="3:12" hidden="1">
      <c r="C843" t="s">
        <v>31</v>
      </c>
      <c r="D843" t="s">
        <v>55</v>
      </c>
      <c r="E843">
        <v>17</v>
      </c>
      <c r="F843" t="s">
        <v>10</v>
      </c>
      <c r="G843" t="s">
        <v>59</v>
      </c>
      <c r="H843" t="s">
        <v>320</v>
      </c>
      <c r="I843" s="36" t="s">
        <v>237</v>
      </c>
      <c r="J843" t="s">
        <v>54</v>
      </c>
      <c r="K843" s="15">
        <v>1260000</v>
      </c>
      <c r="L843" s="5" t="str">
        <f t="shared" si="13"/>
        <v>15 +</v>
      </c>
    </row>
    <row r="844" spans="3:12" hidden="1">
      <c r="C844" t="s">
        <v>31</v>
      </c>
      <c r="D844" t="s">
        <v>80</v>
      </c>
      <c r="E844">
        <v>11</v>
      </c>
      <c r="F844" t="s">
        <v>10</v>
      </c>
      <c r="G844" t="s">
        <v>59</v>
      </c>
      <c r="H844" t="s">
        <v>320</v>
      </c>
      <c r="I844" s="3" t="s">
        <v>116</v>
      </c>
      <c r="J844" t="s">
        <v>54</v>
      </c>
      <c r="K844" s="15">
        <v>800000</v>
      </c>
      <c r="L844" s="5" t="str">
        <f t="shared" si="13"/>
        <v>9 - 14</v>
      </c>
    </row>
    <row r="845" spans="3:12" hidden="1">
      <c r="C845" t="s">
        <v>31</v>
      </c>
      <c r="D845" t="s">
        <v>55</v>
      </c>
      <c r="E845">
        <v>11</v>
      </c>
      <c r="F845" t="s">
        <v>10</v>
      </c>
      <c r="G845" t="s">
        <v>51</v>
      </c>
      <c r="H845" t="s">
        <v>320</v>
      </c>
      <c r="I845" s="3" t="s">
        <v>184</v>
      </c>
      <c r="J845" t="s">
        <v>66</v>
      </c>
      <c r="K845" s="15">
        <v>1350000</v>
      </c>
      <c r="L845" s="5" t="str">
        <f t="shared" si="13"/>
        <v>9 - 14</v>
      </c>
    </row>
    <row r="846" spans="3:12" hidden="1">
      <c r="C846" t="s">
        <v>31</v>
      </c>
      <c r="D846" t="s">
        <v>55</v>
      </c>
      <c r="E846">
        <v>10</v>
      </c>
      <c r="F846" t="s">
        <v>10</v>
      </c>
      <c r="G846" t="s">
        <v>59</v>
      </c>
      <c r="H846" t="s">
        <v>320</v>
      </c>
      <c r="I846" s="3" t="s">
        <v>110</v>
      </c>
      <c r="J846" t="s">
        <v>66</v>
      </c>
      <c r="K846" s="15">
        <v>1000000</v>
      </c>
      <c r="L846" s="5" t="str">
        <f t="shared" si="13"/>
        <v>9 - 14</v>
      </c>
    </row>
    <row r="847" spans="3:12" hidden="1">
      <c r="C847" t="s">
        <v>31</v>
      </c>
      <c r="D847" t="s">
        <v>101</v>
      </c>
      <c r="E847">
        <v>10</v>
      </c>
      <c r="F847" t="s">
        <v>10</v>
      </c>
      <c r="G847" t="s">
        <v>59</v>
      </c>
      <c r="H847" t="s">
        <v>320</v>
      </c>
      <c r="I847" s="3" t="s">
        <v>146</v>
      </c>
      <c r="J847" t="s">
        <v>54</v>
      </c>
      <c r="K847" s="15">
        <v>1090000</v>
      </c>
      <c r="L847" s="5" t="str">
        <f t="shared" si="13"/>
        <v>9 - 14</v>
      </c>
    </row>
    <row r="848" spans="3:12" hidden="1">
      <c r="C848" t="s">
        <v>31</v>
      </c>
      <c r="D848" t="s">
        <v>67</v>
      </c>
      <c r="E848">
        <v>6</v>
      </c>
      <c r="F848" t="s">
        <v>10</v>
      </c>
      <c r="G848" t="s">
        <v>51</v>
      </c>
      <c r="H848" t="s">
        <v>320</v>
      </c>
      <c r="I848" s="3" t="s">
        <v>181</v>
      </c>
      <c r="J848" t="s">
        <v>66</v>
      </c>
      <c r="K848" s="15">
        <v>1030000</v>
      </c>
      <c r="L848" s="5" t="str">
        <f t="shared" si="13"/>
        <v>5  - 8</v>
      </c>
    </row>
    <row r="849" spans="3:12" hidden="1">
      <c r="C849" t="s">
        <v>31</v>
      </c>
      <c r="D849" t="s">
        <v>67</v>
      </c>
      <c r="E849">
        <v>6</v>
      </c>
      <c r="F849" t="s">
        <v>10</v>
      </c>
      <c r="G849" t="s">
        <v>127</v>
      </c>
      <c r="H849" t="s">
        <v>320</v>
      </c>
      <c r="I849" s="3" t="s">
        <v>104</v>
      </c>
      <c r="J849" t="s">
        <v>54</v>
      </c>
      <c r="K849" s="15">
        <v>1300000</v>
      </c>
      <c r="L849" s="5" t="str">
        <f t="shared" si="13"/>
        <v>5  - 8</v>
      </c>
    </row>
    <row r="850" spans="3:12" hidden="1">
      <c r="C850" t="s">
        <v>31</v>
      </c>
      <c r="D850" t="s">
        <v>55</v>
      </c>
      <c r="E850">
        <v>5</v>
      </c>
      <c r="F850" t="s">
        <v>10</v>
      </c>
      <c r="G850" t="s">
        <v>57</v>
      </c>
      <c r="H850" t="s">
        <v>320</v>
      </c>
      <c r="I850" s="3" t="s">
        <v>69</v>
      </c>
      <c r="J850" t="s">
        <v>54</v>
      </c>
      <c r="K850" s="15">
        <v>750000</v>
      </c>
      <c r="L850" s="5" t="str">
        <f t="shared" si="13"/>
        <v>5  - 8</v>
      </c>
    </row>
    <row r="851" spans="3:12" hidden="1">
      <c r="C851" t="s">
        <v>31</v>
      </c>
      <c r="D851" t="s">
        <v>55</v>
      </c>
      <c r="E851">
        <v>5</v>
      </c>
      <c r="F851" t="s">
        <v>10</v>
      </c>
      <c r="G851" t="s">
        <v>51</v>
      </c>
      <c r="H851" t="s">
        <v>320</v>
      </c>
      <c r="I851" s="3" t="s">
        <v>122</v>
      </c>
      <c r="J851" t="s">
        <v>66</v>
      </c>
      <c r="K851" s="15">
        <v>930000</v>
      </c>
      <c r="L851" s="5" t="str">
        <f t="shared" si="13"/>
        <v>5  - 8</v>
      </c>
    </row>
    <row r="852" spans="3:12" hidden="1">
      <c r="C852" t="s">
        <v>31</v>
      </c>
      <c r="D852" t="s">
        <v>67</v>
      </c>
      <c r="E852">
        <v>5</v>
      </c>
      <c r="F852" t="s">
        <v>10</v>
      </c>
      <c r="G852" t="s">
        <v>51</v>
      </c>
      <c r="H852" t="s">
        <v>320</v>
      </c>
      <c r="I852" s="3" t="s">
        <v>130</v>
      </c>
      <c r="J852" t="s">
        <v>54</v>
      </c>
      <c r="K852" s="15">
        <v>950000</v>
      </c>
      <c r="L852" s="5" t="str">
        <f t="shared" si="13"/>
        <v>5  - 8</v>
      </c>
    </row>
    <row r="853" spans="3:12" hidden="1">
      <c r="C853" t="s">
        <v>31</v>
      </c>
      <c r="D853" t="s">
        <v>91</v>
      </c>
      <c r="E853">
        <v>5</v>
      </c>
      <c r="F853" t="s">
        <v>10</v>
      </c>
      <c r="G853" t="s">
        <v>59</v>
      </c>
      <c r="H853" t="s">
        <v>320</v>
      </c>
      <c r="I853" s="3" t="s">
        <v>130</v>
      </c>
      <c r="J853" t="s">
        <v>66</v>
      </c>
      <c r="K853" s="15">
        <v>950000</v>
      </c>
      <c r="L853" s="5" t="str">
        <f t="shared" si="13"/>
        <v>5  - 8</v>
      </c>
    </row>
    <row r="854" spans="3:12" hidden="1">
      <c r="C854" t="s">
        <v>31</v>
      </c>
      <c r="D854" t="s">
        <v>49</v>
      </c>
      <c r="E854">
        <v>5</v>
      </c>
      <c r="F854" t="s">
        <v>10</v>
      </c>
      <c r="G854" t="s">
        <v>59</v>
      </c>
      <c r="H854" t="s">
        <v>320</v>
      </c>
      <c r="I854" s="3" t="s">
        <v>129</v>
      </c>
      <c r="J854" t="s">
        <v>66</v>
      </c>
      <c r="K854" s="15">
        <v>1150000</v>
      </c>
      <c r="L854" s="5" t="str">
        <f t="shared" si="13"/>
        <v>5  - 8</v>
      </c>
    </row>
    <row r="855" spans="3:12" hidden="1">
      <c r="C855" t="s">
        <v>30</v>
      </c>
      <c r="D855" t="s">
        <v>73</v>
      </c>
      <c r="E855">
        <v>4</v>
      </c>
      <c r="F855" t="s">
        <v>10</v>
      </c>
      <c r="G855" t="s">
        <v>59</v>
      </c>
      <c r="H855" t="s">
        <v>320</v>
      </c>
      <c r="I855" s="3" t="s">
        <v>191</v>
      </c>
      <c r="J855" t="s">
        <v>54</v>
      </c>
      <c r="K855" s="15">
        <v>530000</v>
      </c>
      <c r="L855" s="5" t="str">
        <f t="shared" si="13"/>
        <v>0 - 4</v>
      </c>
    </row>
    <row r="856" spans="3:12" hidden="1">
      <c r="C856" t="s">
        <v>31</v>
      </c>
      <c r="D856" t="s">
        <v>55</v>
      </c>
      <c r="E856">
        <v>4</v>
      </c>
      <c r="F856" t="s">
        <v>10</v>
      </c>
      <c r="G856" t="s">
        <v>59</v>
      </c>
      <c r="H856" t="s">
        <v>320</v>
      </c>
      <c r="I856" s="3" t="s">
        <v>223</v>
      </c>
      <c r="J856" t="s">
        <v>54</v>
      </c>
      <c r="K856" s="15">
        <v>790000</v>
      </c>
      <c r="L856" s="5" t="str">
        <f t="shared" si="13"/>
        <v>0 - 4</v>
      </c>
    </row>
    <row r="857" spans="3:12" hidden="1">
      <c r="C857" t="s">
        <v>31</v>
      </c>
      <c r="D857" t="s">
        <v>55</v>
      </c>
      <c r="E857">
        <v>4</v>
      </c>
      <c r="F857" t="s">
        <v>10</v>
      </c>
      <c r="G857" t="s">
        <v>59</v>
      </c>
      <c r="H857" t="s">
        <v>320</v>
      </c>
      <c r="I857" s="3" t="s">
        <v>72</v>
      </c>
      <c r="J857" t="s">
        <v>66</v>
      </c>
      <c r="K857" s="15">
        <v>850000</v>
      </c>
      <c r="L857" s="5" t="str">
        <f t="shared" si="13"/>
        <v>0 - 4</v>
      </c>
    </row>
    <row r="858" spans="3:12" hidden="1">
      <c r="C858" t="s">
        <v>31</v>
      </c>
      <c r="D858" t="s">
        <v>55</v>
      </c>
      <c r="E858">
        <v>4</v>
      </c>
      <c r="F858" t="s">
        <v>10</v>
      </c>
      <c r="G858" t="s">
        <v>51</v>
      </c>
      <c r="H858" t="s">
        <v>320</v>
      </c>
      <c r="I858" s="3" t="s">
        <v>79</v>
      </c>
      <c r="J858" t="s">
        <v>54</v>
      </c>
      <c r="K858" s="15">
        <v>900000</v>
      </c>
      <c r="L858" s="5" t="str">
        <f t="shared" si="13"/>
        <v>0 - 4</v>
      </c>
    </row>
    <row r="859" spans="3:12" hidden="1">
      <c r="C859" t="s">
        <v>30</v>
      </c>
      <c r="D859" t="s">
        <v>55</v>
      </c>
      <c r="E859">
        <v>3</v>
      </c>
      <c r="F859" t="s">
        <v>10</v>
      </c>
      <c r="G859" t="s">
        <v>59</v>
      </c>
      <c r="H859" t="s">
        <v>320</v>
      </c>
      <c r="I859" s="3" t="s">
        <v>96</v>
      </c>
      <c r="J859" t="s">
        <v>66</v>
      </c>
      <c r="K859" s="15">
        <v>780000</v>
      </c>
      <c r="L859" s="5" t="str">
        <f t="shared" si="13"/>
        <v>0 - 4</v>
      </c>
    </row>
    <row r="860" spans="3:12" hidden="1">
      <c r="C860" t="s">
        <v>30</v>
      </c>
      <c r="D860" t="s">
        <v>63</v>
      </c>
      <c r="E860">
        <v>3</v>
      </c>
      <c r="F860" t="s">
        <v>10</v>
      </c>
      <c r="G860" t="s">
        <v>57</v>
      </c>
      <c r="H860" t="s">
        <v>320</v>
      </c>
      <c r="I860" s="3" t="s">
        <v>96</v>
      </c>
      <c r="J860" t="s">
        <v>54</v>
      </c>
      <c r="K860" s="15">
        <v>780000</v>
      </c>
      <c r="L860" s="5" t="str">
        <f t="shared" si="13"/>
        <v>0 - 4</v>
      </c>
    </row>
    <row r="861" spans="3:12" hidden="1">
      <c r="C861" t="s">
        <v>31</v>
      </c>
      <c r="D861" t="s">
        <v>73</v>
      </c>
      <c r="E861">
        <v>3</v>
      </c>
      <c r="F861" t="s">
        <v>10</v>
      </c>
      <c r="G861" t="s">
        <v>57</v>
      </c>
      <c r="H861" t="s">
        <v>320</v>
      </c>
      <c r="I861" s="3" t="s">
        <v>321</v>
      </c>
      <c r="J861" t="s">
        <v>54</v>
      </c>
      <c r="K861" s="15">
        <v>721000</v>
      </c>
      <c r="L861" s="5" t="str">
        <f t="shared" si="13"/>
        <v>0 - 4</v>
      </c>
    </row>
    <row r="862" spans="3:12" hidden="1">
      <c r="C862" t="s">
        <v>31</v>
      </c>
      <c r="D862" t="s">
        <v>55</v>
      </c>
      <c r="E862">
        <v>3</v>
      </c>
      <c r="F862" t="s">
        <v>10</v>
      </c>
      <c r="G862" t="s">
        <v>59</v>
      </c>
      <c r="H862" t="s">
        <v>320</v>
      </c>
      <c r="I862" s="3" t="s">
        <v>156</v>
      </c>
      <c r="J862" t="s">
        <v>54</v>
      </c>
      <c r="K862" s="15">
        <v>770000</v>
      </c>
      <c r="L862" s="5" t="str">
        <f t="shared" si="13"/>
        <v>0 - 4</v>
      </c>
    </row>
    <row r="863" spans="3:12" hidden="1">
      <c r="C863" t="s">
        <v>31</v>
      </c>
      <c r="D863" t="s">
        <v>55</v>
      </c>
      <c r="E863">
        <v>3</v>
      </c>
      <c r="F863" t="s">
        <v>10</v>
      </c>
      <c r="G863" t="s">
        <v>51</v>
      </c>
      <c r="H863" t="s">
        <v>320</v>
      </c>
      <c r="I863" s="3" t="s">
        <v>96</v>
      </c>
      <c r="J863" t="s">
        <v>54</v>
      </c>
      <c r="K863" s="15">
        <v>780000</v>
      </c>
      <c r="L863" s="5" t="str">
        <f t="shared" si="13"/>
        <v>0 - 4</v>
      </c>
    </row>
    <row r="864" spans="3:12" hidden="1">
      <c r="C864" t="s">
        <v>31</v>
      </c>
      <c r="D864" t="s">
        <v>55</v>
      </c>
      <c r="E864">
        <v>3</v>
      </c>
      <c r="F864" t="s">
        <v>10</v>
      </c>
      <c r="G864" t="s">
        <v>59</v>
      </c>
      <c r="H864" t="s">
        <v>320</v>
      </c>
      <c r="I864" s="3" t="s">
        <v>322</v>
      </c>
      <c r="J864" t="s">
        <v>54</v>
      </c>
      <c r="K864" s="15">
        <v>823000</v>
      </c>
      <c r="L864" s="5" t="str">
        <f t="shared" si="13"/>
        <v>0 - 4</v>
      </c>
    </row>
    <row r="865" spans="3:12" hidden="1">
      <c r="C865" t="s">
        <v>31</v>
      </c>
      <c r="D865" t="s">
        <v>55</v>
      </c>
      <c r="E865">
        <v>3</v>
      </c>
      <c r="F865" t="s">
        <v>10</v>
      </c>
      <c r="G865" t="s">
        <v>57</v>
      </c>
      <c r="H865" t="s">
        <v>320</v>
      </c>
      <c r="I865" s="3" t="s">
        <v>256</v>
      </c>
      <c r="J865" t="s">
        <v>54</v>
      </c>
      <c r="K865" s="15">
        <v>825000</v>
      </c>
      <c r="L865" s="5" t="str">
        <f t="shared" si="13"/>
        <v>0 - 4</v>
      </c>
    </row>
    <row r="866" spans="3:12" hidden="1">
      <c r="C866" t="s">
        <v>31</v>
      </c>
      <c r="D866" t="s">
        <v>55</v>
      </c>
      <c r="E866">
        <v>3</v>
      </c>
      <c r="F866" t="s">
        <v>10</v>
      </c>
      <c r="G866" t="s">
        <v>59</v>
      </c>
      <c r="H866" t="s">
        <v>320</v>
      </c>
      <c r="I866" s="3" t="s">
        <v>110</v>
      </c>
      <c r="J866" t="s">
        <v>66</v>
      </c>
      <c r="K866" s="15">
        <v>1000000</v>
      </c>
      <c r="L866" s="5" t="str">
        <f t="shared" si="13"/>
        <v>0 - 4</v>
      </c>
    </row>
    <row r="867" spans="3:12" hidden="1">
      <c r="C867" t="s">
        <v>31</v>
      </c>
      <c r="D867" t="s">
        <v>55</v>
      </c>
      <c r="E867">
        <v>2</v>
      </c>
      <c r="F867" t="s">
        <v>10</v>
      </c>
      <c r="G867" t="s">
        <v>59</v>
      </c>
      <c r="H867" t="s">
        <v>320</v>
      </c>
      <c r="I867" s="3" t="s">
        <v>213</v>
      </c>
      <c r="J867" t="s">
        <v>54</v>
      </c>
      <c r="K867" s="15">
        <v>620000</v>
      </c>
      <c r="L867" s="5" t="str">
        <f t="shared" si="13"/>
        <v>0 - 4</v>
      </c>
    </row>
    <row r="868" spans="3:12" hidden="1">
      <c r="C868" t="s">
        <v>31</v>
      </c>
      <c r="D868" t="s">
        <v>55</v>
      </c>
      <c r="E868">
        <v>2</v>
      </c>
      <c r="F868" t="s">
        <v>10</v>
      </c>
      <c r="G868" t="s">
        <v>59</v>
      </c>
      <c r="H868" t="s">
        <v>320</v>
      </c>
      <c r="I868" s="3" t="s">
        <v>69</v>
      </c>
      <c r="J868" t="s">
        <v>66</v>
      </c>
      <c r="K868" s="15">
        <v>750000</v>
      </c>
      <c r="L868" s="5" t="str">
        <f t="shared" si="13"/>
        <v>0 - 4</v>
      </c>
    </row>
    <row r="869" spans="3:12" hidden="1">
      <c r="C869" t="s">
        <v>30</v>
      </c>
      <c r="D869" t="s">
        <v>55</v>
      </c>
      <c r="E869">
        <v>1</v>
      </c>
      <c r="F869" t="s">
        <v>10</v>
      </c>
      <c r="G869" t="s">
        <v>51</v>
      </c>
      <c r="H869" t="s">
        <v>320</v>
      </c>
      <c r="I869" s="3" t="s">
        <v>139</v>
      </c>
      <c r="J869" t="s">
        <v>54</v>
      </c>
      <c r="K869" s="15">
        <v>600000</v>
      </c>
      <c r="L869" s="5" t="str">
        <f t="shared" si="13"/>
        <v>0 - 4</v>
      </c>
    </row>
    <row r="870" spans="3:12" hidden="1">
      <c r="C870" t="s">
        <v>30</v>
      </c>
      <c r="D870" t="s">
        <v>55</v>
      </c>
      <c r="E870">
        <v>1</v>
      </c>
      <c r="F870" t="s">
        <v>10</v>
      </c>
      <c r="G870" t="s">
        <v>59</v>
      </c>
      <c r="H870" t="s">
        <v>320</v>
      </c>
      <c r="I870" s="3" t="s">
        <v>266</v>
      </c>
      <c r="J870" t="s">
        <v>54</v>
      </c>
      <c r="K870" s="15">
        <v>675000</v>
      </c>
      <c r="L870" s="5" t="str">
        <f t="shared" si="13"/>
        <v>0 - 4</v>
      </c>
    </row>
    <row r="871" spans="3:12" hidden="1">
      <c r="C871" t="s">
        <v>31</v>
      </c>
      <c r="D871" t="s">
        <v>55</v>
      </c>
      <c r="E871">
        <v>1</v>
      </c>
      <c r="F871" t="s">
        <v>10</v>
      </c>
      <c r="G871" t="s">
        <v>59</v>
      </c>
      <c r="H871" t="s">
        <v>320</v>
      </c>
      <c r="I871" s="3" t="s">
        <v>213</v>
      </c>
      <c r="J871" t="s">
        <v>66</v>
      </c>
      <c r="K871" s="15">
        <v>620000</v>
      </c>
      <c r="L871" s="5" t="str">
        <f t="shared" si="13"/>
        <v>0 - 4</v>
      </c>
    </row>
    <row r="872" spans="3:12" hidden="1">
      <c r="C872" t="s">
        <v>31</v>
      </c>
      <c r="D872" t="s">
        <v>55</v>
      </c>
      <c r="E872">
        <v>1</v>
      </c>
      <c r="F872" t="s">
        <v>10</v>
      </c>
      <c r="G872" t="s">
        <v>59</v>
      </c>
      <c r="H872" t="s">
        <v>320</v>
      </c>
      <c r="I872" s="3" t="s">
        <v>159</v>
      </c>
      <c r="J872" t="s">
        <v>66</v>
      </c>
      <c r="K872" s="15">
        <v>680000</v>
      </c>
      <c r="L872" s="5" t="str">
        <f t="shared" si="13"/>
        <v>0 - 4</v>
      </c>
    </row>
    <row r="873" spans="3:12" hidden="1">
      <c r="C873" t="s">
        <v>31</v>
      </c>
      <c r="D873" t="s">
        <v>55</v>
      </c>
      <c r="E873">
        <v>1</v>
      </c>
      <c r="F873" t="s">
        <v>10</v>
      </c>
      <c r="G873" t="s">
        <v>59</v>
      </c>
      <c r="H873" t="s">
        <v>320</v>
      </c>
      <c r="I873" s="3" t="s">
        <v>108</v>
      </c>
      <c r="J873" t="s">
        <v>66</v>
      </c>
      <c r="K873" s="15">
        <v>700000</v>
      </c>
      <c r="L873" s="5" t="str">
        <f t="shared" si="13"/>
        <v>0 - 4</v>
      </c>
    </row>
    <row r="874" spans="3:12" hidden="1">
      <c r="C874" t="s">
        <v>31</v>
      </c>
      <c r="D874" t="s">
        <v>73</v>
      </c>
      <c r="E874">
        <v>1</v>
      </c>
      <c r="F874" t="s">
        <v>10</v>
      </c>
      <c r="G874" t="s">
        <v>51</v>
      </c>
      <c r="H874" t="s">
        <v>320</v>
      </c>
      <c r="I874" s="3" t="s">
        <v>115</v>
      </c>
      <c r="J874" t="s">
        <v>66</v>
      </c>
      <c r="K874" s="15">
        <v>715000</v>
      </c>
      <c r="L874" s="5" t="str">
        <f t="shared" si="13"/>
        <v>0 - 4</v>
      </c>
    </row>
    <row r="875" spans="3:12" hidden="1">
      <c r="C875" t="s">
        <v>30</v>
      </c>
      <c r="D875" t="s">
        <v>55</v>
      </c>
      <c r="E875">
        <v>0</v>
      </c>
      <c r="F875" t="s">
        <v>10</v>
      </c>
      <c r="G875" t="s">
        <v>59</v>
      </c>
      <c r="H875" t="s">
        <v>320</v>
      </c>
      <c r="I875" s="3" t="s">
        <v>139</v>
      </c>
      <c r="J875" t="s">
        <v>66</v>
      </c>
      <c r="K875" s="15">
        <v>600000</v>
      </c>
      <c r="L875" s="5" t="str">
        <f t="shared" si="13"/>
        <v>0 - 4</v>
      </c>
    </row>
    <row r="876" spans="3:12" hidden="1">
      <c r="C876" t="s">
        <v>31</v>
      </c>
      <c r="D876" t="s">
        <v>73</v>
      </c>
      <c r="E876">
        <v>0</v>
      </c>
      <c r="F876" t="s">
        <v>10</v>
      </c>
      <c r="G876" t="s">
        <v>51</v>
      </c>
      <c r="H876" t="s">
        <v>320</v>
      </c>
      <c r="I876" s="3" t="s">
        <v>112</v>
      </c>
      <c r="J876" t="s">
        <v>54</v>
      </c>
      <c r="K876" s="15">
        <v>560000</v>
      </c>
      <c r="L876" s="5" t="str">
        <f t="shared" si="13"/>
        <v>0 - 4</v>
      </c>
    </row>
    <row r="877" spans="3:12" hidden="1">
      <c r="C877" t="s">
        <v>31</v>
      </c>
      <c r="D877" t="s">
        <v>55</v>
      </c>
      <c r="E877">
        <v>0</v>
      </c>
      <c r="F877" t="s">
        <v>10</v>
      </c>
      <c r="G877" t="s">
        <v>51</v>
      </c>
      <c r="H877" t="s">
        <v>320</v>
      </c>
      <c r="I877" s="3" t="s">
        <v>139</v>
      </c>
      <c r="J877" t="s">
        <v>54</v>
      </c>
      <c r="K877" s="15">
        <v>600000</v>
      </c>
      <c r="L877" s="5" t="str">
        <f t="shared" si="13"/>
        <v>0 - 4</v>
      </c>
    </row>
    <row r="878" spans="3:12" hidden="1">
      <c r="C878" t="s">
        <v>31</v>
      </c>
      <c r="D878" t="s">
        <v>55</v>
      </c>
      <c r="E878">
        <v>0</v>
      </c>
      <c r="F878" t="s">
        <v>10</v>
      </c>
      <c r="G878" t="s">
        <v>51</v>
      </c>
      <c r="H878" t="s">
        <v>320</v>
      </c>
      <c r="I878" s="3" t="s">
        <v>323</v>
      </c>
      <c r="J878" t="s">
        <v>54</v>
      </c>
      <c r="K878" s="15">
        <v>704400</v>
      </c>
      <c r="L878" s="5" t="str">
        <f t="shared" si="13"/>
        <v>0 - 4</v>
      </c>
    </row>
    <row r="879" spans="3:12" hidden="1">
      <c r="C879" t="s">
        <v>31</v>
      </c>
      <c r="D879" t="s">
        <v>55</v>
      </c>
      <c r="E879">
        <v>0</v>
      </c>
      <c r="F879" t="s">
        <v>10</v>
      </c>
      <c r="G879" t="s">
        <v>51</v>
      </c>
      <c r="H879" t="s">
        <v>320</v>
      </c>
      <c r="I879" s="3" t="s">
        <v>116</v>
      </c>
      <c r="J879" t="s">
        <v>66</v>
      </c>
      <c r="K879" s="15">
        <v>800000</v>
      </c>
      <c r="L879" s="5" t="str">
        <f t="shared" si="13"/>
        <v>0 - 4</v>
      </c>
    </row>
    <row r="880" spans="3:12" hidden="1">
      <c r="C880" t="s">
        <v>31</v>
      </c>
      <c r="D880" t="s">
        <v>55</v>
      </c>
      <c r="E880">
        <v>7</v>
      </c>
      <c r="F880" t="s">
        <v>11</v>
      </c>
      <c r="G880" t="s">
        <v>59</v>
      </c>
      <c r="H880" t="s">
        <v>320</v>
      </c>
      <c r="I880" s="3" t="s">
        <v>242</v>
      </c>
      <c r="J880" t="s">
        <v>66</v>
      </c>
      <c r="K880" s="15">
        <v>1550000</v>
      </c>
      <c r="L880" s="5" t="str">
        <f t="shared" si="13"/>
        <v>5  - 8</v>
      </c>
    </row>
    <row r="881" spans="3:12" hidden="1">
      <c r="C881" t="s">
        <v>31</v>
      </c>
      <c r="D881" t="s">
        <v>63</v>
      </c>
      <c r="E881">
        <v>5</v>
      </c>
      <c r="F881" t="s">
        <v>11</v>
      </c>
      <c r="G881" t="s">
        <v>59</v>
      </c>
      <c r="H881" t="s">
        <v>320</v>
      </c>
      <c r="I881" s="3" t="s">
        <v>324</v>
      </c>
      <c r="J881" t="s">
        <v>66</v>
      </c>
      <c r="K881" s="15">
        <v>935000</v>
      </c>
      <c r="L881" s="5" t="str">
        <f t="shared" si="13"/>
        <v>5  - 8</v>
      </c>
    </row>
    <row r="882" spans="3:12" hidden="1">
      <c r="C882" t="s">
        <v>31</v>
      </c>
      <c r="D882" t="s">
        <v>67</v>
      </c>
      <c r="E882">
        <v>16</v>
      </c>
      <c r="F882" t="s">
        <v>13</v>
      </c>
      <c r="G882" t="s">
        <v>51</v>
      </c>
      <c r="H882" t="s">
        <v>320</v>
      </c>
      <c r="I882" s="3" t="s">
        <v>325</v>
      </c>
      <c r="J882" t="s">
        <v>54</v>
      </c>
      <c r="K882" s="15">
        <v>1046000</v>
      </c>
      <c r="L882" s="5" t="str">
        <f t="shared" si="13"/>
        <v>15 +</v>
      </c>
    </row>
    <row r="883" spans="3:12" hidden="1">
      <c r="C883" t="s">
        <v>31</v>
      </c>
      <c r="D883" t="s">
        <v>88</v>
      </c>
      <c r="E883">
        <v>5</v>
      </c>
      <c r="F883" t="s">
        <v>13</v>
      </c>
      <c r="G883" t="s">
        <v>59</v>
      </c>
      <c r="H883" t="s">
        <v>320</v>
      </c>
      <c r="I883" s="3" t="s">
        <v>98</v>
      </c>
      <c r="J883" t="s">
        <v>54</v>
      </c>
      <c r="K883" s="15">
        <v>920000</v>
      </c>
      <c r="L883" s="5" t="str">
        <f t="shared" si="13"/>
        <v>5  - 8</v>
      </c>
    </row>
    <row r="884" spans="3:12" hidden="1">
      <c r="C884" t="s">
        <v>31</v>
      </c>
      <c r="D884" t="s">
        <v>55</v>
      </c>
      <c r="E884">
        <v>2</v>
      </c>
      <c r="F884" t="s">
        <v>13</v>
      </c>
      <c r="G884" t="s">
        <v>51</v>
      </c>
      <c r="H884" t="s">
        <v>320</v>
      </c>
      <c r="I884" s="3" t="s">
        <v>122</v>
      </c>
      <c r="J884" t="s">
        <v>54</v>
      </c>
      <c r="K884" s="15">
        <v>930000</v>
      </c>
      <c r="L884" s="5" t="str">
        <f t="shared" si="13"/>
        <v>0 - 4</v>
      </c>
    </row>
    <row r="885" spans="3:12" hidden="1">
      <c r="C885" t="s">
        <v>31</v>
      </c>
      <c r="D885" t="s">
        <v>55</v>
      </c>
      <c r="E885">
        <v>0</v>
      </c>
      <c r="F885" t="s">
        <v>13</v>
      </c>
      <c r="G885" t="s">
        <v>59</v>
      </c>
      <c r="H885" t="s">
        <v>320</v>
      </c>
      <c r="I885" s="3" t="s">
        <v>151</v>
      </c>
      <c r="J885" t="s">
        <v>54</v>
      </c>
      <c r="K885" s="15">
        <v>690000</v>
      </c>
      <c r="L885" s="5" t="str">
        <f t="shared" si="13"/>
        <v>0 - 4</v>
      </c>
    </row>
    <row r="886" spans="3:12" hidden="1">
      <c r="C886" t="s">
        <v>31</v>
      </c>
      <c r="D886" t="s">
        <v>56</v>
      </c>
      <c r="E886">
        <v>24</v>
      </c>
      <c r="F886" t="s">
        <v>14</v>
      </c>
      <c r="G886" t="s">
        <v>51</v>
      </c>
      <c r="H886" t="s">
        <v>320</v>
      </c>
      <c r="I886" s="3" t="s">
        <v>72</v>
      </c>
      <c r="J886" t="s">
        <v>54</v>
      </c>
      <c r="K886" s="15">
        <v>850000</v>
      </c>
      <c r="L886" s="5" t="str">
        <f t="shared" si="13"/>
        <v>15 +</v>
      </c>
    </row>
    <row r="887" spans="3:12" hidden="1">
      <c r="C887" t="s">
        <v>31</v>
      </c>
      <c r="D887" t="s">
        <v>55</v>
      </c>
      <c r="E887">
        <v>5</v>
      </c>
      <c r="F887" t="s">
        <v>14</v>
      </c>
      <c r="G887" t="s">
        <v>57</v>
      </c>
      <c r="H887" t="s">
        <v>320</v>
      </c>
      <c r="I887" s="3" t="s">
        <v>90</v>
      </c>
      <c r="J887" t="s">
        <v>54</v>
      </c>
      <c r="K887" s="15">
        <v>660000</v>
      </c>
      <c r="L887" s="5" t="str">
        <f t="shared" si="13"/>
        <v>5  - 8</v>
      </c>
    </row>
    <row r="888" spans="3:12" hidden="1">
      <c r="C888" t="s">
        <v>31</v>
      </c>
      <c r="D888" t="s">
        <v>55</v>
      </c>
      <c r="E888">
        <v>5</v>
      </c>
      <c r="F888" t="s">
        <v>14</v>
      </c>
      <c r="G888" t="s">
        <v>51</v>
      </c>
      <c r="H888" t="s">
        <v>320</v>
      </c>
      <c r="I888" s="3" t="s">
        <v>172</v>
      </c>
      <c r="J888" t="s">
        <v>54</v>
      </c>
      <c r="K888" s="15">
        <v>775000</v>
      </c>
      <c r="L888" s="5" t="str">
        <f t="shared" si="13"/>
        <v>5  - 8</v>
      </c>
    </row>
    <row r="889" spans="3:12" hidden="1">
      <c r="C889" t="s">
        <v>31</v>
      </c>
      <c r="D889" t="s">
        <v>55</v>
      </c>
      <c r="E889">
        <v>2</v>
      </c>
      <c r="F889" t="s">
        <v>14</v>
      </c>
      <c r="G889" t="s">
        <v>57</v>
      </c>
      <c r="H889" t="s">
        <v>320</v>
      </c>
      <c r="I889" s="3" t="s">
        <v>116</v>
      </c>
      <c r="J889" t="s">
        <v>54</v>
      </c>
      <c r="K889" s="15">
        <v>800000</v>
      </c>
      <c r="L889" s="5" t="str">
        <f t="shared" si="13"/>
        <v>0 - 4</v>
      </c>
    </row>
    <row r="890" spans="3:12" hidden="1">
      <c r="C890" t="s">
        <v>31</v>
      </c>
      <c r="D890" t="s">
        <v>55</v>
      </c>
      <c r="E890">
        <v>0</v>
      </c>
      <c r="F890" t="s">
        <v>14</v>
      </c>
      <c r="G890" t="s">
        <v>59</v>
      </c>
      <c r="H890" t="s">
        <v>320</v>
      </c>
      <c r="I890" s="3" t="s">
        <v>81</v>
      </c>
      <c r="J890" t="s">
        <v>66</v>
      </c>
      <c r="K890" s="15">
        <v>640000</v>
      </c>
      <c r="L890" s="5" t="str">
        <f t="shared" si="13"/>
        <v>0 - 4</v>
      </c>
    </row>
    <row r="891" spans="3:12" hidden="1">
      <c r="C891" t="s">
        <v>31</v>
      </c>
      <c r="D891" t="s">
        <v>56</v>
      </c>
      <c r="E891">
        <v>18</v>
      </c>
      <c r="F891" t="s">
        <v>15</v>
      </c>
      <c r="G891" t="s">
        <v>51</v>
      </c>
      <c r="H891" t="s">
        <v>320</v>
      </c>
      <c r="I891" s="3" t="s">
        <v>116</v>
      </c>
      <c r="J891" t="s">
        <v>54</v>
      </c>
      <c r="K891" s="15">
        <v>800000</v>
      </c>
      <c r="L891" s="5" t="str">
        <f t="shared" si="13"/>
        <v>15 +</v>
      </c>
    </row>
    <row r="892" spans="3:12" hidden="1">
      <c r="C892" t="s">
        <v>31</v>
      </c>
      <c r="D892" t="s">
        <v>55</v>
      </c>
      <c r="E892">
        <v>14</v>
      </c>
      <c r="F892" t="s">
        <v>15</v>
      </c>
      <c r="G892" t="s">
        <v>51</v>
      </c>
      <c r="H892" t="s">
        <v>320</v>
      </c>
      <c r="I892" s="3" t="s">
        <v>299</v>
      </c>
      <c r="J892" t="s">
        <v>54</v>
      </c>
      <c r="K892" s="15">
        <v>1280000</v>
      </c>
      <c r="L892" s="5" t="str">
        <f t="shared" si="13"/>
        <v>9 - 14</v>
      </c>
    </row>
    <row r="893" spans="3:12" hidden="1">
      <c r="C893" t="s">
        <v>31</v>
      </c>
      <c r="D893" t="s">
        <v>121</v>
      </c>
      <c r="E893">
        <v>36</v>
      </c>
      <c r="F893" t="s">
        <v>8</v>
      </c>
      <c r="G893" t="s">
        <v>57</v>
      </c>
      <c r="H893" t="s">
        <v>326</v>
      </c>
      <c r="I893" s="3" t="s">
        <v>72</v>
      </c>
      <c r="J893" t="s">
        <v>54</v>
      </c>
      <c r="K893" s="15">
        <v>850000</v>
      </c>
      <c r="L893" s="5" t="str">
        <f t="shared" si="13"/>
        <v>15 +</v>
      </c>
    </row>
    <row r="894" spans="3:12" hidden="1">
      <c r="C894" t="s">
        <v>31</v>
      </c>
      <c r="D894" t="s">
        <v>77</v>
      </c>
      <c r="E894">
        <v>5</v>
      </c>
      <c r="F894" t="s">
        <v>16</v>
      </c>
      <c r="G894" t="s">
        <v>57</v>
      </c>
      <c r="H894" t="s">
        <v>326</v>
      </c>
      <c r="I894" s="3" t="s">
        <v>154</v>
      </c>
      <c r="J894" t="s">
        <v>54</v>
      </c>
      <c r="K894" s="15">
        <v>875000</v>
      </c>
      <c r="L894" s="5" t="str">
        <f t="shared" si="13"/>
        <v>5  - 8</v>
      </c>
    </row>
    <row r="895" spans="3:12" hidden="1">
      <c r="C895" t="s">
        <v>31</v>
      </c>
      <c r="D895" t="s">
        <v>56</v>
      </c>
      <c r="E895">
        <v>4</v>
      </c>
      <c r="F895" t="s">
        <v>16</v>
      </c>
      <c r="G895" t="s">
        <v>51</v>
      </c>
      <c r="H895" t="s">
        <v>326</v>
      </c>
      <c r="I895" s="3" t="s">
        <v>165</v>
      </c>
      <c r="J895" t="s">
        <v>54</v>
      </c>
      <c r="K895" s="15">
        <v>720000</v>
      </c>
      <c r="L895" s="5" t="str">
        <f t="shared" si="13"/>
        <v>0 - 4</v>
      </c>
    </row>
    <row r="896" spans="3:12" hidden="1">
      <c r="C896" t="s">
        <v>30</v>
      </c>
      <c r="D896" t="s">
        <v>73</v>
      </c>
      <c r="E896">
        <v>15</v>
      </c>
      <c r="F896" t="s">
        <v>10</v>
      </c>
      <c r="G896" t="s">
        <v>59</v>
      </c>
      <c r="H896" t="s">
        <v>326</v>
      </c>
      <c r="I896" s="36" t="s">
        <v>61</v>
      </c>
      <c r="J896" t="s">
        <v>66</v>
      </c>
      <c r="K896" s="15">
        <v>1200000</v>
      </c>
      <c r="L896" s="5" t="str">
        <f t="shared" si="13"/>
        <v>15 +</v>
      </c>
    </row>
    <row r="897" spans="3:12" hidden="1">
      <c r="C897" t="s">
        <v>31</v>
      </c>
      <c r="D897" t="s">
        <v>55</v>
      </c>
      <c r="E897">
        <v>12</v>
      </c>
      <c r="F897" t="s">
        <v>10</v>
      </c>
      <c r="G897" t="s">
        <v>59</v>
      </c>
      <c r="H897" t="s">
        <v>326</v>
      </c>
      <c r="I897" s="3" t="s">
        <v>79</v>
      </c>
      <c r="J897" t="s">
        <v>54</v>
      </c>
      <c r="K897" s="15">
        <v>900000</v>
      </c>
      <c r="L897" s="5" t="str">
        <f t="shared" si="13"/>
        <v>9 - 14</v>
      </c>
    </row>
    <row r="898" spans="3:12" hidden="1">
      <c r="C898" t="s">
        <v>30</v>
      </c>
      <c r="D898" t="s">
        <v>73</v>
      </c>
      <c r="E898">
        <v>10</v>
      </c>
      <c r="F898" t="s">
        <v>10</v>
      </c>
      <c r="G898" t="s">
        <v>57</v>
      </c>
      <c r="H898" t="s">
        <v>326</v>
      </c>
      <c r="I898" s="3" t="s">
        <v>122</v>
      </c>
      <c r="J898" t="s">
        <v>54</v>
      </c>
      <c r="K898" s="15">
        <v>930000</v>
      </c>
      <c r="L898" s="5" t="str">
        <f t="shared" si="13"/>
        <v>9 - 14</v>
      </c>
    </row>
    <row r="899" spans="3:12" hidden="1">
      <c r="C899" t="s">
        <v>31</v>
      </c>
      <c r="D899" t="s">
        <v>73</v>
      </c>
      <c r="E899">
        <v>10</v>
      </c>
      <c r="F899" t="s">
        <v>10</v>
      </c>
      <c r="G899" t="s">
        <v>51</v>
      </c>
      <c r="H899" t="s">
        <v>326</v>
      </c>
      <c r="I899" s="3" t="s">
        <v>257</v>
      </c>
      <c r="J899" t="s">
        <v>54</v>
      </c>
      <c r="K899" s="15">
        <v>915000</v>
      </c>
      <c r="L899" s="5" t="str">
        <f t="shared" ref="L899:L962" si="14">_xlfn.XLOOKUP(E899,$P$2:$P$5,$O$2:$O$5,,1)</f>
        <v>9 - 14</v>
      </c>
    </row>
    <row r="900" spans="3:12" hidden="1">
      <c r="C900" t="s">
        <v>31</v>
      </c>
      <c r="D900" t="s">
        <v>55</v>
      </c>
      <c r="E900">
        <v>10</v>
      </c>
      <c r="F900" t="s">
        <v>10</v>
      </c>
      <c r="G900" t="s">
        <v>59</v>
      </c>
      <c r="H900" t="s">
        <v>326</v>
      </c>
      <c r="I900" s="3" t="s">
        <v>106</v>
      </c>
      <c r="J900" t="s">
        <v>66</v>
      </c>
      <c r="K900" s="15">
        <v>1100000</v>
      </c>
      <c r="L900" s="5" t="str">
        <f t="shared" si="14"/>
        <v>9 - 14</v>
      </c>
    </row>
    <row r="901" spans="3:12" hidden="1">
      <c r="C901" t="s">
        <v>30</v>
      </c>
      <c r="D901" t="s">
        <v>55</v>
      </c>
      <c r="E901">
        <v>6</v>
      </c>
      <c r="F901" t="s">
        <v>10</v>
      </c>
      <c r="G901" t="s">
        <v>51</v>
      </c>
      <c r="H901" t="s">
        <v>326</v>
      </c>
      <c r="I901" s="3" t="s">
        <v>79</v>
      </c>
      <c r="J901" t="s">
        <v>54</v>
      </c>
      <c r="K901" s="15">
        <v>900000</v>
      </c>
      <c r="L901" s="5" t="str">
        <f t="shared" si="14"/>
        <v>5  - 8</v>
      </c>
    </row>
    <row r="902" spans="3:12" hidden="1">
      <c r="C902" t="s">
        <v>30</v>
      </c>
      <c r="D902" t="s">
        <v>49</v>
      </c>
      <c r="E902">
        <v>6</v>
      </c>
      <c r="F902" t="s">
        <v>10</v>
      </c>
      <c r="G902" t="s">
        <v>59</v>
      </c>
      <c r="H902" t="s">
        <v>326</v>
      </c>
      <c r="I902" s="3" t="s">
        <v>110</v>
      </c>
      <c r="J902" t="s">
        <v>66</v>
      </c>
      <c r="K902" s="15">
        <v>1000000</v>
      </c>
      <c r="L902" s="5" t="str">
        <f t="shared" si="14"/>
        <v>5  - 8</v>
      </c>
    </row>
    <row r="903" spans="3:12" hidden="1">
      <c r="C903" t="s">
        <v>30</v>
      </c>
      <c r="D903" t="s">
        <v>67</v>
      </c>
      <c r="E903">
        <v>5</v>
      </c>
      <c r="F903" t="s">
        <v>10</v>
      </c>
      <c r="G903" t="s">
        <v>51</v>
      </c>
      <c r="H903" t="s">
        <v>326</v>
      </c>
      <c r="I903" s="3" t="s">
        <v>116</v>
      </c>
      <c r="J903" t="s">
        <v>66</v>
      </c>
      <c r="K903" s="15">
        <v>800000</v>
      </c>
      <c r="L903" s="5" t="str">
        <f t="shared" si="14"/>
        <v>5  - 8</v>
      </c>
    </row>
    <row r="904" spans="3:12" hidden="1">
      <c r="C904" t="s">
        <v>30</v>
      </c>
      <c r="D904" t="s">
        <v>55</v>
      </c>
      <c r="E904">
        <v>5</v>
      </c>
      <c r="F904" t="s">
        <v>10</v>
      </c>
      <c r="G904" t="s">
        <v>59</v>
      </c>
      <c r="H904" t="s">
        <v>326</v>
      </c>
      <c r="I904" s="3" t="s">
        <v>234</v>
      </c>
      <c r="J904" t="s">
        <v>54</v>
      </c>
      <c r="K904" s="15">
        <v>905000</v>
      </c>
      <c r="L904" s="5" t="str">
        <f t="shared" si="14"/>
        <v>5  - 8</v>
      </c>
    </row>
    <row r="905" spans="3:12" hidden="1">
      <c r="C905" t="s">
        <v>30</v>
      </c>
      <c r="D905" t="s">
        <v>73</v>
      </c>
      <c r="E905">
        <v>5</v>
      </c>
      <c r="F905" t="s">
        <v>10</v>
      </c>
      <c r="G905" t="s">
        <v>59</v>
      </c>
      <c r="H905" t="s">
        <v>326</v>
      </c>
      <c r="I905" s="3" t="s">
        <v>110</v>
      </c>
      <c r="J905" t="s">
        <v>54</v>
      </c>
      <c r="K905" s="15">
        <v>1000000</v>
      </c>
      <c r="L905" s="5" t="str">
        <f t="shared" si="14"/>
        <v>5  - 8</v>
      </c>
    </row>
    <row r="906" spans="3:12" hidden="1">
      <c r="C906" t="s">
        <v>31</v>
      </c>
      <c r="D906" t="s">
        <v>55</v>
      </c>
      <c r="E906">
        <v>4</v>
      </c>
      <c r="F906" t="s">
        <v>10</v>
      </c>
      <c r="G906" t="s">
        <v>59</v>
      </c>
      <c r="H906" t="s">
        <v>326</v>
      </c>
      <c r="I906" s="3" t="s">
        <v>72</v>
      </c>
      <c r="J906" t="s">
        <v>66</v>
      </c>
      <c r="K906" s="15">
        <v>850000</v>
      </c>
      <c r="L906" s="5" t="str">
        <f t="shared" si="14"/>
        <v>0 - 4</v>
      </c>
    </row>
    <row r="907" spans="3:12" hidden="1">
      <c r="C907" t="s">
        <v>31</v>
      </c>
      <c r="D907" t="s">
        <v>73</v>
      </c>
      <c r="E907">
        <v>4</v>
      </c>
      <c r="F907" t="s">
        <v>10</v>
      </c>
      <c r="G907" t="s">
        <v>59</v>
      </c>
      <c r="H907" t="s">
        <v>326</v>
      </c>
      <c r="I907" s="3" t="s">
        <v>104</v>
      </c>
      <c r="J907" t="s">
        <v>66</v>
      </c>
      <c r="K907" s="15">
        <v>1300000</v>
      </c>
      <c r="L907" s="5" t="str">
        <f t="shared" si="14"/>
        <v>0 - 4</v>
      </c>
    </row>
    <row r="908" spans="3:12" hidden="1">
      <c r="C908" t="s">
        <v>31</v>
      </c>
      <c r="D908" t="s">
        <v>73</v>
      </c>
      <c r="E908">
        <v>3</v>
      </c>
      <c r="F908" t="s">
        <v>10</v>
      </c>
      <c r="G908" t="s">
        <v>51</v>
      </c>
      <c r="H908" t="s">
        <v>326</v>
      </c>
      <c r="I908" s="3" t="s">
        <v>69</v>
      </c>
      <c r="J908" t="s">
        <v>54</v>
      </c>
      <c r="K908" s="15">
        <v>750000</v>
      </c>
      <c r="L908" s="5" t="str">
        <f t="shared" si="14"/>
        <v>0 - 4</v>
      </c>
    </row>
    <row r="909" spans="3:12" hidden="1">
      <c r="C909" t="s">
        <v>30</v>
      </c>
      <c r="D909" t="s">
        <v>73</v>
      </c>
      <c r="E909">
        <v>2</v>
      </c>
      <c r="F909" t="s">
        <v>10</v>
      </c>
      <c r="G909" t="s">
        <v>59</v>
      </c>
      <c r="H909" t="s">
        <v>326</v>
      </c>
      <c r="I909" s="3" t="s">
        <v>86</v>
      </c>
      <c r="J909" t="s">
        <v>54</v>
      </c>
      <c r="K909" s="15">
        <v>595000</v>
      </c>
      <c r="L909" s="5" t="str">
        <f t="shared" si="14"/>
        <v>0 - 4</v>
      </c>
    </row>
    <row r="910" spans="3:12" hidden="1">
      <c r="C910" t="s">
        <v>31</v>
      </c>
      <c r="D910" t="s">
        <v>55</v>
      </c>
      <c r="E910">
        <v>2</v>
      </c>
      <c r="F910" t="s">
        <v>10</v>
      </c>
      <c r="G910" t="s">
        <v>59</v>
      </c>
      <c r="H910" t="s">
        <v>326</v>
      </c>
      <c r="I910" s="3" t="s">
        <v>216</v>
      </c>
      <c r="J910" t="s">
        <v>66</v>
      </c>
      <c r="K910" s="15">
        <v>568000</v>
      </c>
      <c r="L910" s="5" t="str">
        <f t="shared" si="14"/>
        <v>0 - 4</v>
      </c>
    </row>
    <row r="911" spans="3:12" hidden="1">
      <c r="C911" t="s">
        <v>31</v>
      </c>
      <c r="D911" t="s">
        <v>55</v>
      </c>
      <c r="E911">
        <v>2</v>
      </c>
      <c r="F911" t="s">
        <v>10</v>
      </c>
      <c r="G911" t="s">
        <v>59</v>
      </c>
      <c r="H911" t="s">
        <v>326</v>
      </c>
      <c r="I911" s="3" t="s">
        <v>108</v>
      </c>
      <c r="J911" t="s">
        <v>54</v>
      </c>
      <c r="K911" s="15">
        <v>700000</v>
      </c>
      <c r="L911" s="5" t="str">
        <f t="shared" si="14"/>
        <v>0 - 4</v>
      </c>
    </row>
    <row r="912" spans="3:12" hidden="1">
      <c r="C912" t="s">
        <v>30</v>
      </c>
      <c r="D912" t="s">
        <v>73</v>
      </c>
      <c r="E912">
        <v>1</v>
      </c>
      <c r="F912" t="s">
        <v>10</v>
      </c>
      <c r="G912" t="s">
        <v>59</v>
      </c>
      <c r="H912" t="s">
        <v>326</v>
      </c>
      <c r="I912" s="3" t="s">
        <v>69</v>
      </c>
      <c r="J912" t="s">
        <v>66</v>
      </c>
      <c r="K912" s="15">
        <v>750000</v>
      </c>
      <c r="L912" s="5" t="str">
        <f t="shared" si="14"/>
        <v>0 - 4</v>
      </c>
    </row>
    <row r="913" spans="3:12" hidden="1">
      <c r="C913" t="s">
        <v>31</v>
      </c>
      <c r="D913" t="s">
        <v>55</v>
      </c>
      <c r="E913">
        <v>1</v>
      </c>
      <c r="F913" t="s">
        <v>10</v>
      </c>
      <c r="G913" t="s">
        <v>57</v>
      </c>
      <c r="H913" t="s">
        <v>326</v>
      </c>
      <c r="I913" s="3" t="s">
        <v>139</v>
      </c>
      <c r="J913" t="s">
        <v>54</v>
      </c>
      <c r="K913" s="15">
        <v>600000</v>
      </c>
      <c r="L913" s="5" t="str">
        <f t="shared" si="14"/>
        <v>0 - 4</v>
      </c>
    </row>
    <row r="914" spans="3:12" hidden="1">
      <c r="C914" t="s">
        <v>31</v>
      </c>
      <c r="D914" t="s">
        <v>55</v>
      </c>
      <c r="E914">
        <v>1</v>
      </c>
      <c r="F914" t="s">
        <v>10</v>
      </c>
      <c r="G914" t="s">
        <v>59</v>
      </c>
      <c r="H914" t="s">
        <v>326</v>
      </c>
      <c r="I914" s="3" t="s">
        <v>281</v>
      </c>
      <c r="J914" t="s">
        <v>54</v>
      </c>
      <c r="K914" s="15">
        <v>610000</v>
      </c>
      <c r="L914" s="5" t="str">
        <f t="shared" si="14"/>
        <v>0 - 4</v>
      </c>
    </row>
    <row r="915" spans="3:12" hidden="1">
      <c r="C915" t="s">
        <v>31</v>
      </c>
      <c r="D915" t="s">
        <v>55</v>
      </c>
      <c r="E915">
        <v>1</v>
      </c>
      <c r="F915" t="s">
        <v>10</v>
      </c>
      <c r="G915" t="s">
        <v>51</v>
      </c>
      <c r="H915" t="s">
        <v>326</v>
      </c>
      <c r="I915" s="3" t="s">
        <v>213</v>
      </c>
      <c r="J915" t="s">
        <v>66</v>
      </c>
      <c r="K915" s="15">
        <v>620000</v>
      </c>
      <c r="L915" s="5" t="str">
        <f t="shared" si="14"/>
        <v>0 - 4</v>
      </c>
    </row>
    <row r="916" spans="3:12" hidden="1">
      <c r="C916" t="s">
        <v>31</v>
      </c>
      <c r="D916" t="s">
        <v>55</v>
      </c>
      <c r="E916">
        <v>5</v>
      </c>
      <c r="F916" t="s">
        <v>11</v>
      </c>
      <c r="G916" t="s">
        <v>57</v>
      </c>
      <c r="H916" t="s">
        <v>326</v>
      </c>
      <c r="I916" s="3" t="s">
        <v>68</v>
      </c>
      <c r="J916" t="s">
        <v>54</v>
      </c>
      <c r="K916" s="15">
        <v>980000</v>
      </c>
      <c r="L916" s="5" t="str">
        <f t="shared" si="14"/>
        <v>5  - 8</v>
      </c>
    </row>
    <row r="917" spans="3:12" hidden="1">
      <c r="C917" t="s">
        <v>30</v>
      </c>
      <c r="D917" t="s">
        <v>73</v>
      </c>
      <c r="E917">
        <v>3</v>
      </c>
      <c r="F917" t="s">
        <v>11</v>
      </c>
      <c r="G917" t="s">
        <v>59</v>
      </c>
      <c r="H917" t="s">
        <v>326</v>
      </c>
      <c r="I917" s="3" t="s">
        <v>75</v>
      </c>
      <c r="J917" t="s">
        <v>66</v>
      </c>
      <c r="K917" s="15">
        <v>710000</v>
      </c>
      <c r="L917" s="5" t="str">
        <f t="shared" si="14"/>
        <v>0 - 4</v>
      </c>
    </row>
    <row r="918" spans="3:12" hidden="1">
      <c r="C918" t="s">
        <v>31</v>
      </c>
      <c r="D918" t="s">
        <v>55</v>
      </c>
      <c r="E918">
        <v>2</v>
      </c>
      <c r="F918" t="s">
        <v>11</v>
      </c>
      <c r="G918" t="s">
        <v>59</v>
      </c>
      <c r="H918" t="s">
        <v>326</v>
      </c>
      <c r="I918" s="3" t="s">
        <v>119</v>
      </c>
      <c r="J918" t="s">
        <v>54</v>
      </c>
      <c r="K918" s="15">
        <v>630000</v>
      </c>
      <c r="L918" s="5" t="str">
        <f t="shared" si="14"/>
        <v>0 - 4</v>
      </c>
    </row>
    <row r="919" spans="3:12" hidden="1">
      <c r="C919" t="s">
        <v>31</v>
      </c>
      <c r="D919" t="s">
        <v>55</v>
      </c>
      <c r="E919">
        <v>2</v>
      </c>
      <c r="F919" t="s">
        <v>11</v>
      </c>
      <c r="G919" t="s">
        <v>59</v>
      </c>
      <c r="H919" t="s">
        <v>326</v>
      </c>
      <c r="I919" s="3" t="s">
        <v>116</v>
      </c>
      <c r="J919" t="s">
        <v>66</v>
      </c>
      <c r="K919" s="15">
        <v>800000</v>
      </c>
      <c r="L919" s="5" t="str">
        <f t="shared" si="14"/>
        <v>0 - 4</v>
      </c>
    </row>
    <row r="920" spans="3:12" hidden="1">
      <c r="C920" t="s">
        <v>31</v>
      </c>
      <c r="D920" t="s">
        <v>73</v>
      </c>
      <c r="E920">
        <v>2</v>
      </c>
      <c r="F920" t="s">
        <v>13</v>
      </c>
      <c r="G920" t="s">
        <v>59</v>
      </c>
      <c r="H920" t="s">
        <v>326</v>
      </c>
      <c r="I920" s="3" t="s">
        <v>108</v>
      </c>
      <c r="J920" t="s">
        <v>66</v>
      </c>
      <c r="K920" s="15">
        <v>700000</v>
      </c>
      <c r="L920" s="5" t="str">
        <f t="shared" si="14"/>
        <v>0 - 4</v>
      </c>
    </row>
    <row r="921" spans="3:12" hidden="1">
      <c r="C921" t="s">
        <v>31</v>
      </c>
      <c r="D921" t="s">
        <v>73</v>
      </c>
      <c r="E921">
        <v>1</v>
      </c>
      <c r="F921" t="s">
        <v>18</v>
      </c>
      <c r="G921" t="s">
        <v>59</v>
      </c>
      <c r="H921" t="s">
        <v>326</v>
      </c>
      <c r="I921" s="3" t="s">
        <v>119</v>
      </c>
      <c r="J921" t="s">
        <v>54</v>
      </c>
      <c r="K921" s="15">
        <v>630000</v>
      </c>
      <c r="L921" s="5" t="str">
        <f t="shared" si="14"/>
        <v>0 - 4</v>
      </c>
    </row>
    <row r="922" spans="3:12" hidden="1">
      <c r="C922" t="s">
        <v>31</v>
      </c>
      <c r="D922" t="s">
        <v>73</v>
      </c>
      <c r="E922">
        <v>15</v>
      </c>
      <c r="F922" t="s">
        <v>14</v>
      </c>
      <c r="G922" t="s">
        <v>51</v>
      </c>
      <c r="H922" t="s">
        <v>326</v>
      </c>
      <c r="I922" s="3" t="s">
        <v>130</v>
      </c>
      <c r="J922" t="s">
        <v>66</v>
      </c>
      <c r="K922" s="15">
        <v>950000</v>
      </c>
      <c r="L922" s="5" t="str">
        <f t="shared" si="14"/>
        <v>15 +</v>
      </c>
    </row>
    <row r="923" spans="3:12" hidden="1">
      <c r="C923" t="s">
        <v>31</v>
      </c>
      <c r="D923" t="s">
        <v>73</v>
      </c>
      <c r="E923">
        <v>6</v>
      </c>
      <c r="F923" t="s">
        <v>14</v>
      </c>
      <c r="G923" t="s">
        <v>51</v>
      </c>
      <c r="H923" t="s">
        <v>326</v>
      </c>
      <c r="I923" s="3" t="s">
        <v>139</v>
      </c>
      <c r="J923" t="s">
        <v>54</v>
      </c>
      <c r="K923" s="15">
        <v>600000</v>
      </c>
      <c r="L923" s="5" t="str">
        <f t="shared" si="14"/>
        <v>5  - 8</v>
      </c>
    </row>
    <row r="924" spans="3:12" hidden="1">
      <c r="C924" t="s">
        <v>30</v>
      </c>
      <c r="D924" t="s">
        <v>67</v>
      </c>
      <c r="E924">
        <v>5</v>
      </c>
      <c r="F924" t="s">
        <v>14</v>
      </c>
      <c r="G924" t="s">
        <v>51</v>
      </c>
      <c r="H924" t="s">
        <v>326</v>
      </c>
      <c r="I924" s="3" t="s">
        <v>135</v>
      </c>
      <c r="J924" t="s">
        <v>66</v>
      </c>
      <c r="K924" s="15">
        <v>840000</v>
      </c>
      <c r="L924" s="5" t="str">
        <f t="shared" si="14"/>
        <v>5  - 8</v>
      </c>
    </row>
    <row r="925" spans="3:12" hidden="1">
      <c r="C925" t="s">
        <v>30</v>
      </c>
      <c r="D925" t="s">
        <v>62</v>
      </c>
      <c r="E925">
        <v>2</v>
      </c>
      <c r="F925" t="s">
        <v>14</v>
      </c>
      <c r="G925" t="s">
        <v>51</v>
      </c>
      <c r="H925" t="s">
        <v>326</v>
      </c>
      <c r="I925" s="3" t="s">
        <v>85</v>
      </c>
      <c r="J925" t="s">
        <v>54</v>
      </c>
      <c r="K925" s="15">
        <v>650000</v>
      </c>
      <c r="L925" s="5" t="str">
        <f t="shared" si="14"/>
        <v>0 - 4</v>
      </c>
    </row>
    <row r="926" spans="3:12" hidden="1">
      <c r="C926" t="s">
        <v>31</v>
      </c>
      <c r="D926" t="s">
        <v>73</v>
      </c>
      <c r="E926">
        <v>1</v>
      </c>
      <c r="F926" t="s">
        <v>14</v>
      </c>
      <c r="G926" t="s">
        <v>51</v>
      </c>
      <c r="H926" t="s">
        <v>326</v>
      </c>
      <c r="I926" s="3" t="s">
        <v>116</v>
      </c>
      <c r="J926" t="s">
        <v>54</v>
      </c>
      <c r="K926" s="15">
        <v>800000</v>
      </c>
      <c r="L926" s="5" t="str">
        <f t="shared" si="14"/>
        <v>0 - 4</v>
      </c>
    </row>
    <row r="927" spans="3:12" hidden="1">
      <c r="C927" t="s">
        <v>31</v>
      </c>
      <c r="D927" t="s">
        <v>55</v>
      </c>
      <c r="E927">
        <v>10</v>
      </c>
      <c r="F927" t="s">
        <v>15</v>
      </c>
      <c r="G927" t="s">
        <v>51</v>
      </c>
      <c r="H927" t="s">
        <v>326</v>
      </c>
      <c r="I927" s="3" t="s">
        <v>154</v>
      </c>
      <c r="J927" t="s">
        <v>54</v>
      </c>
      <c r="K927" s="15">
        <v>875000</v>
      </c>
      <c r="L927" s="5" t="str">
        <f t="shared" si="14"/>
        <v>9 - 14</v>
      </c>
    </row>
    <row r="928" spans="3:12" hidden="1">
      <c r="C928" t="s">
        <v>30</v>
      </c>
      <c r="D928" t="s">
        <v>49</v>
      </c>
      <c r="E928">
        <v>2</v>
      </c>
      <c r="F928" t="s">
        <v>15</v>
      </c>
      <c r="G928" t="s">
        <v>51</v>
      </c>
      <c r="H928" t="s">
        <v>326</v>
      </c>
      <c r="I928" s="3" t="s">
        <v>69</v>
      </c>
      <c r="J928" t="s">
        <v>66</v>
      </c>
      <c r="K928" s="15">
        <v>750000</v>
      </c>
      <c r="L928" s="5" t="str">
        <f t="shared" si="14"/>
        <v>0 - 4</v>
      </c>
    </row>
    <row r="929" spans="3:12" hidden="1">
      <c r="C929" t="s">
        <v>31</v>
      </c>
      <c r="D929" t="s">
        <v>55</v>
      </c>
      <c r="E929">
        <v>16</v>
      </c>
      <c r="F929" t="s">
        <v>8</v>
      </c>
      <c r="G929" t="s">
        <v>57</v>
      </c>
      <c r="H929" t="s">
        <v>327</v>
      </c>
      <c r="I929" s="3" t="s">
        <v>71</v>
      </c>
      <c r="J929" t="s">
        <v>54</v>
      </c>
      <c r="K929" s="15">
        <v>820000</v>
      </c>
      <c r="L929" s="5" t="str">
        <f t="shared" si="14"/>
        <v>15 +</v>
      </c>
    </row>
    <row r="930" spans="3:12" hidden="1">
      <c r="C930" t="s">
        <v>31</v>
      </c>
      <c r="D930" t="s">
        <v>49</v>
      </c>
      <c r="E930">
        <v>13</v>
      </c>
      <c r="F930" t="s">
        <v>8</v>
      </c>
      <c r="G930" t="s">
        <v>57</v>
      </c>
      <c r="H930" t="s">
        <v>327</v>
      </c>
      <c r="I930" s="3" t="s">
        <v>112</v>
      </c>
      <c r="J930" t="s">
        <v>54</v>
      </c>
      <c r="K930" s="15">
        <v>560000</v>
      </c>
      <c r="L930" s="5" t="str">
        <f t="shared" si="14"/>
        <v>9 - 14</v>
      </c>
    </row>
    <row r="931" spans="3:12" hidden="1">
      <c r="C931" t="s">
        <v>31</v>
      </c>
      <c r="D931" t="s">
        <v>56</v>
      </c>
      <c r="E931">
        <v>7</v>
      </c>
      <c r="F931" t="s">
        <v>8</v>
      </c>
      <c r="G931" t="s">
        <v>57</v>
      </c>
      <c r="H931" t="s">
        <v>327</v>
      </c>
      <c r="I931" s="3" t="s">
        <v>213</v>
      </c>
      <c r="J931" t="s">
        <v>54</v>
      </c>
      <c r="K931" s="15">
        <v>620000</v>
      </c>
      <c r="L931" s="5" t="str">
        <f t="shared" si="14"/>
        <v>5  - 8</v>
      </c>
    </row>
    <row r="932" spans="3:12" hidden="1">
      <c r="C932" t="s">
        <v>31</v>
      </c>
      <c r="D932" t="s">
        <v>73</v>
      </c>
      <c r="E932">
        <v>7</v>
      </c>
      <c r="F932" t="s">
        <v>8</v>
      </c>
      <c r="G932" t="s">
        <v>59</v>
      </c>
      <c r="H932" t="s">
        <v>327</v>
      </c>
      <c r="I932" s="3" t="s">
        <v>220</v>
      </c>
      <c r="J932" t="s">
        <v>66</v>
      </c>
      <c r="K932" s="15">
        <v>760000</v>
      </c>
      <c r="L932" s="5" t="str">
        <f t="shared" si="14"/>
        <v>5  - 8</v>
      </c>
    </row>
    <row r="933" spans="3:12" hidden="1">
      <c r="C933" t="s">
        <v>31</v>
      </c>
      <c r="D933" t="s">
        <v>73</v>
      </c>
      <c r="E933">
        <v>5</v>
      </c>
      <c r="F933" t="s">
        <v>8</v>
      </c>
      <c r="G933" t="s">
        <v>57</v>
      </c>
      <c r="H933" t="s">
        <v>327</v>
      </c>
      <c r="I933" s="3" t="s">
        <v>72</v>
      </c>
      <c r="J933" t="s">
        <v>54</v>
      </c>
      <c r="K933" s="15">
        <v>850000</v>
      </c>
      <c r="L933" s="5" t="str">
        <f t="shared" si="14"/>
        <v>5  - 8</v>
      </c>
    </row>
    <row r="934" spans="3:12" hidden="1">
      <c r="C934" t="s">
        <v>31</v>
      </c>
      <c r="D934" t="s">
        <v>77</v>
      </c>
      <c r="E934">
        <v>3</v>
      </c>
      <c r="F934" t="s">
        <v>8</v>
      </c>
      <c r="G934" t="s">
        <v>51</v>
      </c>
      <c r="H934" t="s">
        <v>327</v>
      </c>
      <c r="I934" s="3" t="s">
        <v>159</v>
      </c>
      <c r="J934" t="s">
        <v>66</v>
      </c>
      <c r="K934" s="15">
        <v>680000</v>
      </c>
      <c r="L934" s="5" t="str">
        <f t="shared" si="14"/>
        <v>0 - 4</v>
      </c>
    </row>
    <row r="935" spans="3:12" hidden="1">
      <c r="C935" t="s">
        <v>31</v>
      </c>
      <c r="D935" t="s">
        <v>80</v>
      </c>
      <c r="E935">
        <v>20</v>
      </c>
      <c r="F935" t="s">
        <v>16</v>
      </c>
      <c r="G935" t="s">
        <v>57</v>
      </c>
      <c r="H935" t="s">
        <v>327</v>
      </c>
      <c r="I935" s="3" t="s">
        <v>328</v>
      </c>
      <c r="J935" t="s">
        <v>54</v>
      </c>
      <c r="K935" s="15">
        <v>934000</v>
      </c>
      <c r="L935" s="5" t="str">
        <f t="shared" si="14"/>
        <v>15 +</v>
      </c>
    </row>
    <row r="936" spans="3:12" hidden="1">
      <c r="C936" t="s">
        <v>30</v>
      </c>
      <c r="D936" t="s">
        <v>80</v>
      </c>
      <c r="E936">
        <v>3</v>
      </c>
      <c r="F936" t="s">
        <v>16</v>
      </c>
      <c r="G936" t="s">
        <v>57</v>
      </c>
      <c r="H936" t="s">
        <v>327</v>
      </c>
      <c r="I936" s="3" t="s">
        <v>310</v>
      </c>
      <c r="J936" t="s">
        <v>54</v>
      </c>
      <c r="K936" s="15">
        <v>480000</v>
      </c>
      <c r="L936" s="5" t="str">
        <f t="shared" si="14"/>
        <v>0 - 4</v>
      </c>
    </row>
    <row r="937" spans="3:12" hidden="1">
      <c r="C937" t="s">
        <v>31</v>
      </c>
      <c r="D937" t="s">
        <v>56</v>
      </c>
      <c r="E937">
        <v>2</v>
      </c>
      <c r="F937" t="s">
        <v>16</v>
      </c>
      <c r="G937" t="s">
        <v>59</v>
      </c>
      <c r="H937" t="s">
        <v>327</v>
      </c>
      <c r="I937" s="3" t="s">
        <v>112</v>
      </c>
      <c r="J937" t="s">
        <v>66</v>
      </c>
      <c r="K937" s="15">
        <v>560000</v>
      </c>
      <c r="L937" s="5" t="str">
        <f t="shared" si="14"/>
        <v>0 - 4</v>
      </c>
    </row>
    <row r="938" spans="3:12" hidden="1">
      <c r="C938" t="s">
        <v>31</v>
      </c>
      <c r="D938" t="s">
        <v>56</v>
      </c>
      <c r="E938">
        <v>8</v>
      </c>
      <c r="F938" t="s">
        <v>19</v>
      </c>
      <c r="G938" t="s">
        <v>51</v>
      </c>
      <c r="H938" t="s">
        <v>327</v>
      </c>
      <c r="I938" s="3" t="s">
        <v>108</v>
      </c>
      <c r="J938" t="s">
        <v>54</v>
      </c>
      <c r="K938" s="15">
        <v>700000</v>
      </c>
      <c r="L938" s="5" t="str">
        <f t="shared" si="14"/>
        <v>5  - 8</v>
      </c>
    </row>
    <row r="939" spans="3:12" hidden="1">
      <c r="C939" t="s">
        <v>31</v>
      </c>
      <c r="D939" t="s">
        <v>56</v>
      </c>
      <c r="E939">
        <v>17</v>
      </c>
      <c r="F939" t="s">
        <v>9</v>
      </c>
      <c r="G939" t="s">
        <v>59</v>
      </c>
      <c r="H939" t="s">
        <v>327</v>
      </c>
      <c r="I939" s="3" t="s">
        <v>126</v>
      </c>
      <c r="J939" t="s">
        <v>66</v>
      </c>
      <c r="K939" s="15">
        <v>925000</v>
      </c>
      <c r="L939" s="5" t="str">
        <f t="shared" si="14"/>
        <v>15 +</v>
      </c>
    </row>
    <row r="940" spans="3:12" hidden="1">
      <c r="C940" t="s">
        <v>31</v>
      </c>
      <c r="D940" t="s">
        <v>73</v>
      </c>
      <c r="E940">
        <v>9</v>
      </c>
      <c r="F940" t="s">
        <v>9</v>
      </c>
      <c r="G940" t="s">
        <v>57</v>
      </c>
      <c r="H940" t="s">
        <v>327</v>
      </c>
      <c r="I940" s="3" t="s">
        <v>233</v>
      </c>
      <c r="J940" t="s">
        <v>66</v>
      </c>
      <c r="K940" s="15">
        <v>830000</v>
      </c>
      <c r="L940" s="5" t="str">
        <f t="shared" si="14"/>
        <v>9 - 14</v>
      </c>
    </row>
    <row r="941" spans="3:12" hidden="1">
      <c r="C941" t="s">
        <v>31</v>
      </c>
      <c r="D941" t="s">
        <v>73</v>
      </c>
      <c r="E941">
        <v>40</v>
      </c>
      <c r="F941" t="s">
        <v>10</v>
      </c>
      <c r="G941" t="s">
        <v>57</v>
      </c>
      <c r="H941" t="s">
        <v>327</v>
      </c>
      <c r="I941" s="36" t="s">
        <v>79</v>
      </c>
      <c r="J941" t="s">
        <v>54</v>
      </c>
      <c r="K941" s="15">
        <v>900000</v>
      </c>
      <c r="L941" s="5" t="str">
        <f t="shared" si="14"/>
        <v>15 +</v>
      </c>
    </row>
    <row r="942" spans="3:12" hidden="1">
      <c r="C942" t="s">
        <v>31</v>
      </c>
      <c r="D942" t="s">
        <v>49</v>
      </c>
      <c r="E942">
        <v>30</v>
      </c>
      <c r="F942" t="s">
        <v>10</v>
      </c>
      <c r="G942" t="s">
        <v>51</v>
      </c>
      <c r="H942" t="s">
        <v>327</v>
      </c>
      <c r="I942" s="36" t="s">
        <v>106</v>
      </c>
      <c r="J942" t="s">
        <v>54</v>
      </c>
      <c r="K942" s="15">
        <v>1100000</v>
      </c>
      <c r="L942" s="5" t="str">
        <f t="shared" si="14"/>
        <v>15 +</v>
      </c>
    </row>
    <row r="943" spans="3:12" hidden="1">
      <c r="C943" t="s">
        <v>31</v>
      </c>
      <c r="D943" t="s">
        <v>77</v>
      </c>
      <c r="E943">
        <v>30</v>
      </c>
      <c r="F943" t="s">
        <v>10</v>
      </c>
      <c r="G943" t="s">
        <v>59</v>
      </c>
      <c r="H943" t="s">
        <v>327</v>
      </c>
      <c r="I943" s="36" t="s">
        <v>175</v>
      </c>
      <c r="J943" t="s">
        <v>66</v>
      </c>
      <c r="K943" s="15">
        <v>1400000</v>
      </c>
      <c r="L943" s="5" t="str">
        <f t="shared" si="14"/>
        <v>15 +</v>
      </c>
    </row>
    <row r="944" spans="3:12" hidden="1">
      <c r="C944" t="s">
        <v>31</v>
      </c>
      <c r="D944" t="s">
        <v>49</v>
      </c>
      <c r="E944">
        <v>27</v>
      </c>
      <c r="F944" t="s">
        <v>10</v>
      </c>
      <c r="G944" t="s">
        <v>57</v>
      </c>
      <c r="H944" t="s">
        <v>327</v>
      </c>
      <c r="I944" s="36" t="s">
        <v>122</v>
      </c>
      <c r="J944" t="s">
        <v>54</v>
      </c>
      <c r="K944" s="15">
        <v>930000</v>
      </c>
      <c r="L944" s="5" t="str">
        <f t="shared" si="14"/>
        <v>15 +</v>
      </c>
    </row>
    <row r="945" spans="3:12" hidden="1">
      <c r="C945" t="s">
        <v>31</v>
      </c>
      <c r="D945" t="s">
        <v>56</v>
      </c>
      <c r="E945">
        <v>26</v>
      </c>
      <c r="F945" t="s">
        <v>10</v>
      </c>
      <c r="G945" t="s">
        <v>51</v>
      </c>
      <c r="H945" t="s">
        <v>327</v>
      </c>
      <c r="I945" s="36" t="s">
        <v>192</v>
      </c>
      <c r="J945" t="s">
        <v>66</v>
      </c>
      <c r="K945" s="15">
        <v>1600000</v>
      </c>
      <c r="L945" s="5" t="str">
        <f t="shared" si="14"/>
        <v>15 +</v>
      </c>
    </row>
    <row r="946" spans="3:12" hidden="1">
      <c r="C946" t="s">
        <v>31</v>
      </c>
      <c r="D946" t="s">
        <v>95</v>
      </c>
      <c r="E946">
        <v>25</v>
      </c>
      <c r="F946" t="s">
        <v>10</v>
      </c>
      <c r="G946" t="s">
        <v>59</v>
      </c>
      <c r="H946" t="s">
        <v>327</v>
      </c>
      <c r="I946" s="36" t="s">
        <v>223</v>
      </c>
      <c r="J946" t="s">
        <v>66</v>
      </c>
      <c r="K946" s="15">
        <v>790000</v>
      </c>
      <c r="L946" s="5" t="str">
        <f t="shared" si="14"/>
        <v>15 +</v>
      </c>
    </row>
    <row r="947" spans="3:12" hidden="1">
      <c r="C947" t="s">
        <v>31</v>
      </c>
      <c r="D947" t="s">
        <v>73</v>
      </c>
      <c r="E947">
        <v>23</v>
      </c>
      <c r="F947" t="s">
        <v>10</v>
      </c>
      <c r="G947" t="s">
        <v>51</v>
      </c>
      <c r="H947" t="s">
        <v>327</v>
      </c>
      <c r="I947" s="36" t="s">
        <v>106</v>
      </c>
      <c r="J947" t="s">
        <v>54</v>
      </c>
      <c r="K947" s="15">
        <v>1100000</v>
      </c>
      <c r="L947" s="5" t="str">
        <f t="shared" si="14"/>
        <v>15 +</v>
      </c>
    </row>
    <row r="948" spans="3:12" hidden="1">
      <c r="C948" t="s">
        <v>31</v>
      </c>
      <c r="D948" t="s">
        <v>49</v>
      </c>
      <c r="E948">
        <v>23</v>
      </c>
      <c r="F948" t="s">
        <v>10</v>
      </c>
      <c r="G948" t="s">
        <v>59</v>
      </c>
      <c r="H948" t="s">
        <v>327</v>
      </c>
      <c r="I948" s="36" t="s">
        <v>61</v>
      </c>
      <c r="J948" t="s">
        <v>66</v>
      </c>
      <c r="K948" s="15">
        <v>1200000</v>
      </c>
      <c r="L948" s="5" t="str">
        <f t="shared" si="14"/>
        <v>15 +</v>
      </c>
    </row>
    <row r="949" spans="3:12" hidden="1">
      <c r="C949" t="s">
        <v>31</v>
      </c>
      <c r="D949" t="s">
        <v>55</v>
      </c>
      <c r="E949">
        <v>20</v>
      </c>
      <c r="F949" t="s">
        <v>10</v>
      </c>
      <c r="G949" t="s">
        <v>51</v>
      </c>
      <c r="H949" t="s">
        <v>327</v>
      </c>
      <c r="I949" s="36" t="s">
        <v>129</v>
      </c>
      <c r="J949" t="s">
        <v>66</v>
      </c>
      <c r="K949" s="15">
        <v>1150000</v>
      </c>
      <c r="L949" s="5" t="str">
        <f t="shared" si="14"/>
        <v>15 +</v>
      </c>
    </row>
    <row r="950" spans="3:12" hidden="1">
      <c r="C950" t="s">
        <v>31</v>
      </c>
      <c r="D950" t="s">
        <v>55</v>
      </c>
      <c r="E950">
        <v>20</v>
      </c>
      <c r="F950" t="s">
        <v>10</v>
      </c>
      <c r="G950" t="s">
        <v>127</v>
      </c>
      <c r="H950" t="s">
        <v>327</v>
      </c>
      <c r="I950" s="36" t="s">
        <v>329</v>
      </c>
      <c r="J950" t="s">
        <v>54</v>
      </c>
      <c r="K950" s="15">
        <v>2200000</v>
      </c>
      <c r="L950" s="5" t="str">
        <f t="shared" si="14"/>
        <v>15 +</v>
      </c>
    </row>
    <row r="951" spans="3:12" hidden="1">
      <c r="C951" t="s">
        <v>31</v>
      </c>
      <c r="D951" t="s">
        <v>73</v>
      </c>
      <c r="E951">
        <v>19</v>
      </c>
      <c r="F951" t="s">
        <v>10</v>
      </c>
      <c r="G951" t="s">
        <v>59</v>
      </c>
      <c r="H951" t="s">
        <v>327</v>
      </c>
      <c r="I951" s="36" t="s">
        <v>129</v>
      </c>
      <c r="J951" t="s">
        <v>66</v>
      </c>
      <c r="K951" s="15">
        <v>1150000</v>
      </c>
      <c r="L951" s="5" t="str">
        <f t="shared" si="14"/>
        <v>15 +</v>
      </c>
    </row>
    <row r="952" spans="3:12" hidden="1">
      <c r="C952" t="s">
        <v>31</v>
      </c>
      <c r="D952" t="s">
        <v>55</v>
      </c>
      <c r="E952">
        <v>18</v>
      </c>
      <c r="F952" t="s">
        <v>10</v>
      </c>
      <c r="G952" t="s">
        <v>57</v>
      </c>
      <c r="H952" t="s">
        <v>327</v>
      </c>
      <c r="I952" s="36" t="s">
        <v>330</v>
      </c>
      <c r="J952" t="s">
        <v>54</v>
      </c>
      <c r="K952" s="15">
        <v>966000</v>
      </c>
      <c r="L952" s="5" t="str">
        <f t="shared" si="14"/>
        <v>15 +</v>
      </c>
    </row>
    <row r="953" spans="3:12" hidden="1">
      <c r="C953" t="s">
        <v>31</v>
      </c>
      <c r="D953" t="s">
        <v>56</v>
      </c>
      <c r="E953">
        <v>18</v>
      </c>
      <c r="F953" t="s">
        <v>10</v>
      </c>
      <c r="G953" t="s">
        <v>59</v>
      </c>
      <c r="H953" t="s">
        <v>327</v>
      </c>
      <c r="I953" s="36" t="s">
        <v>110</v>
      </c>
      <c r="J953" t="s">
        <v>66</v>
      </c>
      <c r="K953" s="15">
        <v>1000000</v>
      </c>
      <c r="L953" s="5" t="str">
        <f t="shared" si="14"/>
        <v>15 +</v>
      </c>
    </row>
    <row r="954" spans="3:12" hidden="1">
      <c r="C954" t="s">
        <v>31</v>
      </c>
      <c r="D954" t="s">
        <v>88</v>
      </c>
      <c r="E954">
        <v>18</v>
      </c>
      <c r="F954" t="s">
        <v>10</v>
      </c>
      <c r="G954" t="s">
        <v>51</v>
      </c>
      <c r="H954" t="s">
        <v>327</v>
      </c>
      <c r="I954" s="36" t="s">
        <v>61</v>
      </c>
      <c r="J954" t="s">
        <v>54</v>
      </c>
      <c r="K954" s="15">
        <v>1200000</v>
      </c>
      <c r="L954" s="5" t="str">
        <f t="shared" si="14"/>
        <v>15 +</v>
      </c>
    </row>
    <row r="955" spans="3:12" hidden="1">
      <c r="C955" t="s">
        <v>31</v>
      </c>
      <c r="D955" t="s">
        <v>73</v>
      </c>
      <c r="E955">
        <v>18</v>
      </c>
      <c r="F955" t="s">
        <v>10</v>
      </c>
      <c r="G955" t="s">
        <v>59</v>
      </c>
      <c r="H955" t="s">
        <v>327</v>
      </c>
      <c r="I955" s="36" t="s">
        <v>331</v>
      </c>
      <c r="J955" t="s">
        <v>66</v>
      </c>
      <c r="K955" s="15">
        <v>1254100</v>
      </c>
      <c r="L955" s="5" t="str">
        <f t="shared" si="14"/>
        <v>15 +</v>
      </c>
    </row>
    <row r="956" spans="3:12" hidden="1">
      <c r="C956" t="s">
        <v>31</v>
      </c>
      <c r="D956" t="s">
        <v>77</v>
      </c>
      <c r="E956">
        <v>17</v>
      </c>
      <c r="F956" t="s">
        <v>10</v>
      </c>
      <c r="G956" t="s">
        <v>59</v>
      </c>
      <c r="H956" t="s">
        <v>327</v>
      </c>
      <c r="I956" s="36" t="s">
        <v>106</v>
      </c>
      <c r="J956" t="s">
        <v>66</v>
      </c>
      <c r="K956" s="15">
        <v>1100000</v>
      </c>
      <c r="L956" s="5" t="str">
        <f t="shared" si="14"/>
        <v>15 +</v>
      </c>
    </row>
    <row r="957" spans="3:12" hidden="1">
      <c r="C957" t="s">
        <v>31</v>
      </c>
      <c r="D957" t="s">
        <v>73</v>
      </c>
      <c r="E957">
        <v>16</v>
      </c>
      <c r="F957" t="s">
        <v>10</v>
      </c>
      <c r="G957" t="s">
        <v>51</v>
      </c>
      <c r="H957" t="s">
        <v>327</v>
      </c>
      <c r="I957" s="36" t="s">
        <v>332</v>
      </c>
      <c r="J957" t="s">
        <v>66</v>
      </c>
      <c r="K957" s="15">
        <v>1128877</v>
      </c>
      <c r="L957" s="5" t="str">
        <f t="shared" si="14"/>
        <v>15 +</v>
      </c>
    </row>
    <row r="958" spans="3:12" hidden="1">
      <c r="C958" t="s">
        <v>31</v>
      </c>
      <c r="D958" t="s">
        <v>56</v>
      </c>
      <c r="E958">
        <v>15</v>
      </c>
      <c r="F958" t="s">
        <v>10</v>
      </c>
      <c r="G958" t="s">
        <v>59</v>
      </c>
      <c r="H958" t="s">
        <v>327</v>
      </c>
      <c r="I958" s="36" t="s">
        <v>108</v>
      </c>
      <c r="J958" t="s">
        <v>54</v>
      </c>
      <c r="K958" s="15">
        <v>700000</v>
      </c>
      <c r="L958" s="5" t="str">
        <f t="shared" si="14"/>
        <v>15 +</v>
      </c>
    </row>
    <row r="959" spans="3:12" hidden="1">
      <c r="C959" t="s">
        <v>31</v>
      </c>
      <c r="D959" t="s">
        <v>73</v>
      </c>
      <c r="E959">
        <v>15</v>
      </c>
      <c r="F959" t="s">
        <v>10</v>
      </c>
      <c r="G959" t="s">
        <v>59</v>
      </c>
      <c r="H959" t="s">
        <v>327</v>
      </c>
      <c r="I959" s="36" t="s">
        <v>116</v>
      </c>
      <c r="J959" t="s">
        <v>54</v>
      </c>
      <c r="K959" s="15">
        <v>800000</v>
      </c>
      <c r="L959" s="5" t="str">
        <f t="shared" si="14"/>
        <v>15 +</v>
      </c>
    </row>
    <row r="960" spans="3:12" hidden="1">
      <c r="C960" t="s">
        <v>31</v>
      </c>
      <c r="D960" t="s">
        <v>77</v>
      </c>
      <c r="E960">
        <v>15</v>
      </c>
      <c r="F960" t="s">
        <v>10</v>
      </c>
      <c r="G960" t="s">
        <v>59</v>
      </c>
      <c r="H960" t="s">
        <v>327</v>
      </c>
      <c r="I960" s="36" t="s">
        <v>236</v>
      </c>
      <c r="J960" t="s">
        <v>66</v>
      </c>
      <c r="K960" s="15">
        <v>1190000</v>
      </c>
      <c r="L960" s="5" t="str">
        <f t="shared" si="14"/>
        <v>15 +</v>
      </c>
    </row>
    <row r="961" spans="3:12" hidden="1">
      <c r="C961" t="s">
        <v>31</v>
      </c>
      <c r="D961" t="s">
        <v>80</v>
      </c>
      <c r="E961">
        <v>14</v>
      </c>
      <c r="F961" t="s">
        <v>10</v>
      </c>
      <c r="G961" t="s">
        <v>59</v>
      </c>
      <c r="H961" t="s">
        <v>327</v>
      </c>
      <c r="I961" s="3" t="s">
        <v>110</v>
      </c>
      <c r="J961" t="s">
        <v>54</v>
      </c>
      <c r="K961" s="15">
        <v>1000000</v>
      </c>
      <c r="L961" s="5" t="str">
        <f t="shared" si="14"/>
        <v>9 - 14</v>
      </c>
    </row>
    <row r="962" spans="3:12" hidden="1">
      <c r="C962" t="s">
        <v>31</v>
      </c>
      <c r="D962" t="s">
        <v>55</v>
      </c>
      <c r="E962">
        <v>13</v>
      </c>
      <c r="F962" t="s">
        <v>10</v>
      </c>
      <c r="G962" t="s">
        <v>51</v>
      </c>
      <c r="H962" t="s">
        <v>327</v>
      </c>
      <c r="I962" s="3" t="s">
        <v>184</v>
      </c>
      <c r="J962" t="s">
        <v>54</v>
      </c>
      <c r="K962" s="15">
        <v>1350000</v>
      </c>
      <c r="L962" s="5" t="str">
        <f t="shared" si="14"/>
        <v>9 - 14</v>
      </c>
    </row>
    <row r="963" spans="3:12" hidden="1">
      <c r="C963" t="s">
        <v>31</v>
      </c>
      <c r="D963" t="s">
        <v>73</v>
      </c>
      <c r="E963">
        <v>12</v>
      </c>
      <c r="F963" t="s">
        <v>10</v>
      </c>
      <c r="G963" t="s">
        <v>59</v>
      </c>
      <c r="H963" t="s">
        <v>327</v>
      </c>
      <c r="I963" s="3" t="s">
        <v>165</v>
      </c>
      <c r="J963" t="s">
        <v>54</v>
      </c>
      <c r="K963" s="15">
        <v>720000</v>
      </c>
      <c r="L963" s="5" t="str">
        <f t="shared" ref="L963:L1026" si="15">_xlfn.XLOOKUP(E963,$P$2:$P$5,$O$2:$O$5,,1)</f>
        <v>9 - 14</v>
      </c>
    </row>
    <row r="964" spans="3:12" hidden="1">
      <c r="C964" t="s">
        <v>31</v>
      </c>
      <c r="D964" t="s">
        <v>55</v>
      </c>
      <c r="E964">
        <v>12</v>
      </c>
      <c r="F964" t="s">
        <v>10</v>
      </c>
      <c r="G964" t="s">
        <v>59</v>
      </c>
      <c r="H964" t="s">
        <v>327</v>
      </c>
      <c r="I964" s="3" t="s">
        <v>239</v>
      </c>
      <c r="J964" t="s">
        <v>54</v>
      </c>
      <c r="K964" s="15">
        <v>1080000</v>
      </c>
      <c r="L964" s="5" t="str">
        <f t="shared" si="15"/>
        <v>9 - 14</v>
      </c>
    </row>
    <row r="965" spans="3:12" hidden="1">
      <c r="C965" t="s">
        <v>31</v>
      </c>
      <c r="D965" t="s">
        <v>73</v>
      </c>
      <c r="E965">
        <v>11</v>
      </c>
      <c r="F965" t="s">
        <v>10</v>
      </c>
      <c r="G965" t="s">
        <v>51</v>
      </c>
      <c r="H965" t="s">
        <v>327</v>
      </c>
      <c r="I965" s="3" t="s">
        <v>130</v>
      </c>
      <c r="J965" t="s">
        <v>54</v>
      </c>
      <c r="K965" s="15">
        <v>950000</v>
      </c>
      <c r="L965" s="5" t="str">
        <f t="shared" si="15"/>
        <v>9 - 14</v>
      </c>
    </row>
    <row r="966" spans="3:12" hidden="1">
      <c r="C966" t="s">
        <v>31</v>
      </c>
      <c r="D966" t="s">
        <v>56</v>
      </c>
      <c r="E966">
        <v>11</v>
      </c>
      <c r="F966" t="s">
        <v>10</v>
      </c>
      <c r="G966" t="s">
        <v>51</v>
      </c>
      <c r="H966" t="s">
        <v>327</v>
      </c>
      <c r="I966" s="3" t="s">
        <v>298</v>
      </c>
      <c r="J966" t="s">
        <v>54</v>
      </c>
      <c r="K966" s="15">
        <v>975000</v>
      </c>
      <c r="L966" s="5" t="str">
        <f t="shared" si="15"/>
        <v>9 - 14</v>
      </c>
    </row>
    <row r="967" spans="3:12" hidden="1">
      <c r="C967" t="s">
        <v>31</v>
      </c>
      <c r="D967" t="s">
        <v>56</v>
      </c>
      <c r="E967">
        <v>10</v>
      </c>
      <c r="F967" t="s">
        <v>10</v>
      </c>
      <c r="G967" t="s">
        <v>57</v>
      </c>
      <c r="H967" t="s">
        <v>327</v>
      </c>
      <c r="I967" s="3" t="s">
        <v>220</v>
      </c>
      <c r="J967" t="s">
        <v>54</v>
      </c>
      <c r="K967" s="15">
        <v>760000</v>
      </c>
      <c r="L967" s="5" t="str">
        <f t="shared" si="15"/>
        <v>9 - 14</v>
      </c>
    </row>
    <row r="968" spans="3:12" hidden="1">
      <c r="C968" t="s">
        <v>31</v>
      </c>
      <c r="D968" t="s">
        <v>55</v>
      </c>
      <c r="E968">
        <v>10</v>
      </c>
      <c r="F968" t="s">
        <v>10</v>
      </c>
      <c r="G968" t="s">
        <v>51</v>
      </c>
      <c r="H968" t="s">
        <v>327</v>
      </c>
      <c r="I968" s="3" t="s">
        <v>79</v>
      </c>
      <c r="J968" t="s">
        <v>66</v>
      </c>
      <c r="K968" s="15">
        <v>900000</v>
      </c>
      <c r="L968" s="5" t="str">
        <f t="shared" si="15"/>
        <v>9 - 14</v>
      </c>
    </row>
    <row r="969" spans="3:12" hidden="1">
      <c r="C969" t="s">
        <v>31</v>
      </c>
      <c r="D969" t="s">
        <v>77</v>
      </c>
      <c r="E969">
        <v>10</v>
      </c>
      <c r="F969" t="s">
        <v>10</v>
      </c>
      <c r="G969" t="s">
        <v>59</v>
      </c>
      <c r="H969" t="s">
        <v>327</v>
      </c>
      <c r="I969" s="3" t="s">
        <v>61</v>
      </c>
      <c r="J969" t="s">
        <v>66</v>
      </c>
      <c r="K969" s="15">
        <v>1200000</v>
      </c>
      <c r="L969" s="5" t="str">
        <f t="shared" si="15"/>
        <v>9 - 14</v>
      </c>
    </row>
    <row r="970" spans="3:12" hidden="1">
      <c r="C970" t="s">
        <v>31</v>
      </c>
      <c r="D970" t="s">
        <v>77</v>
      </c>
      <c r="E970">
        <v>10</v>
      </c>
      <c r="F970" t="s">
        <v>10</v>
      </c>
      <c r="G970" t="s">
        <v>59</v>
      </c>
      <c r="H970" t="s">
        <v>327</v>
      </c>
      <c r="I970" s="3" t="s">
        <v>182</v>
      </c>
      <c r="J970" t="s">
        <v>66</v>
      </c>
      <c r="K970" s="15">
        <v>1450000</v>
      </c>
      <c r="L970" s="5" t="str">
        <f t="shared" si="15"/>
        <v>9 - 14</v>
      </c>
    </row>
    <row r="971" spans="3:12" hidden="1">
      <c r="C971" t="s">
        <v>31</v>
      </c>
      <c r="D971" t="s">
        <v>49</v>
      </c>
      <c r="E971">
        <v>9</v>
      </c>
      <c r="F971" t="s">
        <v>10</v>
      </c>
      <c r="G971" t="s">
        <v>57</v>
      </c>
      <c r="H971" t="s">
        <v>327</v>
      </c>
      <c r="I971" s="3" t="s">
        <v>333</v>
      </c>
      <c r="J971" t="s">
        <v>54</v>
      </c>
      <c r="K971" s="15">
        <v>691000</v>
      </c>
      <c r="L971" s="5" t="str">
        <f t="shared" si="15"/>
        <v>9 - 14</v>
      </c>
    </row>
    <row r="972" spans="3:12" hidden="1">
      <c r="C972" t="s">
        <v>31</v>
      </c>
      <c r="D972" t="s">
        <v>73</v>
      </c>
      <c r="E972">
        <v>9</v>
      </c>
      <c r="F972" t="s">
        <v>10</v>
      </c>
      <c r="G972" t="s">
        <v>57</v>
      </c>
      <c r="H972" t="s">
        <v>327</v>
      </c>
      <c r="I972" s="3" t="s">
        <v>148</v>
      </c>
      <c r="J972" t="s">
        <v>54</v>
      </c>
      <c r="K972" s="15">
        <v>1050000</v>
      </c>
      <c r="L972" s="5" t="str">
        <f t="shared" si="15"/>
        <v>9 - 14</v>
      </c>
    </row>
    <row r="973" spans="3:12" hidden="1">
      <c r="C973" t="s">
        <v>31</v>
      </c>
      <c r="D973" t="s">
        <v>55</v>
      </c>
      <c r="E973">
        <v>9</v>
      </c>
      <c r="F973" t="s">
        <v>10</v>
      </c>
      <c r="G973" t="s">
        <v>51</v>
      </c>
      <c r="H973" t="s">
        <v>327</v>
      </c>
      <c r="I973" s="3" t="s">
        <v>334</v>
      </c>
      <c r="J973" t="s">
        <v>54</v>
      </c>
      <c r="K973" s="15">
        <v>1078000</v>
      </c>
      <c r="L973" s="5" t="str">
        <f t="shared" si="15"/>
        <v>9 - 14</v>
      </c>
    </row>
    <row r="974" spans="3:12" hidden="1">
      <c r="C974" t="s">
        <v>31</v>
      </c>
      <c r="D974" t="s">
        <v>77</v>
      </c>
      <c r="E974">
        <v>8</v>
      </c>
      <c r="F974" t="s">
        <v>10</v>
      </c>
      <c r="G974" t="s">
        <v>57</v>
      </c>
      <c r="H974" t="s">
        <v>327</v>
      </c>
      <c r="I974" s="3" t="s">
        <v>130</v>
      </c>
      <c r="J974" t="s">
        <v>54</v>
      </c>
      <c r="K974" s="15">
        <v>950000</v>
      </c>
      <c r="L974" s="5" t="str">
        <f t="shared" si="15"/>
        <v>5  - 8</v>
      </c>
    </row>
    <row r="975" spans="3:12" hidden="1">
      <c r="C975" t="s">
        <v>31</v>
      </c>
      <c r="D975" t="s">
        <v>50</v>
      </c>
      <c r="E975">
        <v>8</v>
      </c>
      <c r="F975" t="s">
        <v>10</v>
      </c>
      <c r="G975" t="s">
        <v>59</v>
      </c>
      <c r="H975" t="s">
        <v>327</v>
      </c>
      <c r="I975" s="3" t="s">
        <v>110</v>
      </c>
      <c r="J975" t="s">
        <v>54</v>
      </c>
      <c r="K975" s="15">
        <v>1000000</v>
      </c>
      <c r="L975" s="5" t="str">
        <f t="shared" si="15"/>
        <v>5  - 8</v>
      </c>
    </row>
    <row r="976" spans="3:12" hidden="1">
      <c r="C976" t="s">
        <v>31</v>
      </c>
      <c r="D976" t="s">
        <v>56</v>
      </c>
      <c r="E976">
        <v>8</v>
      </c>
      <c r="F976" t="s">
        <v>10</v>
      </c>
      <c r="G976" t="s">
        <v>59</v>
      </c>
      <c r="H976" t="s">
        <v>327</v>
      </c>
      <c r="I976" s="3" t="s">
        <v>106</v>
      </c>
      <c r="J976" t="s">
        <v>66</v>
      </c>
      <c r="K976" s="15">
        <v>1100000</v>
      </c>
      <c r="L976" s="5" t="str">
        <f t="shared" si="15"/>
        <v>5  - 8</v>
      </c>
    </row>
    <row r="977" spans="3:12" hidden="1">
      <c r="C977" t="s">
        <v>31</v>
      </c>
      <c r="D977" t="s">
        <v>73</v>
      </c>
      <c r="E977">
        <v>8</v>
      </c>
      <c r="F977" t="s">
        <v>10</v>
      </c>
      <c r="G977" t="s">
        <v>59</v>
      </c>
      <c r="H977" t="s">
        <v>327</v>
      </c>
      <c r="I977" s="3" t="s">
        <v>335</v>
      </c>
      <c r="J977" t="s">
        <v>66</v>
      </c>
      <c r="K977" s="15">
        <v>1125000</v>
      </c>
      <c r="L977" s="5" t="str">
        <f t="shared" si="15"/>
        <v>5  - 8</v>
      </c>
    </row>
    <row r="978" spans="3:12" hidden="1">
      <c r="C978" t="s">
        <v>31</v>
      </c>
      <c r="D978" t="s">
        <v>49</v>
      </c>
      <c r="E978">
        <v>7</v>
      </c>
      <c r="F978" t="s">
        <v>10</v>
      </c>
      <c r="G978" t="s">
        <v>59</v>
      </c>
      <c r="H978" t="s">
        <v>327</v>
      </c>
      <c r="I978" s="3" t="s">
        <v>336</v>
      </c>
      <c r="J978" t="s">
        <v>54</v>
      </c>
      <c r="K978" s="15">
        <v>985000</v>
      </c>
      <c r="L978" s="5" t="str">
        <f t="shared" si="15"/>
        <v>5  - 8</v>
      </c>
    </row>
    <row r="979" spans="3:12" hidden="1">
      <c r="C979" t="s">
        <v>31</v>
      </c>
      <c r="D979" t="s">
        <v>73</v>
      </c>
      <c r="E979">
        <v>7</v>
      </c>
      <c r="F979" t="s">
        <v>10</v>
      </c>
      <c r="G979" t="s">
        <v>59</v>
      </c>
      <c r="H979" t="s">
        <v>327</v>
      </c>
      <c r="I979" s="3" t="s">
        <v>235</v>
      </c>
      <c r="J979" t="s">
        <v>66</v>
      </c>
      <c r="K979" s="15">
        <v>1020000</v>
      </c>
      <c r="L979" s="5" t="str">
        <f t="shared" si="15"/>
        <v>5  - 8</v>
      </c>
    </row>
    <row r="980" spans="3:12" hidden="1">
      <c r="C980" t="s">
        <v>31</v>
      </c>
      <c r="D980" t="s">
        <v>55</v>
      </c>
      <c r="E980">
        <v>7</v>
      </c>
      <c r="F980" t="s">
        <v>10</v>
      </c>
      <c r="G980" t="s">
        <v>127</v>
      </c>
      <c r="H980" t="s">
        <v>327</v>
      </c>
      <c r="I980" s="3" t="s">
        <v>61</v>
      </c>
      <c r="J980" t="s">
        <v>66</v>
      </c>
      <c r="K980" s="15">
        <v>1200000</v>
      </c>
      <c r="L980" s="5" t="str">
        <f t="shared" si="15"/>
        <v>5  - 8</v>
      </c>
    </row>
    <row r="981" spans="3:12" hidden="1">
      <c r="C981" t="s">
        <v>31</v>
      </c>
      <c r="D981" t="s">
        <v>55</v>
      </c>
      <c r="E981">
        <v>7</v>
      </c>
      <c r="F981" t="s">
        <v>10</v>
      </c>
      <c r="G981" t="s">
        <v>59</v>
      </c>
      <c r="H981" t="s">
        <v>327</v>
      </c>
      <c r="I981" s="3" t="s">
        <v>173</v>
      </c>
      <c r="J981" t="s">
        <v>66</v>
      </c>
      <c r="K981" s="15">
        <v>1250000</v>
      </c>
      <c r="L981" s="5" t="str">
        <f t="shared" si="15"/>
        <v>5  - 8</v>
      </c>
    </row>
    <row r="982" spans="3:12" hidden="1">
      <c r="C982" t="s">
        <v>30</v>
      </c>
      <c r="D982" t="s">
        <v>62</v>
      </c>
      <c r="E982">
        <v>6</v>
      </c>
      <c r="F982" t="s">
        <v>10</v>
      </c>
      <c r="G982" t="s">
        <v>51</v>
      </c>
      <c r="H982" t="s">
        <v>327</v>
      </c>
      <c r="I982" s="3" t="s">
        <v>79</v>
      </c>
      <c r="J982" t="s">
        <v>66</v>
      </c>
      <c r="K982" s="15">
        <v>900000</v>
      </c>
      <c r="L982" s="5" t="str">
        <f t="shared" si="15"/>
        <v>5  - 8</v>
      </c>
    </row>
    <row r="983" spans="3:12" hidden="1">
      <c r="C983" t="s">
        <v>31</v>
      </c>
      <c r="D983" t="s">
        <v>80</v>
      </c>
      <c r="E983">
        <v>6</v>
      </c>
      <c r="F983" t="s">
        <v>10</v>
      </c>
      <c r="G983" t="s">
        <v>57</v>
      </c>
      <c r="H983" t="s">
        <v>327</v>
      </c>
      <c r="I983" s="3" t="s">
        <v>85</v>
      </c>
      <c r="J983" t="s">
        <v>54</v>
      </c>
      <c r="K983" s="15">
        <v>650000</v>
      </c>
      <c r="L983" s="5" t="str">
        <f t="shared" si="15"/>
        <v>5  - 8</v>
      </c>
    </row>
    <row r="984" spans="3:12" hidden="1">
      <c r="C984" t="s">
        <v>31</v>
      </c>
      <c r="D984" t="s">
        <v>73</v>
      </c>
      <c r="E984">
        <v>6</v>
      </c>
      <c r="F984" t="s">
        <v>10</v>
      </c>
      <c r="G984" t="s">
        <v>51</v>
      </c>
      <c r="H984" t="s">
        <v>327</v>
      </c>
      <c r="I984" s="3" t="s">
        <v>130</v>
      </c>
      <c r="J984" t="s">
        <v>54</v>
      </c>
      <c r="K984" s="15">
        <v>950000</v>
      </c>
      <c r="L984" s="5" t="str">
        <f t="shared" si="15"/>
        <v>5  - 8</v>
      </c>
    </row>
    <row r="985" spans="3:12" hidden="1">
      <c r="C985" t="s">
        <v>31</v>
      </c>
      <c r="D985" t="s">
        <v>55</v>
      </c>
      <c r="E985">
        <v>5</v>
      </c>
      <c r="F985" t="s">
        <v>10</v>
      </c>
      <c r="G985" t="s">
        <v>57</v>
      </c>
      <c r="H985" t="s">
        <v>327</v>
      </c>
      <c r="I985" s="3" t="s">
        <v>120</v>
      </c>
      <c r="J985" t="s">
        <v>54</v>
      </c>
      <c r="K985" s="15">
        <v>740000</v>
      </c>
      <c r="L985" s="5" t="str">
        <f t="shared" si="15"/>
        <v>5  - 8</v>
      </c>
    </row>
    <row r="986" spans="3:12" hidden="1">
      <c r="C986" t="s">
        <v>31</v>
      </c>
      <c r="D986" t="s">
        <v>80</v>
      </c>
      <c r="E986">
        <v>5</v>
      </c>
      <c r="F986" t="s">
        <v>10</v>
      </c>
      <c r="G986" t="s">
        <v>59</v>
      </c>
      <c r="H986" t="s">
        <v>327</v>
      </c>
      <c r="I986" s="3" t="s">
        <v>69</v>
      </c>
      <c r="J986" t="s">
        <v>54</v>
      </c>
      <c r="K986" s="15">
        <v>750000</v>
      </c>
      <c r="L986" s="5" t="str">
        <f t="shared" si="15"/>
        <v>5  - 8</v>
      </c>
    </row>
    <row r="987" spans="3:12" hidden="1">
      <c r="C987" t="s">
        <v>31</v>
      </c>
      <c r="D987" t="s">
        <v>73</v>
      </c>
      <c r="E987">
        <v>5</v>
      </c>
      <c r="F987" t="s">
        <v>10</v>
      </c>
      <c r="G987" t="s">
        <v>51</v>
      </c>
      <c r="H987" t="s">
        <v>327</v>
      </c>
      <c r="I987" s="3" t="s">
        <v>156</v>
      </c>
      <c r="J987" t="s">
        <v>54</v>
      </c>
      <c r="K987" s="15">
        <v>770000</v>
      </c>
      <c r="L987" s="5" t="str">
        <f t="shared" si="15"/>
        <v>5  - 8</v>
      </c>
    </row>
    <row r="988" spans="3:12" hidden="1">
      <c r="C988" t="s">
        <v>31</v>
      </c>
      <c r="D988" t="s">
        <v>73</v>
      </c>
      <c r="E988">
        <v>5</v>
      </c>
      <c r="F988" t="s">
        <v>10</v>
      </c>
      <c r="G988" t="s">
        <v>51</v>
      </c>
      <c r="H988" t="s">
        <v>327</v>
      </c>
      <c r="I988" s="3" t="s">
        <v>135</v>
      </c>
      <c r="J988" t="s">
        <v>66</v>
      </c>
      <c r="K988" s="15">
        <v>840000</v>
      </c>
      <c r="L988" s="5" t="str">
        <f t="shared" si="15"/>
        <v>5  - 8</v>
      </c>
    </row>
    <row r="989" spans="3:12" hidden="1">
      <c r="C989" t="s">
        <v>31</v>
      </c>
      <c r="D989" t="s">
        <v>55</v>
      </c>
      <c r="E989">
        <v>5</v>
      </c>
      <c r="F989" t="s">
        <v>10</v>
      </c>
      <c r="G989" t="s">
        <v>59</v>
      </c>
      <c r="H989" t="s">
        <v>327</v>
      </c>
      <c r="I989" s="3" t="s">
        <v>72</v>
      </c>
      <c r="J989" t="s">
        <v>66</v>
      </c>
      <c r="K989" s="15">
        <v>850000</v>
      </c>
      <c r="L989" s="5" t="str">
        <f t="shared" si="15"/>
        <v>5  - 8</v>
      </c>
    </row>
    <row r="990" spans="3:12" hidden="1">
      <c r="C990" t="s">
        <v>31</v>
      </c>
      <c r="D990" t="s">
        <v>55</v>
      </c>
      <c r="E990">
        <v>5</v>
      </c>
      <c r="F990" t="s">
        <v>10</v>
      </c>
      <c r="G990" t="s">
        <v>59</v>
      </c>
      <c r="H990" t="s">
        <v>327</v>
      </c>
      <c r="I990" s="3" t="s">
        <v>168</v>
      </c>
      <c r="J990" t="s">
        <v>66</v>
      </c>
      <c r="K990" s="15">
        <v>880000</v>
      </c>
      <c r="L990" s="5" t="str">
        <f t="shared" si="15"/>
        <v>5  - 8</v>
      </c>
    </row>
    <row r="991" spans="3:12" hidden="1">
      <c r="C991" t="s">
        <v>31</v>
      </c>
      <c r="D991" t="s">
        <v>73</v>
      </c>
      <c r="E991">
        <v>5</v>
      </c>
      <c r="F991" t="s">
        <v>10</v>
      </c>
      <c r="G991" t="s">
        <v>51</v>
      </c>
      <c r="H991" t="s">
        <v>327</v>
      </c>
      <c r="I991" s="3" t="s">
        <v>122</v>
      </c>
      <c r="J991" t="s">
        <v>54</v>
      </c>
      <c r="K991" s="15">
        <v>930000</v>
      </c>
      <c r="L991" s="5" t="str">
        <f t="shared" si="15"/>
        <v>5  - 8</v>
      </c>
    </row>
    <row r="992" spans="3:12" hidden="1">
      <c r="C992" t="s">
        <v>31</v>
      </c>
      <c r="D992" t="s">
        <v>55</v>
      </c>
      <c r="E992">
        <v>5</v>
      </c>
      <c r="F992" t="s">
        <v>10</v>
      </c>
      <c r="G992" t="s">
        <v>59</v>
      </c>
      <c r="H992" t="s">
        <v>327</v>
      </c>
      <c r="I992" s="3" t="s">
        <v>141</v>
      </c>
      <c r="J992" t="s">
        <v>66</v>
      </c>
      <c r="K992" s="15">
        <v>940000</v>
      </c>
      <c r="L992" s="5" t="str">
        <f t="shared" si="15"/>
        <v>5  - 8</v>
      </c>
    </row>
    <row r="993" spans="3:12" hidden="1">
      <c r="C993" t="s">
        <v>31</v>
      </c>
      <c r="D993" t="s">
        <v>73</v>
      </c>
      <c r="E993">
        <v>5</v>
      </c>
      <c r="F993" t="s">
        <v>10</v>
      </c>
      <c r="G993" t="s">
        <v>59</v>
      </c>
      <c r="H993" t="s">
        <v>327</v>
      </c>
      <c r="I993" s="3" t="s">
        <v>130</v>
      </c>
      <c r="J993" t="s">
        <v>66</v>
      </c>
      <c r="K993" s="15">
        <v>950000</v>
      </c>
      <c r="L993" s="5" t="str">
        <f t="shared" si="15"/>
        <v>5  - 8</v>
      </c>
    </row>
    <row r="994" spans="3:12" hidden="1">
      <c r="C994" t="s">
        <v>31</v>
      </c>
      <c r="D994" t="s">
        <v>55</v>
      </c>
      <c r="E994">
        <v>5</v>
      </c>
      <c r="F994" t="s">
        <v>10</v>
      </c>
      <c r="G994" t="s">
        <v>59</v>
      </c>
      <c r="H994" t="s">
        <v>327</v>
      </c>
      <c r="I994" s="3" t="s">
        <v>130</v>
      </c>
      <c r="J994" t="s">
        <v>66</v>
      </c>
      <c r="K994" s="15">
        <v>950000</v>
      </c>
      <c r="L994" s="5" t="str">
        <f t="shared" si="15"/>
        <v>5  - 8</v>
      </c>
    </row>
    <row r="995" spans="3:12" hidden="1">
      <c r="C995" t="s">
        <v>31</v>
      </c>
      <c r="D995" t="s">
        <v>55</v>
      </c>
      <c r="E995">
        <v>5</v>
      </c>
      <c r="F995" t="s">
        <v>10</v>
      </c>
      <c r="G995" t="s">
        <v>51</v>
      </c>
      <c r="H995" t="s">
        <v>327</v>
      </c>
      <c r="I995" s="3" t="s">
        <v>133</v>
      </c>
      <c r="J995" t="s">
        <v>54</v>
      </c>
      <c r="K995" s="15">
        <v>960000</v>
      </c>
      <c r="L995" s="5" t="str">
        <f t="shared" si="15"/>
        <v>5  - 8</v>
      </c>
    </row>
    <row r="996" spans="3:12" hidden="1">
      <c r="C996" t="s">
        <v>31</v>
      </c>
      <c r="D996" t="s">
        <v>55</v>
      </c>
      <c r="E996">
        <v>5</v>
      </c>
      <c r="F996" t="s">
        <v>10</v>
      </c>
      <c r="G996" t="s">
        <v>59</v>
      </c>
      <c r="H996" t="s">
        <v>327</v>
      </c>
      <c r="I996" s="3" t="s">
        <v>110</v>
      </c>
      <c r="J996" t="s">
        <v>66</v>
      </c>
      <c r="K996" s="15">
        <v>1000000</v>
      </c>
      <c r="L996" s="5" t="str">
        <f t="shared" si="15"/>
        <v>5  - 8</v>
      </c>
    </row>
    <row r="997" spans="3:12" hidden="1">
      <c r="C997" t="s">
        <v>31</v>
      </c>
      <c r="D997" t="s">
        <v>73</v>
      </c>
      <c r="E997">
        <v>4</v>
      </c>
      <c r="F997" t="s">
        <v>10</v>
      </c>
      <c r="G997" t="s">
        <v>51</v>
      </c>
      <c r="H997" t="s">
        <v>327</v>
      </c>
      <c r="I997" s="3" t="s">
        <v>116</v>
      </c>
      <c r="J997" t="s">
        <v>54</v>
      </c>
      <c r="K997" s="15">
        <v>800000</v>
      </c>
      <c r="L997" s="5" t="str">
        <f t="shared" si="15"/>
        <v>0 - 4</v>
      </c>
    </row>
    <row r="998" spans="3:12" hidden="1">
      <c r="C998" t="s">
        <v>31</v>
      </c>
      <c r="D998" t="s">
        <v>73</v>
      </c>
      <c r="E998">
        <v>4</v>
      </c>
      <c r="F998" t="s">
        <v>10</v>
      </c>
      <c r="G998" t="s">
        <v>51</v>
      </c>
      <c r="H998" t="s">
        <v>327</v>
      </c>
      <c r="I998" s="3" t="s">
        <v>72</v>
      </c>
      <c r="J998" t="s">
        <v>54</v>
      </c>
      <c r="K998" s="15">
        <v>850000</v>
      </c>
      <c r="L998" s="5" t="str">
        <f t="shared" si="15"/>
        <v>0 - 4</v>
      </c>
    </row>
    <row r="999" spans="3:12" hidden="1">
      <c r="C999" t="s">
        <v>31</v>
      </c>
      <c r="D999" t="s">
        <v>55</v>
      </c>
      <c r="E999">
        <v>4</v>
      </c>
      <c r="F999" t="s">
        <v>10</v>
      </c>
      <c r="G999" t="s">
        <v>59</v>
      </c>
      <c r="H999" t="s">
        <v>327</v>
      </c>
      <c r="I999" s="3" t="s">
        <v>110</v>
      </c>
      <c r="J999" t="s">
        <v>66</v>
      </c>
      <c r="K999" s="15">
        <v>1000000</v>
      </c>
      <c r="L999" s="5" t="str">
        <f t="shared" si="15"/>
        <v>0 - 4</v>
      </c>
    </row>
    <row r="1000" spans="3:12" hidden="1">
      <c r="C1000" t="s">
        <v>31</v>
      </c>
      <c r="D1000" t="s">
        <v>50</v>
      </c>
      <c r="E1000">
        <v>4</v>
      </c>
      <c r="F1000" t="s">
        <v>10</v>
      </c>
      <c r="G1000" t="s">
        <v>51</v>
      </c>
      <c r="H1000" t="s">
        <v>327</v>
      </c>
      <c r="I1000" s="3" t="s">
        <v>129</v>
      </c>
      <c r="J1000" t="s">
        <v>54</v>
      </c>
      <c r="K1000" s="15">
        <v>1150000</v>
      </c>
      <c r="L1000" s="5" t="str">
        <f t="shared" si="15"/>
        <v>0 - 4</v>
      </c>
    </row>
    <row r="1001" spans="3:12" hidden="1">
      <c r="C1001" t="s">
        <v>31</v>
      </c>
      <c r="D1001" t="s">
        <v>73</v>
      </c>
      <c r="E1001">
        <v>3</v>
      </c>
      <c r="F1001" t="s">
        <v>10</v>
      </c>
      <c r="G1001" t="s">
        <v>59</v>
      </c>
      <c r="H1001" t="s">
        <v>327</v>
      </c>
      <c r="I1001" s="3" t="s">
        <v>116</v>
      </c>
      <c r="J1001" t="s">
        <v>66</v>
      </c>
      <c r="K1001" s="15">
        <v>800000</v>
      </c>
      <c r="L1001" s="5" t="str">
        <f t="shared" si="15"/>
        <v>0 - 4</v>
      </c>
    </row>
    <row r="1002" spans="3:12" hidden="1">
      <c r="C1002" t="s">
        <v>31</v>
      </c>
      <c r="D1002" t="s">
        <v>73</v>
      </c>
      <c r="E1002">
        <v>3</v>
      </c>
      <c r="F1002" t="s">
        <v>10</v>
      </c>
      <c r="G1002" t="s">
        <v>57</v>
      </c>
      <c r="H1002" t="s">
        <v>327</v>
      </c>
      <c r="I1002" s="3" t="s">
        <v>79</v>
      </c>
      <c r="J1002" t="s">
        <v>54</v>
      </c>
      <c r="K1002" s="15">
        <v>900000</v>
      </c>
      <c r="L1002" s="5" t="str">
        <f t="shared" si="15"/>
        <v>0 - 4</v>
      </c>
    </row>
    <row r="1003" spans="3:12" hidden="1">
      <c r="C1003" t="s">
        <v>30</v>
      </c>
      <c r="D1003" t="s">
        <v>73</v>
      </c>
      <c r="E1003">
        <v>2</v>
      </c>
      <c r="F1003" t="s">
        <v>10</v>
      </c>
      <c r="G1003" t="s">
        <v>59</v>
      </c>
      <c r="H1003" t="s">
        <v>327</v>
      </c>
      <c r="I1003" s="3" t="s">
        <v>86</v>
      </c>
      <c r="J1003" t="s">
        <v>54</v>
      </c>
      <c r="K1003" s="15">
        <v>595000</v>
      </c>
      <c r="L1003" s="5" t="str">
        <f t="shared" si="15"/>
        <v>0 - 4</v>
      </c>
    </row>
    <row r="1004" spans="3:12" hidden="1">
      <c r="C1004" t="s">
        <v>30</v>
      </c>
      <c r="D1004" t="s">
        <v>73</v>
      </c>
      <c r="E1004">
        <v>2</v>
      </c>
      <c r="F1004" t="s">
        <v>10</v>
      </c>
      <c r="G1004" t="s">
        <v>59</v>
      </c>
      <c r="H1004" t="s">
        <v>327</v>
      </c>
      <c r="I1004" s="3" t="s">
        <v>108</v>
      </c>
      <c r="J1004" t="s">
        <v>66</v>
      </c>
      <c r="K1004" s="15">
        <v>700000</v>
      </c>
      <c r="L1004" s="5" t="str">
        <f t="shared" si="15"/>
        <v>0 - 4</v>
      </c>
    </row>
    <row r="1005" spans="3:12" hidden="1">
      <c r="C1005" t="s">
        <v>31</v>
      </c>
      <c r="D1005" t="s">
        <v>55</v>
      </c>
      <c r="E1005">
        <v>2</v>
      </c>
      <c r="F1005" t="s">
        <v>10</v>
      </c>
      <c r="G1005" t="s">
        <v>57</v>
      </c>
      <c r="H1005" t="s">
        <v>327</v>
      </c>
      <c r="I1005" s="3" t="s">
        <v>337</v>
      </c>
      <c r="J1005" t="s">
        <v>54</v>
      </c>
      <c r="K1005" s="15">
        <v>624500</v>
      </c>
      <c r="L1005" s="5" t="str">
        <f t="shared" si="15"/>
        <v>0 - 4</v>
      </c>
    </row>
    <row r="1006" spans="3:12" hidden="1">
      <c r="C1006" t="s">
        <v>31</v>
      </c>
      <c r="D1006" t="s">
        <v>49</v>
      </c>
      <c r="E1006">
        <v>2</v>
      </c>
      <c r="F1006" t="s">
        <v>10</v>
      </c>
      <c r="G1006" t="s">
        <v>51</v>
      </c>
      <c r="H1006" t="s">
        <v>327</v>
      </c>
      <c r="I1006" s="3" t="s">
        <v>157</v>
      </c>
      <c r="J1006" t="s">
        <v>54</v>
      </c>
      <c r="K1006" s="15">
        <v>625000</v>
      </c>
      <c r="L1006" s="5" t="str">
        <f t="shared" si="15"/>
        <v>0 - 4</v>
      </c>
    </row>
    <row r="1007" spans="3:12" hidden="1">
      <c r="C1007" t="s">
        <v>31</v>
      </c>
      <c r="D1007" t="s">
        <v>56</v>
      </c>
      <c r="E1007">
        <v>2</v>
      </c>
      <c r="F1007" t="s">
        <v>10</v>
      </c>
      <c r="G1007" t="s">
        <v>59</v>
      </c>
      <c r="H1007" t="s">
        <v>327</v>
      </c>
      <c r="I1007" s="3" t="s">
        <v>222</v>
      </c>
      <c r="J1007" t="s">
        <v>66</v>
      </c>
      <c r="K1007" s="15">
        <v>670000</v>
      </c>
      <c r="L1007" s="5" t="str">
        <f t="shared" si="15"/>
        <v>0 - 4</v>
      </c>
    </row>
    <row r="1008" spans="3:12" hidden="1">
      <c r="C1008" t="s">
        <v>31</v>
      </c>
      <c r="D1008" t="s">
        <v>55</v>
      </c>
      <c r="E1008">
        <v>2</v>
      </c>
      <c r="F1008" t="s">
        <v>10</v>
      </c>
      <c r="G1008" t="s">
        <v>59</v>
      </c>
      <c r="H1008" t="s">
        <v>327</v>
      </c>
      <c r="I1008" s="3" t="s">
        <v>266</v>
      </c>
      <c r="J1008" t="s">
        <v>66</v>
      </c>
      <c r="K1008" s="15">
        <v>675000</v>
      </c>
      <c r="L1008" s="5" t="str">
        <f t="shared" si="15"/>
        <v>0 - 4</v>
      </c>
    </row>
    <row r="1009" spans="3:12" hidden="1">
      <c r="C1009" t="s">
        <v>31</v>
      </c>
      <c r="D1009" t="s">
        <v>55</v>
      </c>
      <c r="E1009">
        <v>2</v>
      </c>
      <c r="F1009" t="s">
        <v>10</v>
      </c>
      <c r="G1009" t="s">
        <v>51</v>
      </c>
      <c r="H1009" t="s">
        <v>327</v>
      </c>
      <c r="I1009" s="3" t="s">
        <v>74</v>
      </c>
      <c r="J1009" t="s">
        <v>54</v>
      </c>
      <c r="K1009" s="15">
        <v>730000</v>
      </c>
      <c r="L1009" s="5" t="str">
        <f t="shared" si="15"/>
        <v>0 - 4</v>
      </c>
    </row>
    <row r="1010" spans="3:12" hidden="1">
      <c r="C1010" t="s">
        <v>31</v>
      </c>
      <c r="D1010" t="s">
        <v>56</v>
      </c>
      <c r="E1010">
        <v>2</v>
      </c>
      <c r="F1010" t="s">
        <v>10</v>
      </c>
      <c r="G1010" t="s">
        <v>51</v>
      </c>
      <c r="H1010" t="s">
        <v>327</v>
      </c>
      <c r="I1010" s="3" t="s">
        <v>71</v>
      </c>
      <c r="J1010" t="s">
        <v>66</v>
      </c>
      <c r="K1010" s="15">
        <v>820000</v>
      </c>
      <c r="L1010" s="5" t="str">
        <f t="shared" si="15"/>
        <v>0 - 4</v>
      </c>
    </row>
    <row r="1011" spans="3:12" hidden="1">
      <c r="C1011" t="s">
        <v>31</v>
      </c>
      <c r="D1011" t="s">
        <v>55</v>
      </c>
      <c r="E1011">
        <v>2</v>
      </c>
      <c r="F1011" t="s">
        <v>10</v>
      </c>
      <c r="G1011" t="s">
        <v>51</v>
      </c>
      <c r="H1011" t="s">
        <v>327</v>
      </c>
      <c r="I1011" s="3" t="s">
        <v>338</v>
      </c>
      <c r="J1011" t="s">
        <v>54</v>
      </c>
      <c r="K1011" s="15">
        <v>1620000</v>
      </c>
      <c r="L1011" s="5" t="str">
        <f t="shared" si="15"/>
        <v>0 - 4</v>
      </c>
    </row>
    <row r="1012" spans="3:12" hidden="1">
      <c r="C1012" t="s">
        <v>31</v>
      </c>
      <c r="D1012" t="s">
        <v>77</v>
      </c>
      <c r="E1012">
        <v>1</v>
      </c>
      <c r="F1012" t="s">
        <v>10</v>
      </c>
      <c r="G1012" t="s">
        <v>51</v>
      </c>
      <c r="H1012" t="s">
        <v>327</v>
      </c>
      <c r="I1012" s="3" t="s">
        <v>339</v>
      </c>
      <c r="J1012" t="s">
        <v>54</v>
      </c>
      <c r="K1012" s="15">
        <v>500000</v>
      </c>
      <c r="L1012" s="5" t="str">
        <f t="shared" si="15"/>
        <v>0 - 4</v>
      </c>
    </row>
    <row r="1013" spans="3:12" hidden="1">
      <c r="C1013" t="s">
        <v>31</v>
      </c>
      <c r="D1013" t="s">
        <v>56</v>
      </c>
      <c r="E1013">
        <v>1</v>
      </c>
      <c r="F1013" t="s">
        <v>10</v>
      </c>
      <c r="G1013" t="s">
        <v>51</v>
      </c>
      <c r="H1013" t="s">
        <v>327</v>
      </c>
      <c r="I1013" s="3" t="s">
        <v>94</v>
      </c>
      <c r="J1013" t="s">
        <v>54</v>
      </c>
      <c r="K1013" s="15">
        <v>550000</v>
      </c>
      <c r="L1013" s="5" t="str">
        <f t="shared" si="15"/>
        <v>0 - 4</v>
      </c>
    </row>
    <row r="1014" spans="3:12" hidden="1">
      <c r="C1014" t="s">
        <v>31</v>
      </c>
      <c r="D1014" t="s">
        <v>55</v>
      </c>
      <c r="E1014">
        <v>1</v>
      </c>
      <c r="F1014" t="s">
        <v>10</v>
      </c>
      <c r="G1014" t="s">
        <v>59</v>
      </c>
      <c r="H1014" t="s">
        <v>327</v>
      </c>
      <c r="I1014" s="3" t="s">
        <v>81</v>
      </c>
      <c r="J1014" t="s">
        <v>54</v>
      </c>
      <c r="K1014" s="15">
        <v>640000</v>
      </c>
      <c r="L1014" s="5" t="str">
        <f t="shared" si="15"/>
        <v>0 - 4</v>
      </c>
    </row>
    <row r="1015" spans="3:12" hidden="1">
      <c r="C1015" t="s">
        <v>31</v>
      </c>
      <c r="D1015" t="s">
        <v>55</v>
      </c>
      <c r="E1015">
        <v>1</v>
      </c>
      <c r="F1015" t="s">
        <v>10</v>
      </c>
      <c r="G1015" t="s">
        <v>57</v>
      </c>
      <c r="H1015" t="s">
        <v>327</v>
      </c>
      <c r="I1015" s="3" t="s">
        <v>159</v>
      </c>
      <c r="J1015" t="s">
        <v>54</v>
      </c>
      <c r="K1015" s="15">
        <v>680000</v>
      </c>
      <c r="L1015" s="5" t="str">
        <f t="shared" si="15"/>
        <v>0 - 4</v>
      </c>
    </row>
    <row r="1016" spans="3:12" hidden="1">
      <c r="C1016" t="s">
        <v>31</v>
      </c>
      <c r="D1016" t="s">
        <v>67</v>
      </c>
      <c r="E1016">
        <v>1</v>
      </c>
      <c r="F1016" t="s">
        <v>10</v>
      </c>
      <c r="G1016" t="s">
        <v>59</v>
      </c>
      <c r="H1016" t="s">
        <v>327</v>
      </c>
      <c r="I1016" s="3" t="s">
        <v>108</v>
      </c>
      <c r="J1016" t="s">
        <v>66</v>
      </c>
      <c r="K1016" s="15">
        <v>700000</v>
      </c>
      <c r="L1016" s="5" t="str">
        <f t="shared" si="15"/>
        <v>0 - 4</v>
      </c>
    </row>
    <row r="1017" spans="3:12" hidden="1">
      <c r="C1017" t="s">
        <v>31</v>
      </c>
      <c r="D1017" t="s">
        <v>49</v>
      </c>
      <c r="E1017">
        <v>1</v>
      </c>
      <c r="F1017" t="s">
        <v>10</v>
      </c>
      <c r="G1017" t="s">
        <v>51</v>
      </c>
      <c r="H1017" t="s">
        <v>327</v>
      </c>
      <c r="I1017" s="3" t="s">
        <v>74</v>
      </c>
      <c r="J1017" t="s">
        <v>54</v>
      </c>
      <c r="K1017" s="15">
        <v>730000</v>
      </c>
      <c r="L1017" s="5" t="str">
        <f t="shared" si="15"/>
        <v>0 - 4</v>
      </c>
    </row>
    <row r="1018" spans="3:12" hidden="1">
      <c r="C1018" t="s">
        <v>31</v>
      </c>
      <c r="D1018" t="s">
        <v>73</v>
      </c>
      <c r="E1018">
        <v>0</v>
      </c>
      <c r="F1018" t="s">
        <v>10</v>
      </c>
      <c r="G1018" t="s">
        <v>59</v>
      </c>
      <c r="H1018" t="s">
        <v>327</v>
      </c>
      <c r="I1018" s="3" t="s">
        <v>94</v>
      </c>
      <c r="J1018" t="s">
        <v>66</v>
      </c>
      <c r="K1018" s="15">
        <v>550000</v>
      </c>
      <c r="L1018" s="5" t="str">
        <f t="shared" si="15"/>
        <v>0 - 4</v>
      </c>
    </row>
    <row r="1019" spans="3:12" hidden="1">
      <c r="C1019" t="s">
        <v>31</v>
      </c>
      <c r="D1019" t="s">
        <v>73</v>
      </c>
      <c r="E1019">
        <v>0</v>
      </c>
      <c r="F1019" t="s">
        <v>10</v>
      </c>
      <c r="G1019" t="s">
        <v>59</v>
      </c>
      <c r="H1019" t="s">
        <v>327</v>
      </c>
      <c r="I1019" s="3" t="s">
        <v>118</v>
      </c>
      <c r="J1019" t="s">
        <v>66</v>
      </c>
      <c r="K1019" s="15">
        <v>570000</v>
      </c>
      <c r="L1019" s="5" t="str">
        <f t="shared" si="15"/>
        <v>0 - 4</v>
      </c>
    </row>
    <row r="1020" spans="3:12" hidden="1">
      <c r="C1020" t="s">
        <v>31</v>
      </c>
      <c r="D1020" t="s">
        <v>73</v>
      </c>
      <c r="E1020">
        <v>0</v>
      </c>
      <c r="F1020" t="s">
        <v>10</v>
      </c>
      <c r="G1020" t="s">
        <v>59</v>
      </c>
      <c r="H1020" t="s">
        <v>327</v>
      </c>
      <c r="I1020" s="3" t="s">
        <v>226</v>
      </c>
      <c r="J1020" t="s">
        <v>66</v>
      </c>
      <c r="K1020" s="15">
        <v>585000</v>
      </c>
      <c r="L1020" s="5" t="str">
        <f t="shared" si="15"/>
        <v>0 - 4</v>
      </c>
    </row>
    <row r="1021" spans="3:12" hidden="1">
      <c r="C1021" t="s">
        <v>31</v>
      </c>
      <c r="D1021" t="s">
        <v>55</v>
      </c>
      <c r="E1021">
        <v>0</v>
      </c>
      <c r="F1021" t="s">
        <v>10</v>
      </c>
      <c r="G1021" t="s">
        <v>51</v>
      </c>
      <c r="H1021" t="s">
        <v>327</v>
      </c>
      <c r="I1021" s="3" t="s">
        <v>90</v>
      </c>
      <c r="J1021" t="s">
        <v>66</v>
      </c>
      <c r="K1021" s="15">
        <v>660000</v>
      </c>
      <c r="L1021" s="5" t="str">
        <f t="shared" si="15"/>
        <v>0 - 4</v>
      </c>
    </row>
    <row r="1022" spans="3:12" hidden="1">
      <c r="C1022" t="s">
        <v>31</v>
      </c>
      <c r="D1022" t="s">
        <v>121</v>
      </c>
      <c r="E1022">
        <v>15</v>
      </c>
      <c r="F1022" t="s">
        <v>11</v>
      </c>
      <c r="G1022" t="s">
        <v>51</v>
      </c>
      <c r="H1022" t="s">
        <v>327</v>
      </c>
      <c r="I1022" s="3" t="s">
        <v>179</v>
      </c>
      <c r="J1022" t="s">
        <v>66</v>
      </c>
      <c r="K1022" s="15">
        <v>1230000</v>
      </c>
      <c r="L1022" s="5" t="str">
        <f t="shared" si="15"/>
        <v>15 +</v>
      </c>
    </row>
    <row r="1023" spans="3:12" hidden="1">
      <c r="C1023" t="s">
        <v>31</v>
      </c>
      <c r="D1023" t="s">
        <v>55</v>
      </c>
      <c r="E1023">
        <v>13</v>
      </c>
      <c r="F1023" t="s">
        <v>11</v>
      </c>
      <c r="G1023" t="s">
        <v>59</v>
      </c>
      <c r="H1023" t="s">
        <v>327</v>
      </c>
      <c r="I1023" s="3" t="s">
        <v>104</v>
      </c>
      <c r="J1023" t="s">
        <v>66</v>
      </c>
      <c r="K1023" s="15">
        <v>1300000</v>
      </c>
      <c r="L1023" s="5" t="str">
        <f t="shared" si="15"/>
        <v>9 - 14</v>
      </c>
    </row>
    <row r="1024" spans="3:12" hidden="1">
      <c r="C1024" t="s">
        <v>31</v>
      </c>
      <c r="D1024" t="s">
        <v>73</v>
      </c>
      <c r="E1024">
        <v>6</v>
      </c>
      <c r="F1024" t="s">
        <v>11</v>
      </c>
      <c r="G1024" t="s">
        <v>59</v>
      </c>
      <c r="H1024" t="s">
        <v>327</v>
      </c>
      <c r="I1024" s="3" t="s">
        <v>110</v>
      </c>
      <c r="J1024" t="s">
        <v>66</v>
      </c>
      <c r="K1024" s="15">
        <v>1000000</v>
      </c>
      <c r="L1024" s="5" t="str">
        <f t="shared" si="15"/>
        <v>5  - 8</v>
      </c>
    </row>
    <row r="1025" spans="3:12" hidden="1">
      <c r="C1025" t="s">
        <v>31</v>
      </c>
      <c r="D1025" t="s">
        <v>77</v>
      </c>
      <c r="E1025">
        <v>4</v>
      </c>
      <c r="F1025" t="s">
        <v>11</v>
      </c>
      <c r="G1025" t="s">
        <v>57</v>
      </c>
      <c r="H1025" t="s">
        <v>327</v>
      </c>
      <c r="I1025" s="3" t="s">
        <v>110</v>
      </c>
      <c r="J1025" t="s">
        <v>54</v>
      </c>
      <c r="K1025" s="15">
        <v>1000000</v>
      </c>
      <c r="L1025" s="5" t="str">
        <f t="shared" si="15"/>
        <v>0 - 4</v>
      </c>
    </row>
    <row r="1026" spans="3:12" hidden="1">
      <c r="C1026" t="s">
        <v>31</v>
      </c>
      <c r="D1026" t="s">
        <v>73</v>
      </c>
      <c r="E1026">
        <v>17</v>
      </c>
      <c r="F1026" t="s">
        <v>12</v>
      </c>
      <c r="G1026" t="s">
        <v>51</v>
      </c>
      <c r="H1026" t="s">
        <v>327</v>
      </c>
      <c r="I1026" s="3" t="s">
        <v>79</v>
      </c>
      <c r="J1026" t="s">
        <v>54</v>
      </c>
      <c r="K1026" s="15">
        <v>900000</v>
      </c>
      <c r="L1026" s="5" t="str">
        <f t="shared" si="15"/>
        <v>15 +</v>
      </c>
    </row>
    <row r="1027" spans="3:12" hidden="1">
      <c r="C1027" t="s">
        <v>31</v>
      </c>
      <c r="D1027" t="s">
        <v>73</v>
      </c>
      <c r="E1027">
        <v>9</v>
      </c>
      <c r="F1027" t="s">
        <v>12</v>
      </c>
      <c r="G1027" t="s">
        <v>51</v>
      </c>
      <c r="H1027" t="s">
        <v>327</v>
      </c>
      <c r="I1027" s="3" t="s">
        <v>58</v>
      </c>
      <c r="J1027" t="s">
        <v>54</v>
      </c>
      <c r="K1027" s="15">
        <v>756000</v>
      </c>
      <c r="L1027" s="5" t="str">
        <f t="shared" ref="L1027:L1090" si="16">_xlfn.XLOOKUP(E1027,$P$2:$P$5,$O$2:$O$5,,1)</f>
        <v>9 - 14</v>
      </c>
    </row>
    <row r="1028" spans="3:12" hidden="1">
      <c r="C1028" t="s">
        <v>31</v>
      </c>
      <c r="D1028" t="s">
        <v>55</v>
      </c>
      <c r="E1028">
        <v>5</v>
      </c>
      <c r="F1028" t="s">
        <v>12</v>
      </c>
      <c r="G1028" t="s">
        <v>51</v>
      </c>
      <c r="H1028" t="s">
        <v>327</v>
      </c>
      <c r="I1028" s="3" t="s">
        <v>108</v>
      </c>
      <c r="J1028" t="s">
        <v>54</v>
      </c>
      <c r="K1028" s="15">
        <v>700000</v>
      </c>
      <c r="L1028" s="5" t="str">
        <f t="shared" si="16"/>
        <v>5  - 8</v>
      </c>
    </row>
    <row r="1029" spans="3:12" hidden="1">
      <c r="C1029" t="s">
        <v>31</v>
      </c>
      <c r="D1029" t="s">
        <v>73</v>
      </c>
      <c r="E1029">
        <v>2</v>
      </c>
      <c r="F1029" t="s">
        <v>12</v>
      </c>
      <c r="G1029" t="s">
        <v>57</v>
      </c>
      <c r="H1029" t="s">
        <v>327</v>
      </c>
      <c r="I1029" s="3" t="s">
        <v>90</v>
      </c>
      <c r="J1029" t="s">
        <v>54</v>
      </c>
      <c r="K1029" s="15">
        <v>660000</v>
      </c>
      <c r="L1029" s="5" t="str">
        <f t="shared" si="16"/>
        <v>0 - 4</v>
      </c>
    </row>
    <row r="1030" spans="3:12" hidden="1">
      <c r="C1030" t="s">
        <v>31</v>
      </c>
      <c r="D1030" t="s">
        <v>77</v>
      </c>
      <c r="E1030">
        <v>20</v>
      </c>
      <c r="F1030" t="s">
        <v>13</v>
      </c>
      <c r="G1030" t="s">
        <v>59</v>
      </c>
      <c r="H1030" t="s">
        <v>327</v>
      </c>
      <c r="I1030" s="3" t="s">
        <v>182</v>
      </c>
      <c r="J1030" t="s">
        <v>54</v>
      </c>
      <c r="K1030" s="15">
        <v>1450000</v>
      </c>
      <c r="L1030" s="5" t="str">
        <f t="shared" si="16"/>
        <v>15 +</v>
      </c>
    </row>
    <row r="1031" spans="3:12" hidden="1">
      <c r="C1031" t="s">
        <v>31</v>
      </c>
      <c r="D1031" t="s">
        <v>77</v>
      </c>
      <c r="E1031">
        <v>5</v>
      </c>
      <c r="F1031" t="s">
        <v>13</v>
      </c>
      <c r="G1031" t="s">
        <v>57</v>
      </c>
      <c r="H1031" t="s">
        <v>327</v>
      </c>
      <c r="I1031" s="3" t="s">
        <v>148</v>
      </c>
      <c r="J1031" t="s">
        <v>54</v>
      </c>
      <c r="K1031" s="15">
        <v>1050000</v>
      </c>
      <c r="L1031" s="5" t="str">
        <f t="shared" si="16"/>
        <v>5  - 8</v>
      </c>
    </row>
    <row r="1032" spans="3:12" hidden="1">
      <c r="C1032" t="s">
        <v>31</v>
      </c>
      <c r="D1032" t="s">
        <v>73</v>
      </c>
      <c r="E1032">
        <v>4</v>
      </c>
      <c r="F1032" t="s">
        <v>13</v>
      </c>
      <c r="G1032" t="s">
        <v>59</v>
      </c>
      <c r="H1032" t="s">
        <v>327</v>
      </c>
      <c r="I1032" s="3" t="s">
        <v>159</v>
      </c>
      <c r="J1032" t="s">
        <v>66</v>
      </c>
      <c r="K1032" s="15">
        <v>680000</v>
      </c>
      <c r="L1032" s="5" t="str">
        <f t="shared" si="16"/>
        <v>0 - 4</v>
      </c>
    </row>
    <row r="1033" spans="3:12" hidden="1">
      <c r="C1033" t="s">
        <v>31</v>
      </c>
      <c r="D1033" t="s">
        <v>55</v>
      </c>
      <c r="E1033">
        <v>4</v>
      </c>
      <c r="F1033" t="s">
        <v>13</v>
      </c>
      <c r="G1033" t="s">
        <v>127</v>
      </c>
      <c r="H1033" t="s">
        <v>327</v>
      </c>
      <c r="I1033" s="3" t="s">
        <v>340</v>
      </c>
      <c r="J1033" t="s">
        <v>66</v>
      </c>
      <c r="K1033" s="15">
        <v>2100000</v>
      </c>
      <c r="L1033" s="5" t="str">
        <f t="shared" si="16"/>
        <v>0 - 4</v>
      </c>
    </row>
    <row r="1034" spans="3:12" hidden="1">
      <c r="C1034" t="s">
        <v>31</v>
      </c>
      <c r="D1034" t="s">
        <v>49</v>
      </c>
      <c r="E1034">
        <v>2</v>
      </c>
      <c r="F1034" t="s">
        <v>13</v>
      </c>
      <c r="G1034" t="s">
        <v>57</v>
      </c>
      <c r="H1034" t="s">
        <v>327</v>
      </c>
      <c r="I1034" s="3" t="s">
        <v>118</v>
      </c>
      <c r="J1034" t="s">
        <v>54</v>
      </c>
      <c r="K1034" s="15">
        <v>570000</v>
      </c>
      <c r="L1034" s="5" t="str">
        <f t="shared" si="16"/>
        <v>0 - 4</v>
      </c>
    </row>
    <row r="1035" spans="3:12" hidden="1">
      <c r="C1035" t="s">
        <v>31</v>
      </c>
      <c r="D1035" t="s">
        <v>73</v>
      </c>
      <c r="E1035">
        <v>2</v>
      </c>
      <c r="F1035" t="s">
        <v>13</v>
      </c>
      <c r="G1035" t="s">
        <v>59</v>
      </c>
      <c r="H1035" t="s">
        <v>327</v>
      </c>
      <c r="I1035" s="3" t="s">
        <v>159</v>
      </c>
      <c r="J1035" t="s">
        <v>54</v>
      </c>
      <c r="K1035" s="15">
        <v>680000</v>
      </c>
      <c r="L1035" s="5" t="str">
        <f t="shared" si="16"/>
        <v>0 - 4</v>
      </c>
    </row>
    <row r="1036" spans="3:12" hidden="1">
      <c r="C1036" t="s">
        <v>30</v>
      </c>
      <c r="D1036" t="s">
        <v>73</v>
      </c>
      <c r="E1036">
        <v>1</v>
      </c>
      <c r="F1036" t="s">
        <v>13</v>
      </c>
      <c r="G1036" t="s">
        <v>57</v>
      </c>
      <c r="H1036" t="s">
        <v>327</v>
      </c>
      <c r="I1036" s="3" t="s">
        <v>151</v>
      </c>
      <c r="J1036" t="s">
        <v>54</v>
      </c>
      <c r="K1036" s="15">
        <v>690000</v>
      </c>
      <c r="L1036" s="5" t="str">
        <f t="shared" si="16"/>
        <v>0 - 4</v>
      </c>
    </row>
    <row r="1037" spans="3:12" hidden="1">
      <c r="C1037" t="s">
        <v>31</v>
      </c>
      <c r="D1037" t="s">
        <v>56</v>
      </c>
      <c r="E1037">
        <v>8</v>
      </c>
      <c r="F1037" t="s">
        <v>17</v>
      </c>
      <c r="G1037" t="s">
        <v>59</v>
      </c>
      <c r="H1037" t="s">
        <v>327</v>
      </c>
      <c r="I1037" s="3" t="s">
        <v>211</v>
      </c>
      <c r="J1037" t="s">
        <v>54</v>
      </c>
      <c r="K1037" s="15">
        <v>1060000</v>
      </c>
      <c r="L1037" s="5" t="str">
        <f t="shared" si="16"/>
        <v>5  - 8</v>
      </c>
    </row>
    <row r="1038" spans="3:12" hidden="1">
      <c r="C1038" t="s">
        <v>31</v>
      </c>
      <c r="D1038" t="s">
        <v>73</v>
      </c>
      <c r="E1038">
        <v>24</v>
      </c>
      <c r="F1038" t="s">
        <v>18</v>
      </c>
      <c r="G1038" t="s">
        <v>57</v>
      </c>
      <c r="H1038" t="s">
        <v>327</v>
      </c>
      <c r="I1038" s="3" t="s">
        <v>222</v>
      </c>
      <c r="J1038" t="s">
        <v>54</v>
      </c>
      <c r="K1038" s="15">
        <v>670000</v>
      </c>
      <c r="L1038" s="5" t="str">
        <f t="shared" si="16"/>
        <v>15 +</v>
      </c>
    </row>
    <row r="1039" spans="3:12" hidden="1">
      <c r="C1039" t="s">
        <v>31</v>
      </c>
      <c r="D1039" t="s">
        <v>55</v>
      </c>
      <c r="E1039">
        <v>24</v>
      </c>
      <c r="F1039" t="s">
        <v>18</v>
      </c>
      <c r="G1039" t="s">
        <v>57</v>
      </c>
      <c r="H1039" t="s">
        <v>327</v>
      </c>
      <c r="I1039" s="3" t="s">
        <v>166</v>
      </c>
      <c r="J1039" t="s">
        <v>54</v>
      </c>
      <c r="K1039" s="15">
        <v>890000</v>
      </c>
      <c r="L1039" s="5" t="str">
        <f t="shared" si="16"/>
        <v>15 +</v>
      </c>
    </row>
    <row r="1040" spans="3:12" hidden="1">
      <c r="C1040" t="s">
        <v>31</v>
      </c>
      <c r="D1040" t="s">
        <v>80</v>
      </c>
      <c r="E1040">
        <v>20</v>
      </c>
      <c r="F1040" t="s">
        <v>18</v>
      </c>
      <c r="G1040" t="s">
        <v>51</v>
      </c>
      <c r="H1040" t="s">
        <v>327</v>
      </c>
      <c r="I1040" s="3" t="s">
        <v>72</v>
      </c>
      <c r="J1040" t="s">
        <v>54</v>
      </c>
      <c r="K1040" s="15">
        <v>850000</v>
      </c>
      <c r="L1040" s="5" t="str">
        <f t="shared" si="16"/>
        <v>15 +</v>
      </c>
    </row>
    <row r="1041" spans="3:12" hidden="1">
      <c r="C1041" t="s">
        <v>31</v>
      </c>
      <c r="D1041" t="s">
        <v>73</v>
      </c>
      <c r="E1041">
        <v>10</v>
      </c>
      <c r="F1041" t="s">
        <v>18</v>
      </c>
      <c r="G1041" t="s">
        <v>51</v>
      </c>
      <c r="H1041" t="s">
        <v>327</v>
      </c>
      <c r="I1041" s="3" t="s">
        <v>341</v>
      </c>
      <c r="J1041" t="s">
        <v>54</v>
      </c>
      <c r="K1041" s="15">
        <v>450000</v>
      </c>
      <c r="L1041" s="5" t="str">
        <f t="shared" si="16"/>
        <v>9 - 14</v>
      </c>
    </row>
    <row r="1042" spans="3:12" hidden="1">
      <c r="C1042" t="s">
        <v>31</v>
      </c>
      <c r="D1042" t="s">
        <v>77</v>
      </c>
      <c r="E1042">
        <v>10</v>
      </c>
      <c r="F1042" t="s">
        <v>18</v>
      </c>
      <c r="G1042" t="s">
        <v>51</v>
      </c>
      <c r="H1042" t="s">
        <v>327</v>
      </c>
      <c r="I1042" s="3" t="s">
        <v>130</v>
      </c>
      <c r="J1042" t="s">
        <v>54</v>
      </c>
      <c r="K1042" s="15">
        <v>950000</v>
      </c>
      <c r="L1042" s="5" t="str">
        <f t="shared" si="16"/>
        <v>9 - 14</v>
      </c>
    </row>
    <row r="1043" spans="3:12" hidden="1">
      <c r="C1043" t="s">
        <v>31</v>
      </c>
      <c r="D1043" t="s">
        <v>55</v>
      </c>
      <c r="E1043">
        <v>7</v>
      </c>
      <c r="F1043" t="s">
        <v>18</v>
      </c>
      <c r="G1043" t="s">
        <v>51</v>
      </c>
      <c r="H1043" t="s">
        <v>327</v>
      </c>
      <c r="I1043" s="3" t="s">
        <v>167</v>
      </c>
      <c r="J1043" t="s">
        <v>54</v>
      </c>
      <c r="K1043" s="15">
        <v>860000</v>
      </c>
      <c r="L1043" s="5" t="str">
        <f t="shared" si="16"/>
        <v>5  - 8</v>
      </c>
    </row>
    <row r="1044" spans="3:12" hidden="1">
      <c r="C1044" t="s">
        <v>31</v>
      </c>
      <c r="D1044" t="s">
        <v>55</v>
      </c>
      <c r="E1044">
        <v>7</v>
      </c>
      <c r="F1044" t="s">
        <v>18</v>
      </c>
      <c r="G1044" t="s">
        <v>51</v>
      </c>
      <c r="H1044" t="s">
        <v>327</v>
      </c>
      <c r="I1044" s="3" t="s">
        <v>106</v>
      </c>
      <c r="J1044" t="s">
        <v>66</v>
      </c>
      <c r="K1044" s="15">
        <v>1100000</v>
      </c>
      <c r="L1044" s="5" t="str">
        <f t="shared" si="16"/>
        <v>5  - 8</v>
      </c>
    </row>
    <row r="1045" spans="3:12" hidden="1">
      <c r="C1045" t="s">
        <v>31</v>
      </c>
      <c r="D1045" t="s">
        <v>73</v>
      </c>
      <c r="E1045">
        <v>5</v>
      </c>
      <c r="F1045" t="s">
        <v>18</v>
      </c>
      <c r="G1045" t="s">
        <v>59</v>
      </c>
      <c r="H1045" t="s">
        <v>327</v>
      </c>
      <c r="I1045" s="3" t="s">
        <v>74</v>
      </c>
      <c r="J1045" t="s">
        <v>54</v>
      </c>
      <c r="K1045" s="15">
        <v>730000</v>
      </c>
      <c r="L1045" s="5" t="str">
        <f t="shared" si="16"/>
        <v>5  - 8</v>
      </c>
    </row>
    <row r="1046" spans="3:12" hidden="1">
      <c r="C1046" t="s">
        <v>31</v>
      </c>
      <c r="D1046" t="s">
        <v>49</v>
      </c>
      <c r="E1046">
        <v>22</v>
      </c>
      <c r="F1046" t="s">
        <v>14</v>
      </c>
      <c r="G1046" t="s">
        <v>51</v>
      </c>
      <c r="H1046" t="s">
        <v>327</v>
      </c>
      <c r="I1046" s="3" t="s">
        <v>298</v>
      </c>
      <c r="J1046" t="s">
        <v>54</v>
      </c>
      <c r="K1046" s="15">
        <v>975000</v>
      </c>
      <c r="L1046" s="5" t="str">
        <f t="shared" si="16"/>
        <v>15 +</v>
      </c>
    </row>
    <row r="1047" spans="3:12" hidden="1">
      <c r="C1047" t="s">
        <v>31</v>
      </c>
      <c r="D1047" t="s">
        <v>49</v>
      </c>
      <c r="E1047">
        <v>20</v>
      </c>
      <c r="F1047" t="s">
        <v>14</v>
      </c>
      <c r="G1047" t="s">
        <v>51</v>
      </c>
      <c r="H1047" t="s">
        <v>327</v>
      </c>
      <c r="I1047" s="3" t="s">
        <v>110</v>
      </c>
      <c r="J1047" t="s">
        <v>54</v>
      </c>
      <c r="K1047" s="15">
        <v>1000000</v>
      </c>
      <c r="L1047" s="5" t="str">
        <f t="shared" si="16"/>
        <v>15 +</v>
      </c>
    </row>
    <row r="1048" spans="3:12" hidden="1">
      <c r="C1048" t="s">
        <v>31</v>
      </c>
      <c r="D1048" t="s">
        <v>49</v>
      </c>
      <c r="E1048">
        <v>14</v>
      </c>
      <c r="F1048" t="s">
        <v>14</v>
      </c>
      <c r="G1048" t="s">
        <v>51</v>
      </c>
      <c r="H1048" t="s">
        <v>327</v>
      </c>
      <c r="I1048" s="3" t="s">
        <v>69</v>
      </c>
      <c r="J1048" t="s">
        <v>54</v>
      </c>
      <c r="K1048" s="15">
        <v>750000</v>
      </c>
      <c r="L1048" s="5" t="str">
        <f t="shared" si="16"/>
        <v>9 - 14</v>
      </c>
    </row>
    <row r="1049" spans="3:12" hidden="1">
      <c r="C1049" t="s">
        <v>31</v>
      </c>
      <c r="D1049" t="s">
        <v>56</v>
      </c>
      <c r="E1049">
        <v>13</v>
      </c>
      <c r="F1049" t="s">
        <v>14</v>
      </c>
      <c r="G1049" t="s">
        <v>59</v>
      </c>
      <c r="H1049" t="s">
        <v>327</v>
      </c>
      <c r="I1049" s="3" t="s">
        <v>272</v>
      </c>
      <c r="J1049" t="s">
        <v>54</v>
      </c>
      <c r="K1049" s="15">
        <v>705000</v>
      </c>
      <c r="L1049" s="5" t="str">
        <f t="shared" si="16"/>
        <v>9 - 14</v>
      </c>
    </row>
    <row r="1050" spans="3:12" hidden="1">
      <c r="C1050" t="s">
        <v>31</v>
      </c>
      <c r="D1050" t="s">
        <v>56</v>
      </c>
      <c r="E1050">
        <v>12</v>
      </c>
      <c r="F1050" t="s">
        <v>14</v>
      </c>
      <c r="G1050" t="s">
        <v>51</v>
      </c>
      <c r="H1050" t="s">
        <v>327</v>
      </c>
      <c r="I1050" s="3" t="s">
        <v>211</v>
      </c>
      <c r="J1050" t="s">
        <v>54</v>
      </c>
      <c r="K1050" s="15">
        <v>1060000</v>
      </c>
      <c r="L1050" s="5" t="str">
        <f t="shared" si="16"/>
        <v>9 - 14</v>
      </c>
    </row>
    <row r="1051" spans="3:12" hidden="1">
      <c r="C1051" t="s">
        <v>31</v>
      </c>
      <c r="D1051" t="s">
        <v>55</v>
      </c>
      <c r="E1051">
        <v>10</v>
      </c>
      <c r="F1051" t="s">
        <v>14</v>
      </c>
      <c r="G1051" t="s">
        <v>51</v>
      </c>
      <c r="H1051" t="s">
        <v>327</v>
      </c>
      <c r="I1051" s="3" t="s">
        <v>110</v>
      </c>
      <c r="J1051" t="s">
        <v>54</v>
      </c>
      <c r="K1051" s="15">
        <v>1000000</v>
      </c>
      <c r="L1051" s="5" t="str">
        <f t="shared" si="16"/>
        <v>9 - 14</v>
      </c>
    </row>
    <row r="1052" spans="3:12" hidden="1">
      <c r="C1052" t="s">
        <v>30</v>
      </c>
      <c r="D1052" t="s">
        <v>56</v>
      </c>
      <c r="E1052">
        <v>8</v>
      </c>
      <c r="F1052" t="s">
        <v>14</v>
      </c>
      <c r="G1052" t="s">
        <v>51</v>
      </c>
      <c r="H1052" t="s">
        <v>327</v>
      </c>
      <c r="I1052" s="3" t="s">
        <v>75</v>
      </c>
      <c r="J1052" t="s">
        <v>66</v>
      </c>
      <c r="K1052" s="15">
        <v>710000</v>
      </c>
      <c r="L1052" s="5" t="str">
        <f t="shared" si="16"/>
        <v>5  - 8</v>
      </c>
    </row>
    <row r="1053" spans="3:12" hidden="1">
      <c r="C1053" t="s">
        <v>31</v>
      </c>
      <c r="D1053" t="s">
        <v>80</v>
      </c>
      <c r="E1053">
        <v>5</v>
      </c>
      <c r="F1053" t="s">
        <v>14</v>
      </c>
      <c r="G1053" t="s">
        <v>51</v>
      </c>
      <c r="H1053" t="s">
        <v>327</v>
      </c>
      <c r="I1053" s="3" t="s">
        <v>130</v>
      </c>
      <c r="J1053" t="s">
        <v>54</v>
      </c>
      <c r="K1053" s="15">
        <v>950000</v>
      </c>
      <c r="L1053" s="5" t="str">
        <f t="shared" si="16"/>
        <v>5  - 8</v>
      </c>
    </row>
    <row r="1054" spans="3:12" hidden="1">
      <c r="C1054" t="s">
        <v>31</v>
      </c>
      <c r="D1054" t="s">
        <v>73</v>
      </c>
      <c r="E1054">
        <v>3</v>
      </c>
      <c r="F1054" t="s">
        <v>14</v>
      </c>
      <c r="G1054" t="s">
        <v>59</v>
      </c>
      <c r="H1054" t="s">
        <v>327</v>
      </c>
      <c r="I1054" s="3" t="s">
        <v>342</v>
      </c>
      <c r="J1054" t="s">
        <v>54</v>
      </c>
      <c r="K1054" s="15">
        <v>655000</v>
      </c>
      <c r="L1054" s="5" t="str">
        <f t="shared" si="16"/>
        <v>0 - 4</v>
      </c>
    </row>
    <row r="1055" spans="3:12" hidden="1">
      <c r="C1055" t="s">
        <v>31</v>
      </c>
      <c r="D1055" t="s">
        <v>73</v>
      </c>
      <c r="E1055">
        <v>3</v>
      </c>
      <c r="F1055" t="s">
        <v>14</v>
      </c>
      <c r="G1055" t="s">
        <v>59</v>
      </c>
      <c r="H1055" t="s">
        <v>327</v>
      </c>
      <c r="I1055" s="3" t="s">
        <v>343</v>
      </c>
      <c r="J1055" t="s">
        <v>54</v>
      </c>
      <c r="K1055" s="15">
        <v>972000</v>
      </c>
      <c r="L1055" s="5" t="str">
        <f t="shared" si="16"/>
        <v>0 - 4</v>
      </c>
    </row>
    <row r="1056" spans="3:12" hidden="1">
      <c r="C1056" t="s">
        <v>31</v>
      </c>
      <c r="D1056" t="s">
        <v>73</v>
      </c>
      <c r="E1056">
        <v>0</v>
      </c>
      <c r="F1056" t="s">
        <v>14</v>
      </c>
      <c r="G1056" t="s">
        <v>59</v>
      </c>
      <c r="H1056" t="s">
        <v>327</v>
      </c>
      <c r="I1056" s="3" t="s">
        <v>90</v>
      </c>
      <c r="J1056" t="s">
        <v>54</v>
      </c>
      <c r="K1056" s="15">
        <v>660000</v>
      </c>
      <c r="L1056" s="5" t="str">
        <f t="shared" si="16"/>
        <v>0 - 4</v>
      </c>
    </row>
    <row r="1057" spans="3:12" hidden="1">
      <c r="C1057" t="s">
        <v>31</v>
      </c>
      <c r="D1057" t="s">
        <v>63</v>
      </c>
      <c r="E1057">
        <v>16</v>
      </c>
      <c r="F1057" t="s">
        <v>15</v>
      </c>
      <c r="G1057" t="s">
        <v>51</v>
      </c>
      <c r="H1057" t="s">
        <v>327</v>
      </c>
      <c r="I1057" s="3" t="s">
        <v>106</v>
      </c>
      <c r="J1057" t="s">
        <v>54</v>
      </c>
      <c r="K1057" s="15">
        <v>1100000</v>
      </c>
      <c r="L1057" s="5" t="str">
        <f t="shared" si="16"/>
        <v>15 +</v>
      </c>
    </row>
    <row r="1058" spans="3:12" hidden="1">
      <c r="C1058" t="s">
        <v>31</v>
      </c>
      <c r="D1058" t="s">
        <v>95</v>
      </c>
      <c r="E1058">
        <v>11</v>
      </c>
      <c r="F1058" t="s">
        <v>15</v>
      </c>
      <c r="G1058" t="s">
        <v>51</v>
      </c>
      <c r="H1058" t="s">
        <v>327</v>
      </c>
      <c r="I1058" s="3" t="s">
        <v>339</v>
      </c>
      <c r="J1058" t="s">
        <v>54</v>
      </c>
      <c r="K1058" s="15">
        <v>500000</v>
      </c>
      <c r="L1058" s="5" t="str">
        <f t="shared" si="16"/>
        <v>9 - 14</v>
      </c>
    </row>
    <row r="1059" spans="3:12" hidden="1">
      <c r="C1059" t="s">
        <v>31</v>
      </c>
      <c r="D1059" t="s">
        <v>73</v>
      </c>
      <c r="E1059">
        <v>10</v>
      </c>
      <c r="F1059" t="s">
        <v>15</v>
      </c>
      <c r="G1059" t="s">
        <v>59</v>
      </c>
      <c r="H1059" t="s">
        <v>327</v>
      </c>
      <c r="I1059" s="3" t="s">
        <v>135</v>
      </c>
      <c r="J1059" t="s">
        <v>66</v>
      </c>
      <c r="K1059" s="15">
        <v>840000</v>
      </c>
      <c r="L1059" s="5" t="str">
        <f t="shared" si="16"/>
        <v>9 - 14</v>
      </c>
    </row>
    <row r="1060" spans="3:12" hidden="1">
      <c r="C1060" t="s">
        <v>31</v>
      </c>
      <c r="D1060" t="s">
        <v>55</v>
      </c>
      <c r="E1060">
        <v>6</v>
      </c>
      <c r="F1060" t="s">
        <v>15</v>
      </c>
      <c r="G1060" t="s">
        <v>59</v>
      </c>
      <c r="H1060" t="s">
        <v>327</v>
      </c>
      <c r="I1060" s="3" t="s">
        <v>104</v>
      </c>
      <c r="J1060" t="s">
        <v>66</v>
      </c>
      <c r="K1060" s="15">
        <v>1300000</v>
      </c>
      <c r="L1060" s="5" t="str">
        <f t="shared" si="16"/>
        <v>5  - 8</v>
      </c>
    </row>
    <row r="1061" spans="3:12" hidden="1">
      <c r="C1061" t="s">
        <v>31</v>
      </c>
      <c r="D1061" t="s">
        <v>73</v>
      </c>
      <c r="E1061">
        <v>4</v>
      </c>
      <c r="F1061" t="s">
        <v>15</v>
      </c>
      <c r="G1061" t="s">
        <v>51</v>
      </c>
      <c r="H1061" t="s">
        <v>327</v>
      </c>
      <c r="I1061" s="3" t="s">
        <v>151</v>
      </c>
      <c r="J1061" t="s">
        <v>54</v>
      </c>
      <c r="K1061" s="15">
        <v>690000</v>
      </c>
      <c r="L1061" s="5" t="str">
        <f t="shared" si="16"/>
        <v>0 - 4</v>
      </c>
    </row>
    <row r="1062" spans="3:12" hidden="1">
      <c r="C1062" t="s">
        <v>31</v>
      </c>
      <c r="D1062" t="s">
        <v>73</v>
      </c>
      <c r="E1062">
        <v>2</v>
      </c>
      <c r="F1062" t="s">
        <v>15</v>
      </c>
      <c r="G1062" t="s">
        <v>51</v>
      </c>
      <c r="H1062" t="s">
        <v>327</v>
      </c>
      <c r="I1062" s="3" t="s">
        <v>72</v>
      </c>
      <c r="J1062" t="s">
        <v>54</v>
      </c>
      <c r="K1062" s="15">
        <v>850000</v>
      </c>
      <c r="L1062" s="5" t="str">
        <f t="shared" si="16"/>
        <v>0 - 4</v>
      </c>
    </row>
    <row r="1063" spans="3:12" hidden="1">
      <c r="C1063" t="s">
        <v>31</v>
      </c>
      <c r="D1063" t="s">
        <v>55</v>
      </c>
      <c r="E1063">
        <v>15</v>
      </c>
      <c r="F1063" t="s">
        <v>19</v>
      </c>
      <c r="G1063" t="s">
        <v>51</v>
      </c>
      <c r="H1063" t="s">
        <v>344</v>
      </c>
      <c r="I1063" s="3" t="s">
        <v>345</v>
      </c>
      <c r="J1063" t="s">
        <v>54</v>
      </c>
      <c r="K1063" s="15">
        <v>987090</v>
      </c>
      <c r="L1063" s="5" t="str">
        <f t="shared" si="16"/>
        <v>15 +</v>
      </c>
    </row>
    <row r="1064" spans="3:12" hidden="1">
      <c r="C1064" t="s">
        <v>31</v>
      </c>
      <c r="D1064" t="s">
        <v>73</v>
      </c>
      <c r="E1064">
        <v>20</v>
      </c>
      <c r="F1064" t="s">
        <v>10</v>
      </c>
      <c r="G1064" t="s">
        <v>51</v>
      </c>
      <c r="H1064" t="s">
        <v>344</v>
      </c>
      <c r="I1064" s="36" t="s">
        <v>346</v>
      </c>
      <c r="J1064" t="s">
        <v>54</v>
      </c>
      <c r="K1064" s="15">
        <v>1075000</v>
      </c>
      <c r="L1064" s="5" t="str">
        <f t="shared" si="16"/>
        <v>15 +</v>
      </c>
    </row>
    <row r="1065" spans="3:12" hidden="1">
      <c r="C1065" t="s">
        <v>31</v>
      </c>
      <c r="D1065" t="s">
        <v>50</v>
      </c>
      <c r="E1065">
        <v>12</v>
      </c>
      <c r="F1065" t="s">
        <v>10</v>
      </c>
      <c r="G1065" t="s">
        <v>51</v>
      </c>
      <c r="H1065" t="s">
        <v>344</v>
      </c>
      <c r="I1065" s="3" t="s">
        <v>176</v>
      </c>
      <c r="J1065" t="s">
        <v>54</v>
      </c>
      <c r="K1065" s="15">
        <v>1005000</v>
      </c>
      <c r="L1065" s="5" t="str">
        <f t="shared" si="16"/>
        <v>9 - 14</v>
      </c>
    </row>
    <row r="1066" spans="3:12" hidden="1">
      <c r="C1066" t="s">
        <v>31</v>
      </c>
      <c r="D1066" t="s">
        <v>55</v>
      </c>
      <c r="E1066">
        <v>10</v>
      </c>
      <c r="F1066" t="s">
        <v>10</v>
      </c>
      <c r="G1066" t="s">
        <v>51</v>
      </c>
      <c r="H1066" t="s">
        <v>344</v>
      </c>
      <c r="I1066" s="3" t="s">
        <v>144</v>
      </c>
      <c r="J1066" t="s">
        <v>54</v>
      </c>
      <c r="K1066" s="15">
        <v>970000</v>
      </c>
      <c r="L1066" s="5" t="str">
        <f t="shared" si="16"/>
        <v>9 - 14</v>
      </c>
    </row>
    <row r="1067" spans="3:12" hidden="1">
      <c r="C1067" t="s">
        <v>31</v>
      </c>
      <c r="D1067" t="s">
        <v>55</v>
      </c>
      <c r="E1067">
        <v>7</v>
      </c>
      <c r="F1067" t="s">
        <v>10</v>
      </c>
      <c r="G1067" t="s">
        <v>51</v>
      </c>
      <c r="H1067" t="s">
        <v>344</v>
      </c>
      <c r="I1067" s="3" t="s">
        <v>106</v>
      </c>
      <c r="J1067" t="s">
        <v>66</v>
      </c>
      <c r="K1067" s="15">
        <v>1100000</v>
      </c>
      <c r="L1067" s="5" t="str">
        <f t="shared" si="16"/>
        <v>5  - 8</v>
      </c>
    </row>
    <row r="1068" spans="3:12" hidden="1">
      <c r="C1068" t="s">
        <v>31</v>
      </c>
      <c r="D1068" t="s">
        <v>55</v>
      </c>
      <c r="E1068">
        <v>5</v>
      </c>
      <c r="F1068" t="s">
        <v>10</v>
      </c>
      <c r="G1068" t="s">
        <v>51</v>
      </c>
      <c r="H1068" t="s">
        <v>344</v>
      </c>
      <c r="I1068" s="3" t="s">
        <v>71</v>
      </c>
      <c r="J1068" t="s">
        <v>54</v>
      </c>
      <c r="K1068" s="15">
        <v>820000</v>
      </c>
      <c r="L1068" s="5" t="str">
        <f t="shared" si="16"/>
        <v>5  - 8</v>
      </c>
    </row>
    <row r="1069" spans="3:12" hidden="1">
      <c r="C1069" t="s">
        <v>31</v>
      </c>
      <c r="D1069" t="s">
        <v>55</v>
      </c>
      <c r="E1069">
        <v>5</v>
      </c>
      <c r="F1069" t="s">
        <v>10</v>
      </c>
      <c r="G1069" t="s">
        <v>51</v>
      </c>
      <c r="H1069" t="s">
        <v>344</v>
      </c>
      <c r="I1069" s="3" t="s">
        <v>130</v>
      </c>
      <c r="J1069" t="s">
        <v>66</v>
      </c>
      <c r="K1069" s="15">
        <v>950000</v>
      </c>
      <c r="L1069" s="5" t="str">
        <f t="shared" si="16"/>
        <v>5  - 8</v>
      </c>
    </row>
    <row r="1070" spans="3:12" hidden="1">
      <c r="C1070" t="s">
        <v>31</v>
      </c>
      <c r="D1070" t="s">
        <v>55</v>
      </c>
      <c r="E1070">
        <v>5</v>
      </c>
      <c r="F1070" t="s">
        <v>10</v>
      </c>
      <c r="G1070" t="s">
        <v>59</v>
      </c>
      <c r="H1070" t="s">
        <v>344</v>
      </c>
      <c r="I1070" s="3" t="s">
        <v>130</v>
      </c>
      <c r="J1070" t="s">
        <v>66</v>
      </c>
      <c r="K1070" s="15">
        <v>950000</v>
      </c>
      <c r="L1070" s="5" t="str">
        <f t="shared" si="16"/>
        <v>5  - 8</v>
      </c>
    </row>
    <row r="1071" spans="3:12" hidden="1">
      <c r="C1071" t="s">
        <v>31</v>
      </c>
      <c r="D1071" t="s">
        <v>49</v>
      </c>
      <c r="E1071">
        <v>4</v>
      </c>
      <c r="F1071" t="s">
        <v>10</v>
      </c>
      <c r="G1071" t="s">
        <v>51</v>
      </c>
      <c r="H1071" t="s">
        <v>344</v>
      </c>
      <c r="I1071" s="3" t="s">
        <v>108</v>
      </c>
      <c r="J1071" t="s">
        <v>54</v>
      </c>
      <c r="K1071" s="15">
        <v>700000</v>
      </c>
      <c r="L1071" s="5" t="str">
        <f t="shared" si="16"/>
        <v>0 - 4</v>
      </c>
    </row>
    <row r="1072" spans="3:12" hidden="1">
      <c r="C1072" t="s">
        <v>31</v>
      </c>
      <c r="D1072" t="s">
        <v>55</v>
      </c>
      <c r="E1072">
        <v>3</v>
      </c>
      <c r="F1072" t="s">
        <v>10</v>
      </c>
      <c r="G1072" t="s">
        <v>51</v>
      </c>
      <c r="H1072" t="s">
        <v>344</v>
      </c>
      <c r="I1072" s="3" t="s">
        <v>75</v>
      </c>
      <c r="J1072" t="s">
        <v>66</v>
      </c>
      <c r="K1072" s="15">
        <v>710000</v>
      </c>
      <c r="L1072" s="5" t="str">
        <f t="shared" si="16"/>
        <v>0 - 4</v>
      </c>
    </row>
    <row r="1073" spans="3:12" hidden="1">
      <c r="C1073" t="s">
        <v>32</v>
      </c>
      <c r="D1073" t="s">
        <v>55</v>
      </c>
      <c r="E1073">
        <v>2</v>
      </c>
      <c r="F1073" t="s">
        <v>10</v>
      </c>
      <c r="G1073" t="s">
        <v>59</v>
      </c>
      <c r="H1073" t="s">
        <v>344</v>
      </c>
      <c r="I1073" s="3" t="s">
        <v>151</v>
      </c>
      <c r="J1073" t="s">
        <v>54</v>
      </c>
      <c r="K1073" s="15">
        <v>690000</v>
      </c>
      <c r="L1073" s="5" t="str">
        <f t="shared" si="16"/>
        <v>0 - 4</v>
      </c>
    </row>
    <row r="1074" spans="3:12" hidden="1">
      <c r="C1074" t="s">
        <v>31</v>
      </c>
      <c r="D1074" t="s">
        <v>67</v>
      </c>
      <c r="E1074">
        <v>18</v>
      </c>
      <c r="F1074" t="s">
        <v>11</v>
      </c>
      <c r="G1074" t="s">
        <v>51</v>
      </c>
      <c r="H1074" t="s">
        <v>344</v>
      </c>
      <c r="I1074" s="3" t="s">
        <v>116</v>
      </c>
      <c r="J1074" t="s">
        <v>54</v>
      </c>
      <c r="K1074" s="15">
        <v>800000</v>
      </c>
      <c r="L1074" s="5" t="str">
        <f t="shared" si="16"/>
        <v>15 +</v>
      </c>
    </row>
    <row r="1075" spans="3:12" hidden="1">
      <c r="C1075" t="s">
        <v>31</v>
      </c>
      <c r="D1075" t="s">
        <v>73</v>
      </c>
      <c r="E1075">
        <v>7</v>
      </c>
      <c r="F1075" t="s">
        <v>11</v>
      </c>
      <c r="G1075" t="s">
        <v>51</v>
      </c>
      <c r="H1075" t="s">
        <v>344</v>
      </c>
      <c r="I1075" s="3" t="s">
        <v>116</v>
      </c>
      <c r="J1075" t="s">
        <v>54</v>
      </c>
      <c r="K1075" s="15">
        <v>800000</v>
      </c>
      <c r="L1075" s="5" t="str">
        <f t="shared" si="16"/>
        <v>5  - 8</v>
      </c>
    </row>
    <row r="1076" spans="3:12" hidden="1">
      <c r="C1076" t="s">
        <v>31</v>
      </c>
      <c r="D1076" t="s">
        <v>55</v>
      </c>
      <c r="E1076">
        <v>6</v>
      </c>
      <c r="F1076" t="s">
        <v>11</v>
      </c>
      <c r="G1076" t="s">
        <v>51</v>
      </c>
      <c r="H1076" t="s">
        <v>344</v>
      </c>
      <c r="I1076" s="3" t="s">
        <v>110</v>
      </c>
      <c r="J1076" t="s">
        <v>66</v>
      </c>
      <c r="K1076" s="15">
        <v>1000000</v>
      </c>
      <c r="L1076" s="5" t="str">
        <f t="shared" si="16"/>
        <v>5  - 8</v>
      </c>
    </row>
    <row r="1077" spans="3:12" hidden="1">
      <c r="C1077" t="s">
        <v>31</v>
      </c>
      <c r="D1077" t="s">
        <v>55</v>
      </c>
      <c r="E1077">
        <v>7</v>
      </c>
      <c r="F1077" t="s">
        <v>13</v>
      </c>
      <c r="G1077" t="s">
        <v>59</v>
      </c>
      <c r="H1077" t="s">
        <v>344</v>
      </c>
      <c r="I1077" s="3" t="s">
        <v>347</v>
      </c>
      <c r="J1077" t="s">
        <v>54</v>
      </c>
      <c r="K1077" s="15">
        <v>1125375</v>
      </c>
      <c r="L1077" s="5" t="str">
        <f t="shared" si="16"/>
        <v>5  - 8</v>
      </c>
    </row>
    <row r="1078" spans="3:12" hidden="1">
      <c r="C1078" t="s">
        <v>31</v>
      </c>
      <c r="D1078" t="s">
        <v>63</v>
      </c>
      <c r="E1078">
        <v>1</v>
      </c>
      <c r="F1078" t="s">
        <v>13</v>
      </c>
      <c r="G1078" t="s">
        <v>51</v>
      </c>
      <c r="H1078" t="s">
        <v>344</v>
      </c>
      <c r="I1078" s="3" t="s">
        <v>119</v>
      </c>
      <c r="J1078" t="s">
        <v>54</v>
      </c>
      <c r="K1078" s="15">
        <v>630000</v>
      </c>
      <c r="L1078" s="5" t="str">
        <f t="shared" si="16"/>
        <v>0 - 4</v>
      </c>
    </row>
    <row r="1079" spans="3:12" hidden="1">
      <c r="C1079" t="s">
        <v>30</v>
      </c>
      <c r="D1079" t="s">
        <v>63</v>
      </c>
      <c r="E1079">
        <v>0</v>
      </c>
      <c r="F1079" t="s">
        <v>13</v>
      </c>
      <c r="G1079" t="s">
        <v>51</v>
      </c>
      <c r="H1079" t="s">
        <v>344</v>
      </c>
      <c r="I1079" s="3" t="s">
        <v>130</v>
      </c>
      <c r="J1079" t="s">
        <v>66</v>
      </c>
      <c r="K1079" s="15">
        <v>950000</v>
      </c>
      <c r="L1079" s="5" t="str">
        <f t="shared" si="16"/>
        <v>0 - 4</v>
      </c>
    </row>
    <row r="1080" spans="3:12" hidden="1">
      <c r="C1080" t="s">
        <v>31</v>
      </c>
      <c r="D1080" t="s">
        <v>73</v>
      </c>
      <c r="E1080">
        <v>2</v>
      </c>
      <c r="F1080" t="s">
        <v>14</v>
      </c>
      <c r="G1080" t="s">
        <v>51</v>
      </c>
      <c r="H1080" t="s">
        <v>344</v>
      </c>
      <c r="I1080" s="3" t="s">
        <v>266</v>
      </c>
      <c r="J1080" t="s">
        <v>54</v>
      </c>
      <c r="K1080" s="15">
        <v>675000</v>
      </c>
      <c r="L1080" s="5" t="str">
        <f t="shared" si="16"/>
        <v>0 - 4</v>
      </c>
    </row>
    <row r="1081" spans="3:12" hidden="1">
      <c r="C1081" t="s">
        <v>31</v>
      </c>
      <c r="D1081" t="s">
        <v>49</v>
      </c>
      <c r="E1081">
        <v>30</v>
      </c>
      <c r="F1081" t="s">
        <v>15</v>
      </c>
      <c r="G1081" t="s">
        <v>51</v>
      </c>
      <c r="H1081" t="s">
        <v>344</v>
      </c>
      <c r="I1081" s="3" t="s">
        <v>348</v>
      </c>
      <c r="J1081" t="s">
        <v>66</v>
      </c>
      <c r="K1081" s="15">
        <v>2600000</v>
      </c>
      <c r="L1081" s="5" t="str">
        <f t="shared" si="16"/>
        <v>15 +</v>
      </c>
    </row>
    <row r="1082" spans="3:12" hidden="1">
      <c r="C1082" t="s">
        <v>31</v>
      </c>
      <c r="D1082" t="s">
        <v>55</v>
      </c>
      <c r="E1082">
        <v>26</v>
      </c>
      <c r="F1082" t="s">
        <v>15</v>
      </c>
      <c r="G1082" t="s">
        <v>51</v>
      </c>
      <c r="H1082" t="s">
        <v>344</v>
      </c>
      <c r="I1082" s="3" t="s">
        <v>349</v>
      </c>
      <c r="J1082" t="s">
        <v>66</v>
      </c>
      <c r="K1082" s="15">
        <v>1295000</v>
      </c>
      <c r="L1082" s="5" t="str">
        <f t="shared" si="16"/>
        <v>15 +</v>
      </c>
    </row>
    <row r="1083" spans="3:12" hidden="1">
      <c r="C1083" t="s">
        <v>31</v>
      </c>
      <c r="D1083" t="s">
        <v>49</v>
      </c>
      <c r="E1083">
        <v>23</v>
      </c>
      <c r="F1083" t="s">
        <v>15</v>
      </c>
      <c r="G1083" t="s">
        <v>51</v>
      </c>
      <c r="H1083" t="s">
        <v>344</v>
      </c>
      <c r="I1083" s="3" t="s">
        <v>111</v>
      </c>
      <c r="J1083" t="s">
        <v>54</v>
      </c>
      <c r="K1083" s="15">
        <v>870000</v>
      </c>
      <c r="L1083" s="5" t="str">
        <f t="shared" si="16"/>
        <v>15 +</v>
      </c>
    </row>
    <row r="1084" spans="3:12" hidden="1">
      <c r="C1084" t="s">
        <v>31</v>
      </c>
      <c r="D1084" t="s">
        <v>73</v>
      </c>
      <c r="E1084">
        <v>4</v>
      </c>
      <c r="F1084" t="s">
        <v>15</v>
      </c>
      <c r="G1084" t="s">
        <v>59</v>
      </c>
      <c r="H1084" t="s">
        <v>344</v>
      </c>
      <c r="I1084" s="3" t="s">
        <v>350</v>
      </c>
      <c r="J1084" t="s">
        <v>66</v>
      </c>
      <c r="K1084" s="15">
        <v>703000</v>
      </c>
      <c r="L1084" s="5" t="str">
        <f t="shared" si="16"/>
        <v>0 - 4</v>
      </c>
    </row>
    <row r="1085" spans="3:12" hidden="1">
      <c r="C1085" t="s">
        <v>30</v>
      </c>
      <c r="D1085" t="s">
        <v>73</v>
      </c>
      <c r="E1085">
        <v>1</v>
      </c>
      <c r="F1085" t="s">
        <v>15</v>
      </c>
      <c r="G1085" t="s">
        <v>51</v>
      </c>
      <c r="H1085" t="s">
        <v>344</v>
      </c>
      <c r="I1085" s="3" t="s">
        <v>226</v>
      </c>
      <c r="J1085" t="s">
        <v>66</v>
      </c>
      <c r="K1085" s="15">
        <v>585000</v>
      </c>
      <c r="L1085" s="5" t="str">
        <f t="shared" si="16"/>
        <v>0 - 4</v>
      </c>
    </row>
    <row r="1086" spans="3:12" hidden="1">
      <c r="C1086" t="s">
        <v>31</v>
      </c>
      <c r="D1086" t="s">
        <v>55</v>
      </c>
      <c r="E1086">
        <v>9</v>
      </c>
      <c r="F1086" t="s">
        <v>8</v>
      </c>
      <c r="G1086" t="s">
        <v>51</v>
      </c>
      <c r="H1086" t="s">
        <v>351</v>
      </c>
      <c r="I1086" s="3" t="s">
        <v>108</v>
      </c>
      <c r="J1086" t="s">
        <v>54</v>
      </c>
      <c r="K1086" s="15">
        <v>700000</v>
      </c>
      <c r="L1086" s="5" t="str">
        <f t="shared" si="16"/>
        <v>9 - 14</v>
      </c>
    </row>
    <row r="1087" spans="3:12" hidden="1">
      <c r="C1087" t="s">
        <v>31</v>
      </c>
      <c r="D1087" t="s">
        <v>73</v>
      </c>
      <c r="E1087">
        <v>7</v>
      </c>
      <c r="F1087" t="s">
        <v>8</v>
      </c>
      <c r="G1087" t="s">
        <v>59</v>
      </c>
      <c r="H1087" t="s">
        <v>351</v>
      </c>
      <c r="I1087" s="3" t="s">
        <v>148</v>
      </c>
      <c r="J1087" t="s">
        <v>66</v>
      </c>
      <c r="K1087" s="15">
        <v>1050000</v>
      </c>
      <c r="L1087" s="5" t="str">
        <f t="shared" si="16"/>
        <v>5  - 8</v>
      </c>
    </row>
    <row r="1088" spans="3:12" hidden="1">
      <c r="C1088" t="s">
        <v>30</v>
      </c>
      <c r="D1088" t="s">
        <v>73</v>
      </c>
      <c r="E1088">
        <v>6</v>
      </c>
      <c r="F1088" t="s">
        <v>8</v>
      </c>
      <c r="G1088" t="s">
        <v>59</v>
      </c>
      <c r="H1088" t="s">
        <v>351</v>
      </c>
      <c r="I1088" s="3" t="s">
        <v>257</v>
      </c>
      <c r="J1088" t="s">
        <v>54</v>
      </c>
      <c r="K1088" s="15">
        <v>915000</v>
      </c>
      <c r="L1088" s="5" t="str">
        <f t="shared" si="16"/>
        <v>5  - 8</v>
      </c>
    </row>
    <row r="1089" spans="3:12" hidden="1">
      <c r="C1089" t="s">
        <v>31</v>
      </c>
      <c r="D1089" t="s">
        <v>73</v>
      </c>
      <c r="E1089">
        <v>5</v>
      </c>
      <c r="F1089" t="s">
        <v>8</v>
      </c>
      <c r="G1089" t="s">
        <v>59</v>
      </c>
      <c r="H1089" t="s">
        <v>351</v>
      </c>
      <c r="I1089" s="3" t="s">
        <v>352</v>
      </c>
      <c r="J1089" t="s">
        <v>54</v>
      </c>
      <c r="K1089" s="15">
        <v>836000</v>
      </c>
      <c r="L1089" s="5" t="str">
        <f t="shared" si="16"/>
        <v>5  - 8</v>
      </c>
    </row>
    <row r="1090" spans="3:12" hidden="1">
      <c r="C1090" t="s">
        <v>31</v>
      </c>
      <c r="D1090" t="s">
        <v>73</v>
      </c>
      <c r="E1090">
        <v>4</v>
      </c>
      <c r="F1090" t="s">
        <v>8</v>
      </c>
      <c r="G1090" t="s">
        <v>59</v>
      </c>
      <c r="H1090" t="s">
        <v>351</v>
      </c>
      <c r="I1090" s="3" t="s">
        <v>353</v>
      </c>
      <c r="J1090" t="s">
        <v>54</v>
      </c>
      <c r="K1090" s="15">
        <v>912000</v>
      </c>
      <c r="L1090" s="5" t="str">
        <f t="shared" si="16"/>
        <v>0 - 4</v>
      </c>
    </row>
    <row r="1091" spans="3:12" hidden="1">
      <c r="C1091" t="s">
        <v>31</v>
      </c>
      <c r="D1091" t="s">
        <v>77</v>
      </c>
      <c r="E1091">
        <v>3</v>
      </c>
      <c r="F1091" t="s">
        <v>8</v>
      </c>
      <c r="G1091" t="s">
        <v>51</v>
      </c>
      <c r="H1091" t="s">
        <v>351</v>
      </c>
      <c r="I1091" s="3" t="s">
        <v>354</v>
      </c>
      <c r="J1091" t="s">
        <v>54</v>
      </c>
      <c r="K1091" s="15">
        <v>520000</v>
      </c>
      <c r="L1091" s="5" t="str">
        <f t="shared" ref="L1091:L1154" si="17">_xlfn.XLOOKUP(E1091,$P$2:$P$5,$O$2:$O$5,,1)</f>
        <v>0 - 4</v>
      </c>
    </row>
    <row r="1092" spans="3:12" hidden="1">
      <c r="C1092" t="s">
        <v>31</v>
      </c>
      <c r="D1092" t="s">
        <v>49</v>
      </c>
      <c r="E1092">
        <v>2</v>
      </c>
      <c r="F1092" t="s">
        <v>8</v>
      </c>
      <c r="G1092" t="s">
        <v>51</v>
      </c>
      <c r="H1092" t="s">
        <v>351</v>
      </c>
      <c r="I1092" s="3" t="s">
        <v>114</v>
      </c>
      <c r="J1092" t="s">
        <v>54</v>
      </c>
      <c r="K1092" s="15">
        <v>685000</v>
      </c>
      <c r="L1092" s="5" t="str">
        <f t="shared" si="17"/>
        <v>0 - 4</v>
      </c>
    </row>
    <row r="1093" spans="3:12" hidden="1">
      <c r="C1093" t="s">
        <v>31</v>
      </c>
      <c r="D1093" t="s">
        <v>55</v>
      </c>
      <c r="E1093">
        <v>2</v>
      </c>
      <c r="F1093" t="s">
        <v>8</v>
      </c>
      <c r="G1093" t="s">
        <v>59</v>
      </c>
      <c r="H1093" t="s">
        <v>351</v>
      </c>
      <c r="I1093" s="3" t="s">
        <v>108</v>
      </c>
      <c r="J1093" t="s">
        <v>54</v>
      </c>
      <c r="K1093" s="15">
        <v>700000</v>
      </c>
      <c r="L1093" s="5" t="str">
        <f t="shared" si="17"/>
        <v>0 - 4</v>
      </c>
    </row>
    <row r="1094" spans="3:12" hidden="1">
      <c r="C1094" t="s">
        <v>30</v>
      </c>
      <c r="D1094" t="s">
        <v>56</v>
      </c>
      <c r="E1094">
        <v>1</v>
      </c>
      <c r="F1094" t="s">
        <v>8</v>
      </c>
      <c r="G1094" t="s">
        <v>59</v>
      </c>
      <c r="H1094" t="s">
        <v>351</v>
      </c>
      <c r="I1094" s="3" t="s">
        <v>226</v>
      </c>
      <c r="J1094" t="s">
        <v>54</v>
      </c>
      <c r="K1094" s="15">
        <v>585000</v>
      </c>
      <c r="L1094" s="5" t="str">
        <f t="shared" si="17"/>
        <v>0 - 4</v>
      </c>
    </row>
    <row r="1095" spans="3:12" hidden="1">
      <c r="C1095" t="s">
        <v>31</v>
      </c>
      <c r="D1095" t="s">
        <v>56</v>
      </c>
      <c r="E1095">
        <v>1</v>
      </c>
      <c r="F1095" t="s">
        <v>8</v>
      </c>
      <c r="G1095" t="s">
        <v>51</v>
      </c>
      <c r="H1095" t="s">
        <v>351</v>
      </c>
      <c r="I1095" s="3" t="s">
        <v>266</v>
      </c>
      <c r="J1095" t="s">
        <v>54</v>
      </c>
      <c r="K1095" s="15">
        <v>675000</v>
      </c>
      <c r="L1095" s="5" t="str">
        <f t="shared" si="17"/>
        <v>0 - 4</v>
      </c>
    </row>
    <row r="1096" spans="3:12" hidden="1">
      <c r="C1096" t="s">
        <v>31</v>
      </c>
      <c r="D1096" t="s">
        <v>73</v>
      </c>
      <c r="E1096">
        <v>25</v>
      </c>
      <c r="F1096" t="s">
        <v>16</v>
      </c>
      <c r="G1096" t="s">
        <v>51</v>
      </c>
      <c r="H1096" t="s">
        <v>351</v>
      </c>
      <c r="I1096" s="3" t="s">
        <v>181</v>
      </c>
      <c r="J1096" t="s">
        <v>54</v>
      </c>
      <c r="K1096" s="15">
        <v>1030000</v>
      </c>
      <c r="L1096" s="5" t="str">
        <f t="shared" si="17"/>
        <v>15 +</v>
      </c>
    </row>
    <row r="1097" spans="3:12" hidden="1">
      <c r="C1097" t="s">
        <v>31</v>
      </c>
      <c r="D1097" t="s">
        <v>77</v>
      </c>
      <c r="E1097">
        <v>22</v>
      </c>
      <c r="F1097" t="s">
        <v>16</v>
      </c>
      <c r="G1097" t="s">
        <v>59</v>
      </c>
      <c r="H1097" t="s">
        <v>351</v>
      </c>
      <c r="I1097" s="3" t="s">
        <v>173</v>
      </c>
      <c r="J1097" t="s">
        <v>66</v>
      </c>
      <c r="K1097" s="15">
        <v>1250000</v>
      </c>
      <c r="L1097" s="5" t="str">
        <f t="shared" si="17"/>
        <v>15 +</v>
      </c>
    </row>
    <row r="1098" spans="3:12" hidden="1">
      <c r="C1098" t="s">
        <v>31</v>
      </c>
      <c r="D1098" t="s">
        <v>77</v>
      </c>
      <c r="E1098">
        <v>17</v>
      </c>
      <c r="F1098" t="s">
        <v>16</v>
      </c>
      <c r="G1098" t="s">
        <v>59</v>
      </c>
      <c r="H1098" t="s">
        <v>351</v>
      </c>
      <c r="I1098" s="3" t="s">
        <v>130</v>
      </c>
      <c r="J1098" t="s">
        <v>66</v>
      </c>
      <c r="K1098" s="15">
        <v>950000</v>
      </c>
      <c r="L1098" s="5" t="str">
        <f t="shared" si="17"/>
        <v>15 +</v>
      </c>
    </row>
    <row r="1099" spans="3:12" hidden="1">
      <c r="C1099" t="s">
        <v>31</v>
      </c>
      <c r="D1099" t="s">
        <v>49</v>
      </c>
      <c r="E1099">
        <v>10</v>
      </c>
      <c r="F1099" t="s">
        <v>16</v>
      </c>
      <c r="G1099" t="s">
        <v>51</v>
      </c>
      <c r="H1099" t="s">
        <v>351</v>
      </c>
      <c r="I1099" s="3" t="s">
        <v>286</v>
      </c>
      <c r="J1099" t="s">
        <v>54</v>
      </c>
      <c r="K1099" s="15">
        <v>815000</v>
      </c>
      <c r="L1099" s="5" t="str">
        <f t="shared" si="17"/>
        <v>9 - 14</v>
      </c>
    </row>
    <row r="1100" spans="3:12" hidden="1">
      <c r="C1100" t="s">
        <v>31</v>
      </c>
      <c r="D1100" t="s">
        <v>55</v>
      </c>
      <c r="E1100">
        <v>7</v>
      </c>
      <c r="F1100" t="s">
        <v>16</v>
      </c>
      <c r="G1100" t="s">
        <v>59</v>
      </c>
      <c r="H1100" t="s">
        <v>351</v>
      </c>
      <c r="I1100" s="3" t="s">
        <v>110</v>
      </c>
      <c r="J1100" t="s">
        <v>66</v>
      </c>
      <c r="K1100" s="15">
        <v>1000000</v>
      </c>
      <c r="L1100" s="5" t="str">
        <f t="shared" si="17"/>
        <v>5  - 8</v>
      </c>
    </row>
    <row r="1101" spans="3:12" hidden="1">
      <c r="C1101" t="s">
        <v>31</v>
      </c>
      <c r="D1101" t="s">
        <v>73</v>
      </c>
      <c r="E1101">
        <v>4</v>
      </c>
      <c r="F1101" t="s">
        <v>16</v>
      </c>
      <c r="G1101" t="s">
        <v>57</v>
      </c>
      <c r="H1101" t="s">
        <v>351</v>
      </c>
      <c r="I1101" s="3" t="s">
        <v>226</v>
      </c>
      <c r="J1101" t="s">
        <v>54</v>
      </c>
      <c r="K1101" s="15">
        <v>585000</v>
      </c>
      <c r="L1101" s="5" t="str">
        <f t="shared" si="17"/>
        <v>0 - 4</v>
      </c>
    </row>
    <row r="1102" spans="3:12" hidden="1">
      <c r="C1102" t="s">
        <v>31</v>
      </c>
      <c r="D1102" t="s">
        <v>77</v>
      </c>
      <c r="E1102">
        <v>4</v>
      </c>
      <c r="F1102" t="s">
        <v>16</v>
      </c>
      <c r="G1102" t="s">
        <v>51</v>
      </c>
      <c r="H1102" t="s">
        <v>351</v>
      </c>
      <c r="I1102" s="3" t="s">
        <v>113</v>
      </c>
      <c r="J1102" t="s">
        <v>66</v>
      </c>
      <c r="K1102" s="15">
        <v>590000</v>
      </c>
      <c r="L1102" s="5" t="str">
        <f t="shared" si="17"/>
        <v>0 - 4</v>
      </c>
    </row>
    <row r="1103" spans="3:12" hidden="1">
      <c r="C1103" t="s">
        <v>31</v>
      </c>
      <c r="D1103" t="s">
        <v>55</v>
      </c>
      <c r="E1103">
        <v>4</v>
      </c>
      <c r="F1103" t="s">
        <v>16</v>
      </c>
      <c r="G1103" t="s">
        <v>59</v>
      </c>
      <c r="H1103" t="s">
        <v>351</v>
      </c>
      <c r="I1103" s="3" t="s">
        <v>85</v>
      </c>
      <c r="J1103" t="s">
        <v>54</v>
      </c>
      <c r="K1103" s="15">
        <v>650000</v>
      </c>
      <c r="L1103" s="5" t="str">
        <f t="shared" si="17"/>
        <v>0 - 4</v>
      </c>
    </row>
    <row r="1104" spans="3:12" hidden="1">
      <c r="C1104" t="s">
        <v>31</v>
      </c>
      <c r="D1104" t="s">
        <v>73</v>
      </c>
      <c r="E1104">
        <v>4</v>
      </c>
      <c r="F1104" t="s">
        <v>16</v>
      </c>
      <c r="G1104" t="s">
        <v>59</v>
      </c>
      <c r="H1104" t="s">
        <v>351</v>
      </c>
      <c r="I1104" s="3" t="s">
        <v>116</v>
      </c>
      <c r="J1104" t="s">
        <v>66</v>
      </c>
      <c r="K1104" s="15">
        <v>800000</v>
      </c>
      <c r="L1104" s="5" t="str">
        <f t="shared" si="17"/>
        <v>0 - 4</v>
      </c>
    </row>
    <row r="1105" spans="3:12" hidden="1">
      <c r="C1105" t="s">
        <v>31</v>
      </c>
      <c r="D1105" t="s">
        <v>73</v>
      </c>
      <c r="E1105">
        <v>1</v>
      </c>
      <c r="F1105" t="s">
        <v>16</v>
      </c>
      <c r="G1105" t="s">
        <v>51</v>
      </c>
      <c r="H1105" t="s">
        <v>351</v>
      </c>
      <c r="I1105" s="3" t="s">
        <v>355</v>
      </c>
      <c r="J1105" t="s">
        <v>54</v>
      </c>
      <c r="K1105" s="15">
        <v>565900</v>
      </c>
      <c r="L1105" s="5" t="str">
        <f t="shared" si="17"/>
        <v>0 - 4</v>
      </c>
    </row>
    <row r="1106" spans="3:12" hidden="1">
      <c r="C1106" t="s">
        <v>31</v>
      </c>
      <c r="D1106" t="s">
        <v>73</v>
      </c>
      <c r="E1106">
        <v>1</v>
      </c>
      <c r="F1106" t="s">
        <v>16</v>
      </c>
      <c r="G1106" t="s">
        <v>59</v>
      </c>
      <c r="H1106" t="s">
        <v>351</v>
      </c>
      <c r="I1106" s="3" t="s">
        <v>226</v>
      </c>
      <c r="J1106" t="s">
        <v>54</v>
      </c>
      <c r="K1106" s="15">
        <v>585000</v>
      </c>
      <c r="L1106" s="5" t="str">
        <f t="shared" si="17"/>
        <v>0 - 4</v>
      </c>
    </row>
    <row r="1107" spans="3:12" hidden="1">
      <c r="C1107" t="s">
        <v>31</v>
      </c>
      <c r="D1107" t="s">
        <v>73</v>
      </c>
      <c r="E1107">
        <v>23</v>
      </c>
      <c r="F1107" t="s">
        <v>19</v>
      </c>
      <c r="G1107" t="s">
        <v>51</v>
      </c>
      <c r="H1107" t="s">
        <v>351</v>
      </c>
      <c r="I1107" s="3" t="s">
        <v>139</v>
      </c>
      <c r="J1107" t="s">
        <v>54</v>
      </c>
      <c r="K1107" s="15">
        <v>600000</v>
      </c>
      <c r="L1107" s="5" t="str">
        <f t="shared" si="17"/>
        <v>15 +</v>
      </c>
    </row>
    <row r="1108" spans="3:12" hidden="1">
      <c r="C1108" t="s">
        <v>31</v>
      </c>
      <c r="D1108" t="s">
        <v>77</v>
      </c>
      <c r="E1108">
        <v>19</v>
      </c>
      <c r="F1108" t="s">
        <v>19</v>
      </c>
      <c r="G1108" t="s">
        <v>51</v>
      </c>
      <c r="H1108" t="s">
        <v>351</v>
      </c>
      <c r="I1108" s="3" t="s">
        <v>166</v>
      </c>
      <c r="J1108" t="s">
        <v>54</v>
      </c>
      <c r="K1108" s="15">
        <v>890000</v>
      </c>
      <c r="L1108" s="5" t="str">
        <f t="shared" si="17"/>
        <v>15 +</v>
      </c>
    </row>
    <row r="1109" spans="3:12" hidden="1">
      <c r="C1109" t="s">
        <v>31</v>
      </c>
      <c r="D1109" t="s">
        <v>73</v>
      </c>
      <c r="E1109">
        <v>10</v>
      </c>
      <c r="F1109" t="s">
        <v>19</v>
      </c>
      <c r="G1109" t="s">
        <v>51</v>
      </c>
      <c r="H1109" t="s">
        <v>351</v>
      </c>
      <c r="I1109" s="3" t="s">
        <v>165</v>
      </c>
      <c r="J1109" t="s">
        <v>54</v>
      </c>
      <c r="K1109" s="15">
        <v>720000</v>
      </c>
      <c r="L1109" s="5" t="str">
        <f t="shared" si="17"/>
        <v>9 - 14</v>
      </c>
    </row>
    <row r="1110" spans="3:12" hidden="1">
      <c r="C1110" t="s">
        <v>30</v>
      </c>
      <c r="D1110" t="s">
        <v>49</v>
      </c>
      <c r="E1110">
        <v>9</v>
      </c>
      <c r="F1110" t="s">
        <v>19</v>
      </c>
      <c r="G1110" t="s">
        <v>59</v>
      </c>
      <c r="H1110" t="s">
        <v>351</v>
      </c>
      <c r="I1110" s="3" t="s">
        <v>118</v>
      </c>
      <c r="J1110" t="s">
        <v>54</v>
      </c>
      <c r="K1110" s="15">
        <v>570000</v>
      </c>
      <c r="L1110" s="5" t="str">
        <f t="shared" si="17"/>
        <v>9 - 14</v>
      </c>
    </row>
    <row r="1111" spans="3:12" hidden="1">
      <c r="C1111" t="s">
        <v>31</v>
      </c>
      <c r="D1111" t="s">
        <v>77</v>
      </c>
      <c r="E1111">
        <v>7</v>
      </c>
      <c r="F1111" t="s">
        <v>19</v>
      </c>
      <c r="G1111" t="s">
        <v>51</v>
      </c>
      <c r="H1111" t="s">
        <v>351</v>
      </c>
      <c r="I1111" s="3" t="s">
        <v>110</v>
      </c>
      <c r="J1111" t="s">
        <v>66</v>
      </c>
      <c r="K1111" s="15">
        <v>1000000</v>
      </c>
      <c r="L1111" s="5" t="str">
        <f t="shared" si="17"/>
        <v>5  - 8</v>
      </c>
    </row>
    <row r="1112" spans="3:12" hidden="1">
      <c r="C1112" t="s">
        <v>30</v>
      </c>
      <c r="D1112" t="s">
        <v>73</v>
      </c>
      <c r="E1112">
        <v>4</v>
      </c>
      <c r="F1112" t="s">
        <v>19</v>
      </c>
      <c r="G1112" t="s">
        <v>51</v>
      </c>
      <c r="H1112" t="s">
        <v>351</v>
      </c>
      <c r="I1112" s="3" t="s">
        <v>90</v>
      </c>
      <c r="J1112" t="s">
        <v>54</v>
      </c>
      <c r="K1112" s="15">
        <v>660000</v>
      </c>
      <c r="L1112" s="5" t="str">
        <f t="shared" si="17"/>
        <v>0 - 4</v>
      </c>
    </row>
    <row r="1113" spans="3:12" hidden="1">
      <c r="C1113" t="s">
        <v>31</v>
      </c>
      <c r="D1113" t="s">
        <v>77</v>
      </c>
      <c r="E1113">
        <v>20</v>
      </c>
      <c r="F1113" t="s">
        <v>9</v>
      </c>
      <c r="G1113" t="s">
        <v>51</v>
      </c>
      <c r="H1113" t="s">
        <v>351</v>
      </c>
      <c r="I1113" s="3" t="s">
        <v>346</v>
      </c>
      <c r="J1113" t="s">
        <v>54</v>
      </c>
      <c r="K1113" s="15">
        <v>1075000</v>
      </c>
      <c r="L1113" s="5" t="str">
        <f t="shared" si="17"/>
        <v>15 +</v>
      </c>
    </row>
    <row r="1114" spans="3:12" hidden="1">
      <c r="C1114" t="s">
        <v>31</v>
      </c>
      <c r="D1114" t="s">
        <v>73</v>
      </c>
      <c r="E1114">
        <v>14</v>
      </c>
      <c r="F1114" t="s">
        <v>9</v>
      </c>
      <c r="G1114" t="s">
        <v>57</v>
      </c>
      <c r="H1114" t="s">
        <v>351</v>
      </c>
      <c r="I1114" s="3" t="s">
        <v>172</v>
      </c>
      <c r="J1114" t="s">
        <v>54</v>
      </c>
      <c r="K1114" s="15">
        <v>775000</v>
      </c>
      <c r="L1114" s="5" t="str">
        <f t="shared" si="17"/>
        <v>9 - 14</v>
      </c>
    </row>
    <row r="1115" spans="3:12" hidden="1">
      <c r="C1115" t="s">
        <v>31</v>
      </c>
      <c r="D1115" t="s">
        <v>73</v>
      </c>
      <c r="E1115">
        <v>10</v>
      </c>
      <c r="F1115" t="s">
        <v>9</v>
      </c>
      <c r="G1115" t="s">
        <v>57</v>
      </c>
      <c r="H1115" t="s">
        <v>351</v>
      </c>
      <c r="I1115" s="3" t="s">
        <v>79</v>
      </c>
      <c r="J1115" t="s">
        <v>54</v>
      </c>
      <c r="K1115" s="15">
        <v>900000</v>
      </c>
      <c r="L1115" s="5" t="str">
        <f t="shared" si="17"/>
        <v>9 - 14</v>
      </c>
    </row>
    <row r="1116" spans="3:12" hidden="1">
      <c r="C1116" t="s">
        <v>30</v>
      </c>
      <c r="D1116" t="s">
        <v>73</v>
      </c>
      <c r="E1116">
        <v>3</v>
      </c>
      <c r="F1116" t="s">
        <v>9</v>
      </c>
      <c r="G1116" t="s">
        <v>51</v>
      </c>
      <c r="H1116" t="s">
        <v>351</v>
      </c>
      <c r="I1116" s="3" t="s">
        <v>356</v>
      </c>
      <c r="J1116" t="s">
        <v>54</v>
      </c>
      <c r="K1116" s="15">
        <v>490000</v>
      </c>
      <c r="L1116" s="5" t="str">
        <f t="shared" si="17"/>
        <v>0 - 4</v>
      </c>
    </row>
    <row r="1117" spans="3:12" hidden="1">
      <c r="C1117" t="s">
        <v>30</v>
      </c>
      <c r="D1117" t="s">
        <v>56</v>
      </c>
      <c r="E1117">
        <v>2</v>
      </c>
      <c r="F1117" t="s">
        <v>9</v>
      </c>
      <c r="G1117" t="s">
        <v>51</v>
      </c>
      <c r="H1117" t="s">
        <v>351</v>
      </c>
      <c r="I1117" s="3" t="s">
        <v>191</v>
      </c>
      <c r="J1117" t="s">
        <v>54</v>
      </c>
      <c r="K1117" s="15">
        <v>530000</v>
      </c>
      <c r="L1117" s="5" t="str">
        <f t="shared" si="17"/>
        <v>0 - 4</v>
      </c>
    </row>
    <row r="1118" spans="3:12" hidden="1">
      <c r="C1118" t="s">
        <v>31</v>
      </c>
      <c r="D1118" t="s">
        <v>56</v>
      </c>
      <c r="E1118">
        <v>2</v>
      </c>
      <c r="F1118" t="s">
        <v>9</v>
      </c>
      <c r="G1118" t="s">
        <v>51</v>
      </c>
      <c r="H1118" t="s">
        <v>351</v>
      </c>
      <c r="I1118" s="3" t="s">
        <v>310</v>
      </c>
      <c r="J1118" t="s">
        <v>54</v>
      </c>
      <c r="K1118" s="15">
        <v>480000</v>
      </c>
      <c r="L1118" s="5" t="str">
        <f t="shared" si="17"/>
        <v>0 - 4</v>
      </c>
    </row>
    <row r="1119" spans="3:12" hidden="1">
      <c r="C1119" t="s">
        <v>31</v>
      </c>
      <c r="D1119" t="s">
        <v>56</v>
      </c>
      <c r="E1119">
        <v>2</v>
      </c>
      <c r="F1119" t="s">
        <v>9</v>
      </c>
      <c r="G1119" t="s">
        <v>57</v>
      </c>
      <c r="H1119" t="s">
        <v>351</v>
      </c>
      <c r="I1119" s="3" t="s">
        <v>113</v>
      </c>
      <c r="J1119" t="s">
        <v>54</v>
      </c>
      <c r="K1119" s="15">
        <v>590000</v>
      </c>
      <c r="L1119" s="5" t="str">
        <f t="shared" si="17"/>
        <v>0 - 4</v>
      </c>
    </row>
    <row r="1120" spans="3:12" hidden="1">
      <c r="C1120" t="s">
        <v>30</v>
      </c>
      <c r="D1120" t="s">
        <v>56</v>
      </c>
      <c r="E1120">
        <v>1</v>
      </c>
      <c r="F1120" t="s">
        <v>9</v>
      </c>
      <c r="G1120" t="s">
        <v>57</v>
      </c>
      <c r="H1120" t="s">
        <v>351</v>
      </c>
      <c r="I1120" s="3" t="s">
        <v>81</v>
      </c>
      <c r="J1120" t="s">
        <v>54</v>
      </c>
      <c r="K1120" s="15">
        <v>640000</v>
      </c>
      <c r="L1120" s="5" t="str">
        <f t="shared" si="17"/>
        <v>0 - 4</v>
      </c>
    </row>
    <row r="1121" spans="3:12" hidden="1">
      <c r="C1121" t="s">
        <v>31</v>
      </c>
      <c r="D1121" t="s">
        <v>56</v>
      </c>
      <c r="E1121">
        <v>0</v>
      </c>
      <c r="F1121" t="s">
        <v>9</v>
      </c>
      <c r="G1121" t="s">
        <v>57</v>
      </c>
      <c r="H1121" t="s">
        <v>351</v>
      </c>
      <c r="I1121" s="3" t="s">
        <v>357</v>
      </c>
      <c r="J1121" t="s">
        <v>54</v>
      </c>
      <c r="K1121" s="15">
        <v>502400</v>
      </c>
      <c r="L1121" s="5" t="str">
        <f t="shared" si="17"/>
        <v>0 - 4</v>
      </c>
    </row>
    <row r="1122" spans="3:12" hidden="1">
      <c r="C1122" t="s">
        <v>31</v>
      </c>
      <c r="D1122" t="s">
        <v>73</v>
      </c>
      <c r="E1122">
        <v>0</v>
      </c>
      <c r="F1122" t="s">
        <v>9</v>
      </c>
      <c r="G1122" t="s">
        <v>59</v>
      </c>
      <c r="H1122" t="s">
        <v>351</v>
      </c>
      <c r="I1122" s="3" t="s">
        <v>123</v>
      </c>
      <c r="J1122" t="s">
        <v>54</v>
      </c>
      <c r="K1122" s="15">
        <v>580000</v>
      </c>
      <c r="L1122" s="5" t="str">
        <f t="shared" si="17"/>
        <v>0 - 4</v>
      </c>
    </row>
    <row r="1123" spans="3:12" hidden="1">
      <c r="C1123" t="s">
        <v>31</v>
      </c>
      <c r="D1123" t="s">
        <v>55</v>
      </c>
      <c r="E1123">
        <v>30</v>
      </c>
      <c r="F1123" t="s">
        <v>10</v>
      </c>
      <c r="G1123" t="s">
        <v>51</v>
      </c>
      <c r="H1123" t="s">
        <v>351</v>
      </c>
      <c r="I1123" s="36" t="s">
        <v>109</v>
      </c>
      <c r="J1123" t="s">
        <v>54</v>
      </c>
      <c r="K1123" s="15">
        <v>1025000</v>
      </c>
      <c r="L1123" s="5" t="str">
        <f t="shared" si="17"/>
        <v>15 +</v>
      </c>
    </row>
    <row r="1124" spans="3:12" hidden="1">
      <c r="C1124" t="s">
        <v>31</v>
      </c>
      <c r="D1124" t="s">
        <v>73</v>
      </c>
      <c r="E1124">
        <v>28</v>
      </c>
      <c r="F1124" t="s">
        <v>10</v>
      </c>
      <c r="G1124" t="s">
        <v>51</v>
      </c>
      <c r="H1124" t="s">
        <v>351</v>
      </c>
      <c r="I1124" s="36" t="s">
        <v>71</v>
      </c>
      <c r="J1124" t="s">
        <v>54</v>
      </c>
      <c r="K1124" s="15">
        <v>820000</v>
      </c>
      <c r="L1124" s="5" t="str">
        <f t="shared" si="17"/>
        <v>15 +</v>
      </c>
    </row>
    <row r="1125" spans="3:12" hidden="1">
      <c r="C1125" t="s">
        <v>31</v>
      </c>
      <c r="D1125" t="s">
        <v>49</v>
      </c>
      <c r="E1125">
        <v>25</v>
      </c>
      <c r="F1125" t="s">
        <v>10</v>
      </c>
      <c r="G1125" t="s">
        <v>59</v>
      </c>
      <c r="H1125" t="s">
        <v>351</v>
      </c>
      <c r="I1125" s="36" t="s">
        <v>148</v>
      </c>
      <c r="J1125" t="s">
        <v>54</v>
      </c>
      <c r="K1125" s="15">
        <v>1050000</v>
      </c>
      <c r="L1125" s="5" t="str">
        <f t="shared" si="17"/>
        <v>15 +</v>
      </c>
    </row>
    <row r="1126" spans="3:12" hidden="1">
      <c r="C1126" t="s">
        <v>31</v>
      </c>
      <c r="D1126" t="s">
        <v>55</v>
      </c>
      <c r="E1126">
        <v>25</v>
      </c>
      <c r="F1126" t="s">
        <v>10</v>
      </c>
      <c r="G1126" t="s">
        <v>59</v>
      </c>
      <c r="H1126" t="s">
        <v>351</v>
      </c>
      <c r="I1126" s="36" t="s">
        <v>61</v>
      </c>
      <c r="J1126" t="s">
        <v>54</v>
      </c>
      <c r="K1126" s="15">
        <v>1200000</v>
      </c>
      <c r="L1126" s="5" t="str">
        <f t="shared" si="17"/>
        <v>15 +</v>
      </c>
    </row>
    <row r="1127" spans="3:12" hidden="1">
      <c r="C1127" t="s">
        <v>31</v>
      </c>
      <c r="D1127" t="s">
        <v>77</v>
      </c>
      <c r="E1127">
        <v>25</v>
      </c>
      <c r="F1127" t="s">
        <v>10</v>
      </c>
      <c r="G1127" t="s">
        <v>59</v>
      </c>
      <c r="H1127" t="s">
        <v>351</v>
      </c>
      <c r="I1127" s="36" t="s">
        <v>179</v>
      </c>
      <c r="J1127" t="s">
        <v>66</v>
      </c>
      <c r="K1127" s="15">
        <v>1230000</v>
      </c>
      <c r="L1127" s="5" t="str">
        <f t="shared" si="17"/>
        <v>15 +</v>
      </c>
    </row>
    <row r="1128" spans="3:12" hidden="1">
      <c r="C1128" t="s">
        <v>31</v>
      </c>
      <c r="D1128" t="s">
        <v>55</v>
      </c>
      <c r="E1128">
        <v>25</v>
      </c>
      <c r="F1128" t="s">
        <v>10</v>
      </c>
      <c r="G1128" t="s">
        <v>51</v>
      </c>
      <c r="H1128" t="s">
        <v>351</v>
      </c>
      <c r="I1128" s="36" t="s">
        <v>358</v>
      </c>
      <c r="J1128" t="s">
        <v>54</v>
      </c>
      <c r="K1128" s="15">
        <v>1235000</v>
      </c>
      <c r="L1128" s="5" t="str">
        <f t="shared" si="17"/>
        <v>15 +</v>
      </c>
    </row>
    <row r="1129" spans="3:12" hidden="1">
      <c r="C1129" t="s">
        <v>31</v>
      </c>
      <c r="D1129" t="s">
        <v>49</v>
      </c>
      <c r="E1129">
        <v>25</v>
      </c>
      <c r="F1129" t="s">
        <v>10</v>
      </c>
      <c r="G1129" t="s">
        <v>51</v>
      </c>
      <c r="H1129" t="s">
        <v>351</v>
      </c>
      <c r="I1129" s="36" t="s">
        <v>175</v>
      </c>
      <c r="J1129" t="s">
        <v>66</v>
      </c>
      <c r="K1129" s="15">
        <v>1400000</v>
      </c>
      <c r="L1129" s="5" t="str">
        <f t="shared" si="17"/>
        <v>15 +</v>
      </c>
    </row>
    <row r="1130" spans="3:12" hidden="1">
      <c r="C1130" t="s">
        <v>31</v>
      </c>
      <c r="D1130" t="s">
        <v>73</v>
      </c>
      <c r="E1130">
        <v>24</v>
      </c>
      <c r="F1130" t="s">
        <v>10</v>
      </c>
      <c r="G1130" t="s">
        <v>57</v>
      </c>
      <c r="H1130" t="s">
        <v>351</v>
      </c>
      <c r="I1130" s="36" t="s">
        <v>130</v>
      </c>
      <c r="J1130" t="s">
        <v>54</v>
      </c>
      <c r="K1130" s="15">
        <v>950000</v>
      </c>
      <c r="L1130" s="5" t="str">
        <f t="shared" si="17"/>
        <v>15 +</v>
      </c>
    </row>
    <row r="1131" spans="3:12" hidden="1">
      <c r="C1131" t="s">
        <v>30</v>
      </c>
      <c r="D1131" t="s">
        <v>55</v>
      </c>
      <c r="E1131">
        <v>20</v>
      </c>
      <c r="F1131" t="s">
        <v>10</v>
      </c>
      <c r="G1131" t="s">
        <v>59</v>
      </c>
      <c r="H1131" t="s">
        <v>351</v>
      </c>
      <c r="I1131" s="36" t="s">
        <v>61</v>
      </c>
      <c r="J1131" t="s">
        <v>54</v>
      </c>
      <c r="K1131" s="15">
        <v>1200000</v>
      </c>
      <c r="L1131" s="5" t="str">
        <f t="shared" si="17"/>
        <v>15 +</v>
      </c>
    </row>
    <row r="1132" spans="3:12" hidden="1">
      <c r="C1132" t="s">
        <v>31</v>
      </c>
      <c r="D1132" t="s">
        <v>77</v>
      </c>
      <c r="E1132">
        <v>20</v>
      </c>
      <c r="F1132" t="s">
        <v>10</v>
      </c>
      <c r="G1132" t="s">
        <v>51</v>
      </c>
      <c r="H1132" t="s">
        <v>351</v>
      </c>
      <c r="I1132" s="36" t="s">
        <v>110</v>
      </c>
      <c r="J1132" t="s">
        <v>54</v>
      </c>
      <c r="K1132" s="15">
        <v>1000000</v>
      </c>
      <c r="L1132" s="5" t="str">
        <f t="shared" si="17"/>
        <v>15 +</v>
      </c>
    </row>
    <row r="1133" spans="3:12" hidden="1">
      <c r="C1133" t="s">
        <v>31</v>
      </c>
      <c r="D1133" t="s">
        <v>73</v>
      </c>
      <c r="E1133">
        <v>20</v>
      </c>
      <c r="F1133" t="s">
        <v>10</v>
      </c>
      <c r="G1133" t="s">
        <v>51</v>
      </c>
      <c r="H1133" t="s">
        <v>351</v>
      </c>
      <c r="I1133" s="36" t="s">
        <v>359</v>
      </c>
      <c r="J1133" t="s">
        <v>54</v>
      </c>
      <c r="K1133" s="15">
        <v>1059000</v>
      </c>
      <c r="L1133" s="5" t="str">
        <f t="shared" si="17"/>
        <v>15 +</v>
      </c>
    </row>
    <row r="1134" spans="3:12" hidden="1">
      <c r="C1134" t="s">
        <v>30</v>
      </c>
      <c r="D1134" t="s">
        <v>55</v>
      </c>
      <c r="E1134">
        <v>19</v>
      </c>
      <c r="F1134" t="s">
        <v>10</v>
      </c>
      <c r="G1134" t="s">
        <v>51</v>
      </c>
      <c r="H1134" t="s">
        <v>351</v>
      </c>
      <c r="I1134" s="36" t="s">
        <v>79</v>
      </c>
      <c r="J1134" t="s">
        <v>54</v>
      </c>
      <c r="K1134" s="15">
        <v>900000</v>
      </c>
      <c r="L1134" s="5" t="str">
        <f t="shared" si="17"/>
        <v>15 +</v>
      </c>
    </row>
    <row r="1135" spans="3:12" hidden="1">
      <c r="C1135" t="s">
        <v>31</v>
      </c>
      <c r="D1135" t="s">
        <v>67</v>
      </c>
      <c r="E1135">
        <v>19</v>
      </c>
      <c r="F1135" t="s">
        <v>10</v>
      </c>
      <c r="G1135" t="s">
        <v>51</v>
      </c>
      <c r="H1135" t="s">
        <v>351</v>
      </c>
      <c r="I1135" s="36" t="s">
        <v>106</v>
      </c>
      <c r="J1135" t="s">
        <v>54</v>
      </c>
      <c r="K1135" s="15">
        <v>1100000</v>
      </c>
      <c r="L1135" s="5" t="str">
        <f t="shared" si="17"/>
        <v>15 +</v>
      </c>
    </row>
    <row r="1136" spans="3:12" hidden="1">
      <c r="C1136" t="s">
        <v>31</v>
      </c>
      <c r="D1136" t="s">
        <v>56</v>
      </c>
      <c r="E1136">
        <v>18</v>
      </c>
      <c r="F1136" t="s">
        <v>10</v>
      </c>
      <c r="G1136" t="s">
        <v>57</v>
      </c>
      <c r="H1136" t="s">
        <v>351</v>
      </c>
      <c r="I1136" s="36" t="s">
        <v>133</v>
      </c>
      <c r="J1136" t="s">
        <v>54</v>
      </c>
      <c r="K1136" s="15">
        <v>960000</v>
      </c>
      <c r="L1136" s="5" t="str">
        <f t="shared" si="17"/>
        <v>15 +</v>
      </c>
    </row>
    <row r="1137" spans="3:12" hidden="1">
      <c r="C1137" t="s">
        <v>31</v>
      </c>
      <c r="D1137" t="s">
        <v>73</v>
      </c>
      <c r="E1137">
        <v>18</v>
      </c>
      <c r="F1137" t="s">
        <v>10</v>
      </c>
      <c r="G1137" t="s">
        <v>59</v>
      </c>
      <c r="H1137" t="s">
        <v>351</v>
      </c>
      <c r="I1137" s="36" t="s">
        <v>209</v>
      </c>
      <c r="J1137" t="s">
        <v>54</v>
      </c>
      <c r="K1137" s="15">
        <v>1010000</v>
      </c>
      <c r="L1137" s="5" t="str">
        <f t="shared" si="17"/>
        <v>15 +</v>
      </c>
    </row>
    <row r="1138" spans="3:12" hidden="1">
      <c r="C1138" t="s">
        <v>31</v>
      </c>
      <c r="D1138" t="s">
        <v>55</v>
      </c>
      <c r="E1138">
        <v>18</v>
      </c>
      <c r="F1138" t="s">
        <v>10</v>
      </c>
      <c r="G1138" t="s">
        <v>59</v>
      </c>
      <c r="H1138" t="s">
        <v>351</v>
      </c>
      <c r="I1138" s="36" t="s">
        <v>360</v>
      </c>
      <c r="J1138" t="s">
        <v>66</v>
      </c>
      <c r="K1138" s="15">
        <v>1070000</v>
      </c>
      <c r="L1138" s="5" t="str">
        <f t="shared" si="17"/>
        <v>15 +</v>
      </c>
    </row>
    <row r="1139" spans="3:12" hidden="1">
      <c r="C1139" t="s">
        <v>31</v>
      </c>
      <c r="D1139" t="s">
        <v>73</v>
      </c>
      <c r="E1139">
        <v>18</v>
      </c>
      <c r="F1139" t="s">
        <v>10</v>
      </c>
      <c r="G1139" t="s">
        <v>57</v>
      </c>
      <c r="H1139" t="s">
        <v>351</v>
      </c>
      <c r="I1139" s="36" t="s">
        <v>361</v>
      </c>
      <c r="J1139" t="s">
        <v>54</v>
      </c>
      <c r="K1139" s="15">
        <v>1073700</v>
      </c>
      <c r="L1139" s="5" t="str">
        <f t="shared" si="17"/>
        <v>15 +</v>
      </c>
    </row>
    <row r="1140" spans="3:12" hidden="1">
      <c r="C1140" t="s">
        <v>31</v>
      </c>
      <c r="D1140" t="s">
        <v>73</v>
      </c>
      <c r="E1140">
        <v>18</v>
      </c>
      <c r="F1140" t="s">
        <v>10</v>
      </c>
      <c r="G1140" t="s">
        <v>59</v>
      </c>
      <c r="H1140" t="s">
        <v>351</v>
      </c>
      <c r="I1140" s="36" t="s">
        <v>106</v>
      </c>
      <c r="J1140" t="s">
        <v>66</v>
      </c>
      <c r="K1140" s="15">
        <v>1100000</v>
      </c>
      <c r="L1140" s="5" t="str">
        <f t="shared" si="17"/>
        <v>15 +</v>
      </c>
    </row>
    <row r="1141" spans="3:12" hidden="1">
      <c r="C1141" t="s">
        <v>31</v>
      </c>
      <c r="D1141" t="s">
        <v>73</v>
      </c>
      <c r="E1141">
        <v>17</v>
      </c>
      <c r="F1141" t="s">
        <v>10</v>
      </c>
      <c r="G1141" t="s">
        <v>57</v>
      </c>
      <c r="H1141" t="s">
        <v>351</v>
      </c>
      <c r="I1141" s="36" t="s">
        <v>72</v>
      </c>
      <c r="J1141" t="s">
        <v>54</v>
      </c>
      <c r="K1141" s="15">
        <v>850000</v>
      </c>
      <c r="L1141" s="5" t="str">
        <f t="shared" si="17"/>
        <v>15 +</v>
      </c>
    </row>
    <row r="1142" spans="3:12" hidden="1">
      <c r="C1142" t="s">
        <v>31</v>
      </c>
      <c r="D1142" t="s">
        <v>73</v>
      </c>
      <c r="E1142">
        <v>17</v>
      </c>
      <c r="F1142" t="s">
        <v>10</v>
      </c>
      <c r="G1142" t="s">
        <v>59</v>
      </c>
      <c r="H1142" t="s">
        <v>351</v>
      </c>
      <c r="I1142" s="36" t="s">
        <v>61</v>
      </c>
      <c r="J1142" t="s">
        <v>54</v>
      </c>
      <c r="K1142" s="15">
        <v>1200000</v>
      </c>
      <c r="L1142" s="5" t="str">
        <f t="shared" si="17"/>
        <v>15 +</v>
      </c>
    </row>
    <row r="1143" spans="3:12" hidden="1">
      <c r="C1143" t="s">
        <v>31</v>
      </c>
      <c r="D1143" t="s">
        <v>55</v>
      </c>
      <c r="E1143">
        <v>16</v>
      </c>
      <c r="F1143" t="s">
        <v>10</v>
      </c>
      <c r="G1143" t="s">
        <v>51</v>
      </c>
      <c r="H1143" t="s">
        <v>351</v>
      </c>
      <c r="I1143" s="36" t="s">
        <v>72</v>
      </c>
      <c r="J1143" t="s">
        <v>54</v>
      </c>
      <c r="K1143" s="15">
        <v>850000</v>
      </c>
      <c r="L1143" s="5" t="str">
        <f t="shared" si="17"/>
        <v>15 +</v>
      </c>
    </row>
    <row r="1144" spans="3:12" hidden="1">
      <c r="C1144" t="s">
        <v>31</v>
      </c>
      <c r="D1144" t="s">
        <v>73</v>
      </c>
      <c r="E1144">
        <v>15</v>
      </c>
      <c r="F1144" t="s">
        <v>10</v>
      </c>
      <c r="G1144" t="s">
        <v>59</v>
      </c>
      <c r="H1144" t="s">
        <v>351</v>
      </c>
      <c r="I1144" s="36" t="s">
        <v>79</v>
      </c>
      <c r="J1144" t="s">
        <v>54</v>
      </c>
      <c r="K1144" s="15">
        <v>900000</v>
      </c>
      <c r="L1144" s="5" t="str">
        <f t="shared" si="17"/>
        <v>15 +</v>
      </c>
    </row>
    <row r="1145" spans="3:12" hidden="1">
      <c r="C1145" t="s">
        <v>31</v>
      </c>
      <c r="D1145" t="s">
        <v>67</v>
      </c>
      <c r="E1145">
        <v>15</v>
      </c>
      <c r="F1145" t="s">
        <v>10</v>
      </c>
      <c r="G1145" t="s">
        <v>51</v>
      </c>
      <c r="H1145" t="s">
        <v>351</v>
      </c>
      <c r="I1145" s="36" t="s">
        <v>130</v>
      </c>
      <c r="J1145" t="s">
        <v>54</v>
      </c>
      <c r="K1145" s="15">
        <v>950000</v>
      </c>
      <c r="L1145" s="5" t="str">
        <f t="shared" si="17"/>
        <v>15 +</v>
      </c>
    </row>
    <row r="1146" spans="3:12" hidden="1">
      <c r="C1146" t="s">
        <v>31</v>
      </c>
      <c r="D1146" t="s">
        <v>67</v>
      </c>
      <c r="E1146">
        <v>14</v>
      </c>
      <c r="F1146" t="s">
        <v>10</v>
      </c>
      <c r="G1146" t="s">
        <v>51</v>
      </c>
      <c r="H1146" t="s">
        <v>351</v>
      </c>
      <c r="I1146" s="3" t="s">
        <v>122</v>
      </c>
      <c r="J1146" t="s">
        <v>54</v>
      </c>
      <c r="K1146" s="15">
        <v>930000</v>
      </c>
      <c r="L1146" s="5" t="str">
        <f t="shared" si="17"/>
        <v>9 - 14</v>
      </c>
    </row>
    <row r="1147" spans="3:12" hidden="1">
      <c r="C1147" t="s">
        <v>31</v>
      </c>
      <c r="D1147" t="s">
        <v>55</v>
      </c>
      <c r="E1147">
        <v>14</v>
      </c>
      <c r="F1147" t="s">
        <v>10</v>
      </c>
      <c r="G1147" t="s">
        <v>59</v>
      </c>
      <c r="H1147" t="s">
        <v>351</v>
      </c>
      <c r="I1147" s="3" t="s">
        <v>346</v>
      </c>
      <c r="J1147" t="s">
        <v>66</v>
      </c>
      <c r="K1147" s="15">
        <v>1075000</v>
      </c>
      <c r="L1147" s="5" t="str">
        <f t="shared" si="17"/>
        <v>9 - 14</v>
      </c>
    </row>
    <row r="1148" spans="3:12" hidden="1">
      <c r="C1148" t="s">
        <v>31</v>
      </c>
      <c r="D1148" t="s">
        <v>55</v>
      </c>
      <c r="E1148">
        <v>14</v>
      </c>
      <c r="F1148" t="s">
        <v>10</v>
      </c>
      <c r="G1148" t="s">
        <v>51</v>
      </c>
      <c r="H1148" t="s">
        <v>351</v>
      </c>
      <c r="I1148" s="3" t="s">
        <v>61</v>
      </c>
      <c r="J1148" t="s">
        <v>66</v>
      </c>
      <c r="K1148" s="15">
        <v>1200000</v>
      </c>
      <c r="L1148" s="5" t="str">
        <f t="shared" si="17"/>
        <v>9 - 14</v>
      </c>
    </row>
    <row r="1149" spans="3:12" hidden="1">
      <c r="C1149" t="s">
        <v>30</v>
      </c>
      <c r="D1149" t="s">
        <v>55</v>
      </c>
      <c r="E1149">
        <v>13</v>
      </c>
      <c r="F1149" t="s">
        <v>10</v>
      </c>
      <c r="G1149" t="s">
        <v>59</v>
      </c>
      <c r="H1149" t="s">
        <v>351</v>
      </c>
      <c r="I1149" s="3" t="s">
        <v>130</v>
      </c>
      <c r="J1149" t="s">
        <v>54</v>
      </c>
      <c r="K1149" s="15">
        <v>950000</v>
      </c>
      <c r="L1149" s="5" t="str">
        <f t="shared" si="17"/>
        <v>9 - 14</v>
      </c>
    </row>
    <row r="1150" spans="3:12" hidden="1">
      <c r="C1150" t="s">
        <v>31</v>
      </c>
      <c r="D1150" t="s">
        <v>55</v>
      </c>
      <c r="E1150">
        <v>13</v>
      </c>
      <c r="F1150" t="s">
        <v>10</v>
      </c>
      <c r="G1150" t="s">
        <v>51</v>
      </c>
      <c r="H1150" t="s">
        <v>351</v>
      </c>
      <c r="I1150" s="3" t="s">
        <v>104</v>
      </c>
      <c r="J1150" t="s">
        <v>54</v>
      </c>
      <c r="K1150" s="15">
        <v>1300000</v>
      </c>
      <c r="L1150" s="5" t="str">
        <f t="shared" si="17"/>
        <v>9 - 14</v>
      </c>
    </row>
    <row r="1151" spans="3:12" hidden="1">
      <c r="C1151" t="s">
        <v>30</v>
      </c>
      <c r="D1151" t="s">
        <v>55</v>
      </c>
      <c r="E1151">
        <v>12</v>
      </c>
      <c r="F1151" t="s">
        <v>10</v>
      </c>
      <c r="G1151" t="s">
        <v>57</v>
      </c>
      <c r="H1151" t="s">
        <v>351</v>
      </c>
      <c r="I1151" s="3" t="s">
        <v>72</v>
      </c>
      <c r="J1151" t="s">
        <v>54</v>
      </c>
      <c r="K1151" s="15">
        <v>850000</v>
      </c>
      <c r="L1151" s="5" t="str">
        <f t="shared" si="17"/>
        <v>9 - 14</v>
      </c>
    </row>
    <row r="1152" spans="3:12" hidden="1">
      <c r="C1152" t="s">
        <v>31</v>
      </c>
      <c r="D1152" t="s">
        <v>55</v>
      </c>
      <c r="E1152">
        <v>12</v>
      </c>
      <c r="F1152" t="s">
        <v>10</v>
      </c>
      <c r="G1152" t="s">
        <v>51</v>
      </c>
      <c r="H1152" t="s">
        <v>351</v>
      </c>
      <c r="I1152" s="3" t="s">
        <v>72</v>
      </c>
      <c r="J1152" t="s">
        <v>54</v>
      </c>
      <c r="K1152" s="15">
        <v>850000</v>
      </c>
      <c r="L1152" s="5" t="str">
        <f t="shared" si="17"/>
        <v>9 - 14</v>
      </c>
    </row>
    <row r="1153" spans="3:12" hidden="1">
      <c r="C1153" t="s">
        <v>31</v>
      </c>
      <c r="D1153" t="s">
        <v>55</v>
      </c>
      <c r="E1153">
        <v>12</v>
      </c>
      <c r="F1153" t="s">
        <v>10</v>
      </c>
      <c r="G1153" t="s">
        <v>57</v>
      </c>
      <c r="H1153" t="s">
        <v>351</v>
      </c>
      <c r="I1153" s="3" t="s">
        <v>110</v>
      </c>
      <c r="J1153" t="s">
        <v>54</v>
      </c>
      <c r="K1153" s="15">
        <v>1000000</v>
      </c>
      <c r="L1153" s="5" t="str">
        <f t="shared" si="17"/>
        <v>9 - 14</v>
      </c>
    </row>
    <row r="1154" spans="3:12" hidden="1">
      <c r="C1154" t="s">
        <v>31</v>
      </c>
      <c r="D1154" t="s">
        <v>73</v>
      </c>
      <c r="E1154">
        <v>11</v>
      </c>
      <c r="F1154" t="s">
        <v>10</v>
      </c>
      <c r="G1154" t="s">
        <v>57</v>
      </c>
      <c r="H1154" t="s">
        <v>351</v>
      </c>
      <c r="I1154" s="3" t="s">
        <v>135</v>
      </c>
      <c r="J1154" t="s">
        <v>54</v>
      </c>
      <c r="K1154" s="15">
        <v>840000</v>
      </c>
      <c r="L1154" s="5" t="str">
        <f t="shared" si="17"/>
        <v>9 - 14</v>
      </c>
    </row>
    <row r="1155" spans="3:12" hidden="1">
      <c r="C1155" t="s">
        <v>31</v>
      </c>
      <c r="D1155" t="s">
        <v>67</v>
      </c>
      <c r="E1155">
        <v>11</v>
      </c>
      <c r="F1155" t="s">
        <v>10</v>
      </c>
      <c r="G1155" t="s">
        <v>59</v>
      </c>
      <c r="H1155" t="s">
        <v>351</v>
      </c>
      <c r="I1155" s="3" t="s">
        <v>106</v>
      </c>
      <c r="J1155" t="s">
        <v>54</v>
      </c>
      <c r="K1155" s="15">
        <v>1100000</v>
      </c>
      <c r="L1155" s="5" t="str">
        <f t="shared" ref="L1155:L1218" si="18">_xlfn.XLOOKUP(E1155,$P$2:$P$5,$O$2:$O$5,,1)</f>
        <v>9 - 14</v>
      </c>
    </row>
    <row r="1156" spans="3:12" hidden="1">
      <c r="C1156" t="s">
        <v>31</v>
      </c>
      <c r="D1156" t="s">
        <v>73</v>
      </c>
      <c r="E1156">
        <v>11</v>
      </c>
      <c r="F1156" t="s">
        <v>10</v>
      </c>
      <c r="G1156" t="s">
        <v>59</v>
      </c>
      <c r="H1156" t="s">
        <v>351</v>
      </c>
      <c r="I1156" s="3" t="s">
        <v>61</v>
      </c>
      <c r="J1156" t="s">
        <v>54</v>
      </c>
      <c r="K1156" s="15">
        <v>1200000</v>
      </c>
      <c r="L1156" s="5" t="str">
        <f t="shared" si="18"/>
        <v>9 - 14</v>
      </c>
    </row>
    <row r="1157" spans="3:12" hidden="1">
      <c r="C1157" t="s">
        <v>31</v>
      </c>
      <c r="D1157" t="s">
        <v>49</v>
      </c>
      <c r="E1157">
        <v>10</v>
      </c>
      <c r="F1157" t="s">
        <v>10</v>
      </c>
      <c r="G1157" t="s">
        <v>57</v>
      </c>
      <c r="H1157" t="s">
        <v>351</v>
      </c>
      <c r="I1157" s="3" t="s">
        <v>75</v>
      </c>
      <c r="J1157" t="s">
        <v>54</v>
      </c>
      <c r="K1157" s="15">
        <v>710000</v>
      </c>
      <c r="L1157" s="5" t="str">
        <f t="shared" si="18"/>
        <v>9 - 14</v>
      </c>
    </row>
    <row r="1158" spans="3:12" hidden="1">
      <c r="C1158" t="s">
        <v>31</v>
      </c>
      <c r="D1158" t="s">
        <v>55</v>
      </c>
      <c r="E1158">
        <v>10</v>
      </c>
      <c r="F1158" t="s">
        <v>10</v>
      </c>
      <c r="G1158" t="s">
        <v>51</v>
      </c>
      <c r="H1158" t="s">
        <v>351</v>
      </c>
      <c r="I1158" s="3" t="s">
        <v>111</v>
      </c>
      <c r="J1158" t="s">
        <v>54</v>
      </c>
      <c r="K1158" s="15">
        <v>870000</v>
      </c>
      <c r="L1158" s="5" t="str">
        <f t="shared" si="18"/>
        <v>9 - 14</v>
      </c>
    </row>
    <row r="1159" spans="3:12" hidden="1">
      <c r="C1159" t="s">
        <v>31</v>
      </c>
      <c r="D1159" t="s">
        <v>73</v>
      </c>
      <c r="E1159">
        <v>10</v>
      </c>
      <c r="F1159" t="s">
        <v>10</v>
      </c>
      <c r="G1159" t="s">
        <v>59</v>
      </c>
      <c r="H1159" t="s">
        <v>351</v>
      </c>
      <c r="I1159" s="3" t="s">
        <v>130</v>
      </c>
      <c r="J1159" t="s">
        <v>54</v>
      </c>
      <c r="K1159" s="15">
        <v>950000</v>
      </c>
      <c r="L1159" s="5" t="str">
        <f t="shared" si="18"/>
        <v>9 - 14</v>
      </c>
    </row>
    <row r="1160" spans="3:12" hidden="1">
      <c r="C1160" t="s">
        <v>31</v>
      </c>
      <c r="D1160" t="s">
        <v>73</v>
      </c>
      <c r="E1160">
        <v>10</v>
      </c>
      <c r="F1160" t="s">
        <v>10</v>
      </c>
      <c r="G1160" t="s">
        <v>51</v>
      </c>
      <c r="H1160" t="s">
        <v>351</v>
      </c>
      <c r="I1160" s="3" t="s">
        <v>198</v>
      </c>
      <c r="J1160" t="s">
        <v>54</v>
      </c>
      <c r="K1160" s="15">
        <v>1000010</v>
      </c>
      <c r="L1160" s="5" t="str">
        <f t="shared" si="18"/>
        <v>9 - 14</v>
      </c>
    </row>
    <row r="1161" spans="3:12" hidden="1">
      <c r="C1161" t="s">
        <v>31</v>
      </c>
      <c r="D1161" t="s">
        <v>73</v>
      </c>
      <c r="E1161">
        <v>10</v>
      </c>
      <c r="F1161" t="s">
        <v>10</v>
      </c>
      <c r="G1161" t="s">
        <v>51</v>
      </c>
      <c r="H1161" t="s">
        <v>351</v>
      </c>
      <c r="I1161" s="3" t="s">
        <v>362</v>
      </c>
      <c r="J1161" t="s">
        <v>54</v>
      </c>
      <c r="K1161" s="15">
        <v>1307520</v>
      </c>
      <c r="L1161" s="5" t="str">
        <f t="shared" si="18"/>
        <v>9 - 14</v>
      </c>
    </row>
    <row r="1162" spans="3:12" hidden="1">
      <c r="C1162" t="s">
        <v>31</v>
      </c>
      <c r="D1162" t="s">
        <v>55</v>
      </c>
      <c r="E1162">
        <v>10</v>
      </c>
      <c r="F1162" t="s">
        <v>10</v>
      </c>
      <c r="G1162" t="s">
        <v>59</v>
      </c>
      <c r="H1162" t="s">
        <v>351</v>
      </c>
      <c r="I1162" s="3" t="s">
        <v>196</v>
      </c>
      <c r="J1162" t="s">
        <v>54</v>
      </c>
      <c r="K1162" s="15">
        <v>1700000</v>
      </c>
      <c r="L1162" s="5" t="str">
        <f t="shared" si="18"/>
        <v>9 - 14</v>
      </c>
    </row>
    <row r="1163" spans="3:12" hidden="1">
      <c r="C1163" t="s">
        <v>30</v>
      </c>
      <c r="D1163" t="s">
        <v>73</v>
      </c>
      <c r="E1163">
        <v>9</v>
      </c>
      <c r="F1163" t="s">
        <v>10</v>
      </c>
      <c r="G1163" t="s">
        <v>59</v>
      </c>
      <c r="H1163" t="s">
        <v>351</v>
      </c>
      <c r="I1163" s="3" t="s">
        <v>116</v>
      </c>
      <c r="J1163" t="s">
        <v>66</v>
      </c>
      <c r="K1163" s="15">
        <v>800000</v>
      </c>
      <c r="L1163" s="5" t="str">
        <f t="shared" si="18"/>
        <v>9 - 14</v>
      </c>
    </row>
    <row r="1164" spans="3:12" hidden="1">
      <c r="C1164" t="s">
        <v>30</v>
      </c>
      <c r="D1164" t="s">
        <v>67</v>
      </c>
      <c r="E1164">
        <v>9</v>
      </c>
      <c r="F1164" t="s">
        <v>10</v>
      </c>
      <c r="G1164" t="s">
        <v>59</v>
      </c>
      <c r="H1164" t="s">
        <v>351</v>
      </c>
      <c r="I1164" s="3" t="s">
        <v>106</v>
      </c>
      <c r="J1164" t="s">
        <v>66</v>
      </c>
      <c r="K1164" s="15">
        <v>1100000</v>
      </c>
      <c r="L1164" s="5" t="str">
        <f t="shared" si="18"/>
        <v>9 - 14</v>
      </c>
    </row>
    <row r="1165" spans="3:12" hidden="1">
      <c r="C1165" t="s">
        <v>31</v>
      </c>
      <c r="D1165" t="s">
        <v>55</v>
      </c>
      <c r="E1165">
        <v>9</v>
      </c>
      <c r="F1165" t="s">
        <v>10</v>
      </c>
      <c r="G1165" t="s">
        <v>59</v>
      </c>
      <c r="H1165" t="s">
        <v>351</v>
      </c>
      <c r="I1165" s="3" t="s">
        <v>71</v>
      </c>
      <c r="J1165" t="s">
        <v>54</v>
      </c>
      <c r="K1165" s="15">
        <v>820000</v>
      </c>
      <c r="L1165" s="5" t="str">
        <f t="shared" si="18"/>
        <v>9 - 14</v>
      </c>
    </row>
    <row r="1166" spans="3:12" hidden="1">
      <c r="C1166" t="s">
        <v>31</v>
      </c>
      <c r="D1166" t="s">
        <v>73</v>
      </c>
      <c r="E1166">
        <v>9</v>
      </c>
      <c r="F1166" t="s">
        <v>10</v>
      </c>
      <c r="G1166" t="s">
        <v>57</v>
      </c>
      <c r="H1166" t="s">
        <v>351</v>
      </c>
      <c r="I1166" s="3" t="s">
        <v>287</v>
      </c>
      <c r="J1166" t="s">
        <v>54</v>
      </c>
      <c r="K1166" s="15">
        <v>844000</v>
      </c>
      <c r="L1166" s="5" t="str">
        <f t="shared" si="18"/>
        <v>9 - 14</v>
      </c>
    </row>
    <row r="1167" spans="3:12" hidden="1">
      <c r="C1167" t="s">
        <v>31</v>
      </c>
      <c r="D1167" t="s">
        <v>73</v>
      </c>
      <c r="E1167">
        <v>9</v>
      </c>
      <c r="F1167" t="s">
        <v>10</v>
      </c>
      <c r="G1167" t="s">
        <v>51</v>
      </c>
      <c r="H1167" t="s">
        <v>351</v>
      </c>
      <c r="I1167" s="3" t="s">
        <v>79</v>
      </c>
      <c r="J1167" t="s">
        <v>54</v>
      </c>
      <c r="K1167" s="15">
        <v>900000</v>
      </c>
      <c r="L1167" s="5" t="str">
        <f t="shared" si="18"/>
        <v>9 - 14</v>
      </c>
    </row>
    <row r="1168" spans="3:12" hidden="1">
      <c r="C1168" t="s">
        <v>31</v>
      </c>
      <c r="D1168" t="s">
        <v>73</v>
      </c>
      <c r="E1168">
        <v>9</v>
      </c>
      <c r="F1168" t="s">
        <v>10</v>
      </c>
      <c r="G1168" t="s">
        <v>59</v>
      </c>
      <c r="H1168" t="s">
        <v>351</v>
      </c>
      <c r="I1168" s="3" t="s">
        <v>129</v>
      </c>
      <c r="J1168" t="s">
        <v>54</v>
      </c>
      <c r="K1168" s="15">
        <v>1150000</v>
      </c>
      <c r="L1168" s="5" t="str">
        <f t="shared" si="18"/>
        <v>9 - 14</v>
      </c>
    </row>
    <row r="1169" spans="3:12" hidden="1">
      <c r="C1169" t="s">
        <v>31</v>
      </c>
      <c r="D1169" t="s">
        <v>73</v>
      </c>
      <c r="E1169">
        <v>8</v>
      </c>
      <c r="F1169" t="s">
        <v>10</v>
      </c>
      <c r="G1169" t="s">
        <v>51</v>
      </c>
      <c r="H1169" t="s">
        <v>351</v>
      </c>
      <c r="I1169" s="3" t="s">
        <v>79</v>
      </c>
      <c r="J1169" t="s">
        <v>54</v>
      </c>
      <c r="K1169" s="15">
        <v>900000</v>
      </c>
      <c r="L1169" s="5" t="str">
        <f t="shared" si="18"/>
        <v>5  - 8</v>
      </c>
    </row>
    <row r="1170" spans="3:12" hidden="1">
      <c r="C1170" t="s">
        <v>31</v>
      </c>
      <c r="D1170" t="s">
        <v>73</v>
      </c>
      <c r="E1170">
        <v>8</v>
      </c>
      <c r="F1170" t="s">
        <v>10</v>
      </c>
      <c r="G1170" t="s">
        <v>59</v>
      </c>
      <c r="H1170" t="s">
        <v>351</v>
      </c>
      <c r="I1170" s="3" t="s">
        <v>79</v>
      </c>
      <c r="J1170" t="s">
        <v>66</v>
      </c>
      <c r="K1170" s="15">
        <v>900000</v>
      </c>
      <c r="L1170" s="5" t="str">
        <f t="shared" si="18"/>
        <v>5  - 8</v>
      </c>
    </row>
    <row r="1171" spans="3:12" hidden="1">
      <c r="C1171" t="s">
        <v>31</v>
      </c>
      <c r="D1171" t="s">
        <v>55</v>
      </c>
      <c r="E1171">
        <v>8</v>
      </c>
      <c r="F1171" t="s">
        <v>10</v>
      </c>
      <c r="G1171" t="s">
        <v>59</v>
      </c>
      <c r="H1171" t="s">
        <v>351</v>
      </c>
      <c r="I1171" s="3" t="s">
        <v>241</v>
      </c>
      <c r="J1171" t="s">
        <v>54</v>
      </c>
      <c r="K1171" s="15">
        <v>1035000</v>
      </c>
      <c r="L1171" s="5" t="str">
        <f t="shared" si="18"/>
        <v>5  - 8</v>
      </c>
    </row>
    <row r="1172" spans="3:12" hidden="1">
      <c r="C1172" t="s">
        <v>31</v>
      </c>
      <c r="D1172" t="s">
        <v>73</v>
      </c>
      <c r="E1172">
        <v>8</v>
      </c>
      <c r="F1172" t="s">
        <v>10</v>
      </c>
      <c r="G1172" t="s">
        <v>51</v>
      </c>
      <c r="H1172" t="s">
        <v>351</v>
      </c>
      <c r="I1172" s="3" t="s">
        <v>61</v>
      </c>
      <c r="J1172" t="s">
        <v>54</v>
      </c>
      <c r="K1172" s="15">
        <v>1200000</v>
      </c>
      <c r="L1172" s="5" t="str">
        <f t="shared" si="18"/>
        <v>5  - 8</v>
      </c>
    </row>
    <row r="1173" spans="3:12" hidden="1">
      <c r="C1173" t="s">
        <v>30</v>
      </c>
      <c r="D1173" t="s">
        <v>73</v>
      </c>
      <c r="E1173">
        <v>7</v>
      </c>
      <c r="F1173" t="s">
        <v>10</v>
      </c>
      <c r="G1173" t="s">
        <v>59</v>
      </c>
      <c r="H1173" t="s">
        <v>351</v>
      </c>
      <c r="I1173" s="3" t="s">
        <v>306</v>
      </c>
      <c r="J1173" t="s">
        <v>54</v>
      </c>
      <c r="K1173" s="15">
        <v>785000</v>
      </c>
      <c r="L1173" s="5" t="str">
        <f t="shared" si="18"/>
        <v>5  - 8</v>
      </c>
    </row>
    <row r="1174" spans="3:12" hidden="1">
      <c r="C1174" t="s">
        <v>30</v>
      </c>
      <c r="D1174" t="s">
        <v>73</v>
      </c>
      <c r="E1174">
        <v>7</v>
      </c>
      <c r="F1174" t="s">
        <v>10</v>
      </c>
      <c r="G1174" t="s">
        <v>57</v>
      </c>
      <c r="H1174" t="s">
        <v>351</v>
      </c>
      <c r="I1174" s="3" t="s">
        <v>363</v>
      </c>
      <c r="J1174" t="s">
        <v>54</v>
      </c>
      <c r="K1174" s="15">
        <v>812000</v>
      </c>
      <c r="L1174" s="5" t="str">
        <f t="shared" si="18"/>
        <v>5  - 8</v>
      </c>
    </row>
    <row r="1175" spans="3:12" hidden="1">
      <c r="C1175" t="s">
        <v>31</v>
      </c>
      <c r="D1175" t="s">
        <v>77</v>
      </c>
      <c r="E1175">
        <v>7</v>
      </c>
      <c r="F1175" t="s">
        <v>10</v>
      </c>
      <c r="G1175" t="s">
        <v>51</v>
      </c>
      <c r="H1175" t="s">
        <v>351</v>
      </c>
      <c r="I1175" s="3" t="s">
        <v>151</v>
      </c>
      <c r="J1175" t="s">
        <v>54</v>
      </c>
      <c r="K1175" s="15">
        <v>690000</v>
      </c>
      <c r="L1175" s="5" t="str">
        <f t="shared" si="18"/>
        <v>5  - 8</v>
      </c>
    </row>
    <row r="1176" spans="3:12" hidden="1">
      <c r="C1176" t="s">
        <v>31</v>
      </c>
      <c r="D1176" t="s">
        <v>73</v>
      </c>
      <c r="E1176">
        <v>7</v>
      </c>
      <c r="F1176" t="s">
        <v>10</v>
      </c>
      <c r="G1176" t="s">
        <v>51</v>
      </c>
      <c r="H1176" t="s">
        <v>351</v>
      </c>
      <c r="I1176" s="3" t="s">
        <v>250</v>
      </c>
      <c r="J1176" t="s">
        <v>54</v>
      </c>
      <c r="K1176" s="15">
        <v>795000</v>
      </c>
      <c r="L1176" s="5" t="str">
        <f t="shared" si="18"/>
        <v>5  - 8</v>
      </c>
    </row>
    <row r="1177" spans="3:12" hidden="1">
      <c r="C1177" t="s">
        <v>31</v>
      </c>
      <c r="D1177" t="s">
        <v>73</v>
      </c>
      <c r="E1177">
        <v>7</v>
      </c>
      <c r="F1177" t="s">
        <v>10</v>
      </c>
      <c r="G1177" t="s">
        <v>51</v>
      </c>
      <c r="H1177" t="s">
        <v>351</v>
      </c>
      <c r="I1177" s="3" t="s">
        <v>72</v>
      </c>
      <c r="J1177" t="s">
        <v>54</v>
      </c>
      <c r="K1177" s="15">
        <v>850000</v>
      </c>
      <c r="L1177" s="5" t="str">
        <f t="shared" si="18"/>
        <v>5  - 8</v>
      </c>
    </row>
    <row r="1178" spans="3:12" hidden="1">
      <c r="C1178" t="s">
        <v>31</v>
      </c>
      <c r="D1178" t="s">
        <v>56</v>
      </c>
      <c r="E1178">
        <v>7</v>
      </c>
      <c r="F1178" t="s">
        <v>10</v>
      </c>
      <c r="G1178" t="s">
        <v>51</v>
      </c>
      <c r="H1178" t="s">
        <v>351</v>
      </c>
      <c r="I1178" s="3" t="s">
        <v>79</v>
      </c>
      <c r="J1178" t="s">
        <v>54</v>
      </c>
      <c r="K1178" s="15">
        <v>900000</v>
      </c>
      <c r="L1178" s="5" t="str">
        <f t="shared" si="18"/>
        <v>5  - 8</v>
      </c>
    </row>
    <row r="1179" spans="3:12" hidden="1">
      <c r="C1179" t="s">
        <v>31</v>
      </c>
      <c r="D1179" t="s">
        <v>73</v>
      </c>
      <c r="E1179">
        <v>7</v>
      </c>
      <c r="F1179" t="s">
        <v>10</v>
      </c>
      <c r="G1179" t="s">
        <v>59</v>
      </c>
      <c r="H1179" t="s">
        <v>351</v>
      </c>
      <c r="I1179" s="3" t="s">
        <v>98</v>
      </c>
      <c r="J1179" t="s">
        <v>54</v>
      </c>
      <c r="K1179" s="15">
        <v>920000</v>
      </c>
      <c r="L1179" s="5" t="str">
        <f t="shared" si="18"/>
        <v>5  - 8</v>
      </c>
    </row>
    <row r="1180" spans="3:12" hidden="1">
      <c r="C1180" t="s">
        <v>31</v>
      </c>
      <c r="D1180" t="s">
        <v>73</v>
      </c>
      <c r="E1180">
        <v>7</v>
      </c>
      <c r="F1180" t="s">
        <v>10</v>
      </c>
      <c r="G1180" t="s">
        <v>51</v>
      </c>
      <c r="H1180" t="s">
        <v>351</v>
      </c>
      <c r="I1180" s="3" t="s">
        <v>148</v>
      </c>
      <c r="J1180" t="s">
        <v>54</v>
      </c>
      <c r="K1180" s="15">
        <v>1050000</v>
      </c>
      <c r="L1180" s="5" t="str">
        <f t="shared" si="18"/>
        <v>5  - 8</v>
      </c>
    </row>
    <row r="1181" spans="3:12" hidden="1">
      <c r="C1181" t="s">
        <v>31</v>
      </c>
      <c r="D1181" t="s">
        <v>73</v>
      </c>
      <c r="E1181">
        <v>7</v>
      </c>
      <c r="F1181" t="s">
        <v>10</v>
      </c>
      <c r="G1181" t="s">
        <v>59</v>
      </c>
      <c r="H1181" t="s">
        <v>351</v>
      </c>
      <c r="I1181" s="3" t="s">
        <v>106</v>
      </c>
      <c r="J1181" t="s">
        <v>54</v>
      </c>
      <c r="K1181" s="15">
        <v>1100000</v>
      </c>
      <c r="L1181" s="5" t="str">
        <f t="shared" si="18"/>
        <v>5  - 8</v>
      </c>
    </row>
    <row r="1182" spans="3:12" hidden="1">
      <c r="C1182" t="s">
        <v>31</v>
      </c>
      <c r="D1182" t="s">
        <v>55</v>
      </c>
      <c r="E1182">
        <v>7</v>
      </c>
      <c r="F1182" t="s">
        <v>10</v>
      </c>
      <c r="G1182" t="s">
        <v>59</v>
      </c>
      <c r="H1182" t="s">
        <v>351</v>
      </c>
      <c r="I1182" s="3" t="s">
        <v>335</v>
      </c>
      <c r="J1182" t="s">
        <v>66</v>
      </c>
      <c r="K1182" s="15">
        <v>1125000</v>
      </c>
      <c r="L1182" s="5" t="str">
        <f t="shared" si="18"/>
        <v>5  - 8</v>
      </c>
    </row>
    <row r="1183" spans="3:12" hidden="1">
      <c r="C1183" t="s">
        <v>30</v>
      </c>
      <c r="D1183" t="s">
        <v>49</v>
      </c>
      <c r="E1183">
        <v>6</v>
      </c>
      <c r="F1183" t="s">
        <v>10</v>
      </c>
      <c r="G1183" t="s">
        <v>57</v>
      </c>
      <c r="H1183" t="s">
        <v>351</v>
      </c>
      <c r="I1183" s="3" t="s">
        <v>108</v>
      </c>
      <c r="J1183" t="s">
        <v>54</v>
      </c>
      <c r="K1183" s="15">
        <v>700000</v>
      </c>
      <c r="L1183" s="5" t="str">
        <f t="shared" si="18"/>
        <v>5  - 8</v>
      </c>
    </row>
    <row r="1184" spans="3:12" hidden="1">
      <c r="C1184" t="s">
        <v>30</v>
      </c>
      <c r="D1184" t="s">
        <v>77</v>
      </c>
      <c r="E1184">
        <v>6</v>
      </c>
      <c r="F1184" t="s">
        <v>10</v>
      </c>
      <c r="G1184" t="s">
        <v>51</v>
      </c>
      <c r="H1184" t="s">
        <v>351</v>
      </c>
      <c r="I1184" s="3" t="s">
        <v>96</v>
      </c>
      <c r="J1184" t="s">
        <v>54</v>
      </c>
      <c r="K1184" s="15">
        <v>780000</v>
      </c>
      <c r="L1184" s="5" t="str">
        <f t="shared" si="18"/>
        <v>5  - 8</v>
      </c>
    </row>
    <row r="1185" spans="3:12" hidden="1">
      <c r="C1185" t="s">
        <v>30</v>
      </c>
      <c r="D1185" t="s">
        <v>77</v>
      </c>
      <c r="E1185">
        <v>6</v>
      </c>
      <c r="F1185" t="s">
        <v>10</v>
      </c>
      <c r="G1185" t="s">
        <v>59</v>
      </c>
      <c r="H1185" t="s">
        <v>351</v>
      </c>
      <c r="I1185" s="3" t="s">
        <v>122</v>
      </c>
      <c r="J1185" t="s">
        <v>54</v>
      </c>
      <c r="K1185" s="15">
        <v>930000</v>
      </c>
      <c r="L1185" s="5" t="str">
        <f t="shared" si="18"/>
        <v>5  - 8</v>
      </c>
    </row>
    <row r="1186" spans="3:12" hidden="1">
      <c r="C1186" t="s">
        <v>30</v>
      </c>
      <c r="D1186" t="s">
        <v>55</v>
      </c>
      <c r="E1186">
        <v>6</v>
      </c>
      <c r="F1186" t="s">
        <v>10</v>
      </c>
      <c r="G1186" t="s">
        <v>59</v>
      </c>
      <c r="H1186" t="s">
        <v>351</v>
      </c>
      <c r="I1186" s="3" t="s">
        <v>110</v>
      </c>
      <c r="J1186" t="s">
        <v>66</v>
      </c>
      <c r="K1186" s="15">
        <v>1000000</v>
      </c>
      <c r="L1186" s="5" t="str">
        <f t="shared" si="18"/>
        <v>5  - 8</v>
      </c>
    </row>
    <row r="1187" spans="3:12" hidden="1">
      <c r="C1187" t="s">
        <v>31</v>
      </c>
      <c r="D1187" t="s">
        <v>80</v>
      </c>
      <c r="E1187">
        <v>6</v>
      </c>
      <c r="F1187" t="s">
        <v>10</v>
      </c>
      <c r="G1187" t="s">
        <v>51</v>
      </c>
      <c r="H1187" t="s">
        <v>351</v>
      </c>
      <c r="I1187" s="3" t="s">
        <v>108</v>
      </c>
      <c r="J1187" t="s">
        <v>54</v>
      </c>
      <c r="K1187" s="15">
        <v>700000</v>
      </c>
      <c r="L1187" s="5" t="str">
        <f t="shared" si="18"/>
        <v>5  - 8</v>
      </c>
    </row>
    <row r="1188" spans="3:12" hidden="1">
      <c r="C1188" t="s">
        <v>31</v>
      </c>
      <c r="D1188" t="s">
        <v>67</v>
      </c>
      <c r="E1188">
        <v>6</v>
      </c>
      <c r="F1188" t="s">
        <v>10</v>
      </c>
      <c r="G1188" t="s">
        <v>51</v>
      </c>
      <c r="H1188" t="s">
        <v>351</v>
      </c>
      <c r="I1188" s="3" t="s">
        <v>75</v>
      </c>
      <c r="J1188" t="s">
        <v>54</v>
      </c>
      <c r="K1188" s="15">
        <v>710000</v>
      </c>
      <c r="L1188" s="5" t="str">
        <f t="shared" si="18"/>
        <v>5  - 8</v>
      </c>
    </row>
    <row r="1189" spans="3:12" hidden="1">
      <c r="C1189" t="s">
        <v>31</v>
      </c>
      <c r="D1189" t="s">
        <v>73</v>
      </c>
      <c r="E1189">
        <v>6</v>
      </c>
      <c r="F1189" t="s">
        <v>10</v>
      </c>
      <c r="G1189" t="s">
        <v>57</v>
      </c>
      <c r="H1189" t="s">
        <v>351</v>
      </c>
      <c r="I1189" s="3" t="s">
        <v>116</v>
      </c>
      <c r="J1189" t="s">
        <v>54</v>
      </c>
      <c r="K1189" s="15">
        <v>800000</v>
      </c>
      <c r="L1189" s="5" t="str">
        <f t="shared" si="18"/>
        <v>5  - 8</v>
      </c>
    </row>
    <row r="1190" spans="3:12" hidden="1">
      <c r="C1190" t="s">
        <v>31</v>
      </c>
      <c r="D1190" t="s">
        <v>77</v>
      </c>
      <c r="E1190">
        <v>6</v>
      </c>
      <c r="F1190" t="s">
        <v>10</v>
      </c>
      <c r="G1190" t="s">
        <v>51</v>
      </c>
      <c r="H1190" t="s">
        <v>351</v>
      </c>
      <c r="I1190" s="3" t="s">
        <v>116</v>
      </c>
      <c r="J1190" t="s">
        <v>54</v>
      </c>
      <c r="K1190" s="15">
        <v>800000</v>
      </c>
      <c r="L1190" s="5" t="str">
        <f t="shared" si="18"/>
        <v>5  - 8</v>
      </c>
    </row>
    <row r="1191" spans="3:12" hidden="1">
      <c r="C1191" t="s">
        <v>31</v>
      </c>
      <c r="D1191" t="s">
        <v>55</v>
      </c>
      <c r="E1191">
        <v>6</v>
      </c>
      <c r="F1191" t="s">
        <v>10</v>
      </c>
      <c r="G1191" t="s">
        <v>59</v>
      </c>
      <c r="H1191" t="s">
        <v>351</v>
      </c>
      <c r="I1191" s="3" t="s">
        <v>71</v>
      </c>
      <c r="J1191" t="s">
        <v>66</v>
      </c>
      <c r="K1191" s="15">
        <v>820000</v>
      </c>
      <c r="L1191" s="5" t="str">
        <f t="shared" si="18"/>
        <v>5  - 8</v>
      </c>
    </row>
    <row r="1192" spans="3:12" hidden="1">
      <c r="C1192" t="s">
        <v>31</v>
      </c>
      <c r="D1192" t="s">
        <v>73</v>
      </c>
      <c r="E1192">
        <v>6</v>
      </c>
      <c r="F1192" t="s">
        <v>10</v>
      </c>
      <c r="G1192" t="s">
        <v>51</v>
      </c>
      <c r="H1192" t="s">
        <v>351</v>
      </c>
      <c r="I1192" s="3" t="s">
        <v>364</v>
      </c>
      <c r="J1192" t="s">
        <v>54</v>
      </c>
      <c r="K1192" s="15">
        <v>866000</v>
      </c>
      <c r="L1192" s="5" t="str">
        <f t="shared" si="18"/>
        <v>5  - 8</v>
      </c>
    </row>
    <row r="1193" spans="3:12" hidden="1">
      <c r="C1193" t="s">
        <v>31</v>
      </c>
      <c r="D1193" t="s">
        <v>73</v>
      </c>
      <c r="E1193">
        <v>6</v>
      </c>
      <c r="F1193" t="s">
        <v>10</v>
      </c>
      <c r="G1193" t="s">
        <v>59</v>
      </c>
      <c r="H1193" t="s">
        <v>351</v>
      </c>
      <c r="I1193" s="3" t="s">
        <v>130</v>
      </c>
      <c r="J1193" t="s">
        <v>54</v>
      </c>
      <c r="K1193" s="15">
        <v>950000</v>
      </c>
      <c r="L1193" s="5" t="str">
        <f t="shared" si="18"/>
        <v>5  - 8</v>
      </c>
    </row>
    <row r="1194" spans="3:12" hidden="1">
      <c r="C1194" t="s">
        <v>31</v>
      </c>
      <c r="D1194" t="s">
        <v>73</v>
      </c>
      <c r="E1194">
        <v>6</v>
      </c>
      <c r="F1194" t="s">
        <v>10</v>
      </c>
      <c r="G1194" t="s">
        <v>51</v>
      </c>
      <c r="H1194" t="s">
        <v>351</v>
      </c>
      <c r="I1194" s="3" t="s">
        <v>130</v>
      </c>
      <c r="J1194" t="s">
        <v>54</v>
      </c>
      <c r="K1194" s="15">
        <v>950000</v>
      </c>
      <c r="L1194" s="5" t="str">
        <f t="shared" si="18"/>
        <v>5  - 8</v>
      </c>
    </row>
    <row r="1195" spans="3:12" hidden="1">
      <c r="C1195" t="s">
        <v>31</v>
      </c>
      <c r="D1195" t="s">
        <v>77</v>
      </c>
      <c r="E1195">
        <v>6</v>
      </c>
      <c r="F1195" t="s">
        <v>10</v>
      </c>
      <c r="G1195" t="s">
        <v>51</v>
      </c>
      <c r="H1195" t="s">
        <v>351</v>
      </c>
      <c r="I1195" s="3" t="s">
        <v>189</v>
      </c>
      <c r="J1195" t="s">
        <v>54</v>
      </c>
      <c r="K1195" s="15">
        <v>955000</v>
      </c>
      <c r="L1195" s="5" t="str">
        <f t="shared" si="18"/>
        <v>5  - 8</v>
      </c>
    </row>
    <row r="1196" spans="3:12" hidden="1">
      <c r="C1196" t="s">
        <v>31</v>
      </c>
      <c r="D1196" t="s">
        <v>77</v>
      </c>
      <c r="E1196">
        <v>6</v>
      </c>
      <c r="F1196" t="s">
        <v>10</v>
      </c>
      <c r="G1196" t="s">
        <v>51</v>
      </c>
      <c r="H1196" t="s">
        <v>351</v>
      </c>
      <c r="I1196" s="3" t="s">
        <v>181</v>
      </c>
      <c r="J1196" t="s">
        <v>54</v>
      </c>
      <c r="K1196" s="15">
        <v>1030000</v>
      </c>
      <c r="L1196" s="5" t="str">
        <f t="shared" si="18"/>
        <v>5  - 8</v>
      </c>
    </row>
    <row r="1197" spans="3:12" hidden="1">
      <c r="C1197" t="s">
        <v>31</v>
      </c>
      <c r="D1197" t="s">
        <v>77</v>
      </c>
      <c r="E1197">
        <v>6</v>
      </c>
      <c r="F1197" t="s">
        <v>10</v>
      </c>
      <c r="G1197" t="s">
        <v>51</v>
      </c>
      <c r="H1197" t="s">
        <v>351</v>
      </c>
      <c r="I1197" s="3" t="s">
        <v>106</v>
      </c>
      <c r="J1197" t="s">
        <v>54</v>
      </c>
      <c r="K1197" s="15">
        <v>1100000</v>
      </c>
      <c r="L1197" s="5" t="str">
        <f t="shared" si="18"/>
        <v>5  - 8</v>
      </c>
    </row>
    <row r="1198" spans="3:12" hidden="1">
      <c r="C1198" t="s">
        <v>30</v>
      </c>
      <c r="D1198" t="s">
        <v>55</v>
      </c>
      <c r="E1198">
        <v>5</v>
      </c>
      <c r="F1198" t="s">
        <v>10</v>
      </c>
      <c r="G1198" t="s">
        <v>59</v>
      </c>
      <c r="H1198" t="s">
        <v>351</v>
      </c>
      <c r="I1198" s="3" t="s">
        <v>321</v>
      </c>
      <c r="J1198" t="s">
        <v>54</v>
      </c>
      <c r="K1198" s="15">
        <v>721000</v>
      </c>
      <c r="L1198" s="5" t="str">
        <f t="shared" si="18"/>
        <v>5  - 8</v>
      </c>
    </row>
    <row r="1199" spans="3:12" hidden="1">
      <c r="C1199" t="s">
        <v>30</v>
      </c>
      <c r="D1199" t="s">
        <v>73</v>
      </c>
      <c r="E1199">
        <v>5</v>
      </c>
      <c r="F1199" t="s">
        <v>10</v>
      </c>
      <c r="G1199" t="s">
        <v>59</v>
      </c>
      <c r="H1199" t="s">
        <v>351</v>
      </c>
      <c r="I1199" s="3" t="s">
        <v>69</v>
      </c>
      <c r="J1199" t="s">
        <v>66</v>
      </c>
      <c r="K1199" s="15">
        <v>750000</v>
      </c>
      <c r="L1199" s="5" t="str">
        <f t="shared" si="18"/>
        <v>5  - 8</v>
      </c>
    </row>
    <row r="1200" spans="3:12" hidden="1">
      <c r="C1200" t="s">
        <v>30</v>
      </c>
      <c r="D1200" t="s">
        <v>73</v>
      </c>
      <c r="E1200">
        <v>5</v>
      </c>
      <c r="F1200" t="s">
        <v>10</v>
      </c>
      <c r="G1200" t="s">
        <v>57</v>
      </c>
      <c r="H1200" t="s">
        <v>351</v>
      </c>
      <c r="I1200" s="3" t="s">
        <v>365</v>
      </c>
      <c r="J1200" t="s">
        <v>66</v>
      </c>
      <c r="K1200" s="15">
        <v>779000</v>
      </c>
      <c r="L1200" s="5" t="str">
        <f t="shared" si="18"/>
        <v>5  - 8</v>
      </c>
    </row>
    <row r="1201" spans="3:12" hidden="1">
      <c r="C1201" t="s">
        <v>30</v>
      </c>
      <c r="D1201" t="s">
        <v>55</v>
      </c>
      <c r="E1201">
        <v>5</v>
      </c>
      <c r="F1201" t="s">
        <v>10</v>
      </c>
      <c r="G1201" t="s">
        <v>59</v>
      </c>
      <c r="H1201" t="s">
        <v>351</v>
      </c>
      <c r="I1201" s="3" t="s">
        <v>106</v>
      </c>
      <c r="J1201" t="s">
        <v>54</v>
      </c>
      <c r="K1201" s="15">
        <v>1100000</v>
      </c>
      <c r="L1201" s="5" t="str">
        <f t="shared" si="18"/>
        <v>5  - 8</v>
      </c>
    </row>
    <row r="1202" spans="3:12" hidden="1">
      <c r="C1202" t="s">
        <v>31</v>
      </c>
      <c r="D1202" t="s">
        <v>91</v>
      </c>
      <c r="E1202">
        <v>5</v>
      </c>
      <c r="F1202" t="s">
        <v>10</v>
      </c>
      <c r="G1202" t="s">
        <v>51</v>
      </c>
      <c r="H1202" t="s">
        <v>351</v>
      </c>
      <c r="I1202" s="3" t="s">
        <v>366</v>
      </c>
      <c r="J1202" t="s">
        <v>54</v>
      </c>
      <c r="K1202" s="15">
        <v>744000</v>
      </c>
      <c r="L1202" s="5" t="str">
        <f t="shared" si="18"/>
        <v>5  - 8</v>
      </c>
    </row>
    <row r="1203" spans="3:12" hidden="1">
      <c r="C1203" t="s">
        <v>31</v>
      </c>
      <c r="D1203" t="s">
        <v>73</v>
      </c>
      <c r="E1203">
        <v>5</v>
      </c>
      <c r="F1203" t="s">
        <v>10</v>
      </c>
      <c r="G1203" t="s">
        <v>51</v>
      </c>
      <c r="H1203" t="s">
        <v>351</v>
      </c>
      <c r="I1203" s="3" t="s">
        <v>69</v>
      </c>
      <c r="J1203" t="s">
        <v>54</v>
      </c>
      <c r="K1203" s="15">
        <v>750000</v>
      </c>
      <c r="L1203" s="5" t="str">
        <f t="shared" si="18"/>
        <v>5  - 8</v>
      </c>
    </row>
    <row r="1204" spans="3:12" hidden="1">
      <c r="C1204" t="s">
        <v>31</v>
      </c>
      <c r="D1204" t="s">
        <v>77</v>
      </c>
      <c r="E1204">
        <v>5</v>
      </c>
      <c r="F1204" t="s">
        <v>10</v>
      </c>
      <c r="G1204" t="s">
        <v>51</v>
      </c>
      <c r="H1204" t="s">
        <v>351</v>
      </c>
      <c r="I1204" s="3" t="s">
        <v>96</v>
      </c>
      <c r="J1204" t="s">
        <v>54</v>
      </c>
      <c r="K1204" s="15">
        <v>780000</v>
      </c>
      <c r="L1204" s="5" t="str">
        <f t="shared" si="18"/>
        <v>5  - 8</v>
      </c>
    </row>
    <row r="1205" spans="3:12" hidden="1">
      <c r="C1205" t="s">
        <v>31</v>
      </c>
      <c r="D1205" t="s">
        <v>73</v>
      </c>
      <c r="E1205">
        <v>5</v>
      </c>
      <c r="F1205" t="s">
        <v>10</v>
      </c>
      <c r="G1205" t="s">
        <v>51</v>
      </c>
      <c r="H1205" t="s">
        <v>351</v>
      </c>
      <c r="I1205" s="3" t="s">
        <v>96</v>
      </c>
      <c r="J1205" t="s">
        <v>54</v>
      </c>
      <c r="K1205" s="15">
        <v>780000</v>
      </c>
      <c r="L1205" s="5" t="str">
        <f t="shared" si="18"/>
        <v>5  - 8</v>
      </c>
    </row>
    <row r="1206" spans="3:12" hidden="1">
      <c r="C1206" t="s">
        <v>31</v>
      </c>
      <c r="D1206" t="s">
        <v>73</v>
      </c>
      <c r="E1206">
        <v>5</v>
      </c>
      <c r="F1206" t="s">
        <v>10</v>
      </c>
      <c r="G1206" t="s">
        <v>51</v>
      </c>
      <c r="H1206" t="s">
        <v>351</v>
      </c>
      <c r="I1206" s="3" t="s">
        <v>154</v>
      </c>
      <c r="J1206" t="s">
        <v>54</v>
      </c>
      <c r="K1206" s="15">
        <v>875000</v>
      </c>
      <c r="L1206" s="5" t="str">
        <f t="shared" si="18"/>
        <v>5  - 8</v>
      </c>
    </row>
    <row r="1207" spans="3:12" hidden="1">
      <c r="C1207" t="s">
        <v>31</v>
      </c>
      <c r="D1207" t="s">
        <v>49</v>
      </c>
      <c r="E1207">
        <v>5</v>
      </c>
      <c r="F1207" t="s">
        <v>10</v>
      </c>
      <c r="G1207" t="s">
        <v>59</v>
      </c>
      <c r="H1207" t="s">
        <v>351</v>
      </c>
      <c r="I1207" s="3" t="s">
        <v>133</v>
      </c>
      <c r="J1207" t="s">
        <v>54</v>
      </c>
      <c r="K1207" s="15">
        <v>960000</v>
      </c>
      <c r="L1207" s="5" t="str">
        <f t="shared" si="18"/>
        <v>5  - 8</v>
      </c>
    </row>
    <row r="1208" spans="3:12" hidden="1">
      <c r="C1208" t="s">
        <v>31</v>
      </c>
      <c r="D1208" t="s">
        <v>55</v>
      </c>
      <c r="E1208">
        <v>5</v>
      </c>
      <c r="F1208" t="s">
        <v>10</v>
      </c>
      <c r="G1208" t="s">
        <v>51</v>
      </c>
      <c r="H1208" t="s">
        <v>351</v>
      </c>
      <c r="I1208" s="3" t="s">
        <v>110</v>
      </c>
      <c r="J1208" t="s">
        <v>54</v>
      </c>
      <c r="K1208" s="15">
        <v>1000000</v>
      </c>
      <c r="L1208" s="5" t="str">
        <f t="shared" si="18"/>
        <v>5  - 8</v>
      </c>
    </row>
    <row r="1209" spans="3:12" hidden="1">
      <c r="C1209" t="s">
        <v>31</v>
      </c>
      <c r="D1209" t="s">
        <v>55</v>
      </c>
      <c r="E1209">
        <v>5</v>
      </c>
      <c r="F1209" t="s">
        <v>10</v>
      </c>
      <c r="G1209" t="s">
        <v>59</v>
      </c>
      <c r="H1209" t="s">
        <v>351</v>
      </c>
      <c r="I1209" s="3" t="s">
        <v>148</v>
      </c>
      <c r="J1209" t="s">
        <v>54</v>
      </c>
      <c r="K1209" s="15">
        <v>1050000</v>
      </c>
      <c r="L1209" s="5" t="str">
        <f t="shared" si="18"/>
        <v>5  - 8</v>
      </c>
    </row>
    <row r="1210" spans="3:12" hidden="1">
      <c r="C1210" t="s">
        <v>30</v>
      </c>
      <c r="D1210" t="s">
        <v>80</v>
      </c>
      <c r="E1210">
        <v>4</v>
      </c>
      <c r="F1210" t="s">
        <v>10</v>
      </c>
      <c r="G1210" t="s">
        <v>59</v>
      </c>
      <c r="H1210" t="s">
        <v>351</v>
      </c>
      <c r="I1210" s="3" t="s">
        <v>108</v>
      </c>
      <c r="J1210" t="s">
        <v>66</v>
      </c>
      <c r="K1210" s="15">
        <v>700000</v>
      </c>
      <c r="L1210" s="5" t="str">
        <f t="shared" si="18"/>
        <v>0 - 4</v>
      </c>
    </row>
    <row r="1211" spans="3:12" hidden="1">
      <c r="C1211" t="s">
        <v>30</v>
      </c>
      <c r="D1211" t="s">
        <v>55</v>
      </c>
      <c r="E1211">
        <v>4</v>
      </c>
      <c r="F1211" t="s">
        <v>10</v>
      </c>
      <c r="G1211" t="s">
        <v>57</v>
      </c>
      <c r="H1211" t="s">
        <v>351</v>
      </c>
      <c r="I1211" s="3" t="s">
        <v>223</v>
      </c>
      <c r="J1211" t="s">
        <v>54</v>
      </c>
      <c r="K1211" s="15">
        <v>790000</v>
      </c>
      <c r="L1211" s="5" t="str">
        <f t="shared" si="18"/>
        <v>0 - 4</v>
      </c>
    </row>
    <row r="1212" spans="3:12" hidden="1">
      <c r="C1212" t="s">
        <v>31</v>
      </c>
      <c r="D1212" t="s">
        <v>73</v>
      </c>
      <c r="E1212">
        <v>4</v>
      </c>
      <c r="F1212" t="s">
        <v>10</v>
      </c>
      <c r="G1212" t="s">
        <v>51</v>
      </c>
      <c r="H1212" t="s">
        <v>351</v>
      </c>
      <c r="I1212" s="3" t="s">
        <v>367</v>
      </c>
      <c r="J1212" t="s">
        <v>54</v>
      </c>
      <c r="K1212" s="15">
        <v>574000</v>
      </c>
      <c r="L1212" s="5" t="str">
        <f t="shared" si="18"/>
        <v>0 - 4</v>
      </c>
    </row>
    <row r="1213" spans="3:12" hidden="1">
      <c r="C1213" t="s">
        <v>31</v>
      </c>
      <c r="D1213" t="s">
        <v>73</v>
      </c>
      <c r="E1213">
        <v>4</v>
      </c>
      <c r="F1213" t="s">
        <v>10</v>
      </c>
      <c r="G1213" t="s">
        <v>59</v>
      </c>
      <c r="H1213" t="s">
        <v>351</v>
      </c>
      <c r="I1213" s="3" t="s">
        <v>90</v>
      </c>
      <c r="J1213" t="s">
        <v>54</v>
      </c>
      <c r="K1213" s="15">
        <v>660000</v>
      </c>
      <c r="L1213" s="5" t="str">
        <f t="shared" si="18"/>
        <v>0 - 4</v>
      </c>
    </row>
    <row r="1214" spans="3:12" hidden="1">
      <c r="C1214" t="s">
        <v>31</v>
      </c>
      <c r="D1214" t="s">
        <v>56</v>
      </c>
      <c r="E1214">
        <v>4</v>
      </c>
      <c r="F1214" t="s">
        <v>10</v>
      </c>
      <c r="G1214" t="s">
        <v>51</v>
      </c>
      <c r="H1214" t="s">
        <v>351</v>
      </c>
      <c r="I1214" s="3" t="s">
        <v>368</v>
      </c>
      <c r="J1214" t="s">
        <v>54</v>
      </c>
      <c r="K1214" s="15">
        <v>670200</v>
      </c>
      <c r="L1214" s="5" t="str">
        <f t="shared" si="18"/>
        <v>0 - 4</v>
      </c>
    </row>
    <row r="1215" spans="3:12" hidden="1">
      <c r="C1215" t="s">
        <v>31</v>
      </c>
      <c r="D1215" t="s">
        <v>56</v>
      </c>
      <c r="E1215">
        <v>4</v>
      </c>
      <c r="F1215" t="s">
        <v>10</v>
      </c>
      <c r="G1215" t="s">
        <v>59</v>
      </c>
      <c r="H1215" t="s">
        <v>351</v>
      </c>
      <c r="I1215" s="3" t="s">
        <v>159</v>
      </c>
      <c r="J1215" t="s">
        <v>54</v>
      </c>
      <c r="K1215" s="15">
        <v>680000</v>
      </c>
      <c r="L1215" s="5" t="str">
        <f t="shared" si="18"/>
        <v>0 - 4</v>
      </c>
    </row>
    <row r="1216" spans="3:12" hidden="1">
      <c r="C1216" t="s">
        <v>31</v>
      </c>
      <c r="D1216" t="s">
        <v>73</v>
      </c>
      <c r="E1216">
        <v>4</v>
      </c>
      <c r="F1216" t="s">
        <v>10</v>
      </c>
      <c r="G1216" t="s">
        <v>57</v>
      </c>
      <c r="H1216" t="s">
        <v>351</v>
      </c>
      <c r="I1216" s="3" t="s">
        <v>274</v>
      </c>
      <c r="J1216" t="s">
        <v>54</v>
      </c>
      <c r="K1216" s="15">
        <v>725000</v>
      </c>
      <c r="L1216" s="5" t="str">
        <f t="shared" si="18"/>
        <v>0 - 4</v>
      </c>
    </row>
    <row r="1217" spans="3:12" hidden="1">
      <c r="C1217" t="s">
        <v>31</v>
      </c>
      <c r="D1217" t="s">
        <v>56</v>
      </c>
      <c r="E1217">
        <v>4</v>
      </c>
      <c r="F1217" t="s">
        <v>10</v>
      </c>
      <c r="G1217" t="s">
        <v>51</v>
      </c>
      <c r="H1217" t="s">
        <v>351</v>
      </c>
      <c r="I1217" s="3" t="s">
        <v>69</v>
      </c>
      <c r="J1217" t="s">
        <v>54</v>
      </c>
      <c r="K1217" s="15">
        <v>750000</v>
      </c>
      <c r="L1217" s="5" t="str">
        <f t="shared" si="18"/>
        <v>0 - 4</v>
      </c>
    </row>
    <row r="1218" spans="3:12" hidden="1">
      <c r="C1218" t="s">
        <v>31</v>
      </c>
      <c r="D1218" t="s">
        <v>73</v>
      </c>
      <c r="E1218">
        <v>4</v>
      </c>
      <c r="F1218" t="s">
        <v>10</v>
      </c>
      <c r="G1218" t="s">
        <v>59</v>
      </c>
      <c r="H1218" t="s">
        <v>351</v>
      </c>
      <c r="I1218" s="3" t="s">
        <v>369</v>
      </c>
      <c r="J1218" t="s">
        <v>54</v>
      </c>
      <c r="K1218" s="15">
        <v>773000</v>
      </c>
      <c r="L1218" s="5" t="str">
        <f t="shared" si="18"/>
        <v>0 - 4</v>
      </c>
    </row>
    <row r="1219" spans="3:12" hidden="1">
      <c r="C1219" t="s">
        <v>31</v>
      </c>
      <c r="D1219" t="s">
        <v>55</v>
      </c>
      <c r="E1219">
        <v>4</v>
      </c>
      <c r="F1219" t="s">
        <v>10</v>
      </c>
      <c r="G1219" t="s">
        <v>59</v>
      </c>
      <c r="H1219" t="s">
        <v>351</v>
      </c>
      <c r="I1219" s="3" t="s">
        <v>71</v>
      </c>
      <c r="J1219" t="s">
        <v>54</v>
      </c>
      <c r="K1219" s="15">
        <v>820000</v>
      </c>
      <c r="L1219" s="5" t="str">
        <f t="shared" ref="L1219:L1282" si="19">_xlfn.XLOOKUP(E1219,$P$2:$P$5,$O$2:$O$5,,1)</f>
        <v>0 - 4</v>
      </c>
    </row>
    <row r="1220" spans="3:12" hidden="1">
      <c r="C1220" t="s">
        <v>31</v>
      </c>
      <c r="D1220" t="s">
        <v>77</v>
      </c>
      <c r="E1220">
        <v>4</v>
      </c>
      <c r="F1220" t="s">
        <v>10</v>
      </c>
      <c r="G1220" t="s">
        <v>51</v>
      </c>
      <c r="H1220" t="s">
        <v>351</v>
      </c>
      <c r="I1220" s="3" t="s">
        <v>233</v>
      </c>
      <c r="J1220" t="s">
        <v>54</v>
      </c>
      <c r="K1220" s="15">
        <v>830000</v>
      </c>
      <c r="L1220" s="5" t="str">
        <f t="shared" si="19"/>
        <v>0 - 4</v>
      </c>
    </row>
    <row r="1221" spans="3:12" hidden="1">
      <c r="C1221" t="s">
        <v>31</v>
      </c>
      <c r="D1221" t="s">
        <v>73</v>
      </c>
      <c r="E1221">
        <v>4</v>
      </c>
      <c r="F1221" t="s">
        <v>10</v>
      </c>
      <c r="G1221" t="s">
        <v>59</v>
      </c>
      <c r="H1221" t="s">
        <v>351</v>
      </c>
      <c r="I1221" s="3" t="s">
        <v>233</v>
      </c>
      <c r="J1221" t="s">
        <v>54</v>
      </c>
      <c r="K1221" s="15">
        <v>830000</v>
      </c>
      <c r="L1221" s="5" t="str">
        <f t="shared" si="19"/>
        <v>0 - 4</v>
      </c>
    </row>
    <row r="1222" spans="3:12" hidden="1">
      <c r="C1222" t="s">
        <v>31</v>
      </c>
      <c r="D1222" t="s">
        <v>55</v>
      </c>
      <c r="E1222">
        <v>4</v>
      </c>
      <c r="F1222" t="s">
        <v>10</v>
      </c>
      <c r="G1222" t="s">
        <v>51</v>
      </c>
      <c r="H1222" t="s">
        <v>351</v>
      </c>
      <c r="I1222" s="3" t="s">
        <v>135</v>
      </c>
      <c r="J1222" t="s">
        <v>54</v>
      </c>
      <c r="K1222" s="15">
        <v>840000</v>
      </c>
      <c r="L1222" s="5" t="str">
        <f t="shared" si="19"/>
        <v>0 - 4</v>
      </c>
    </row>
    <row r="1223" spans="3:12" hidden="1">
      <c r="C1223" t="s">
        <v>31</v>
      </c>
      <c r="D1223" t="s">
        <v>77</v>
      </c>
      <c r="E1223">
        <v>4</v>
      </c>
      <c r="F1223" t="s">
        <v>10</v>
      </c>
      <c r="G1223" t="s">
        <v>51</v>
      </c>
      <c r="H1223" t="s">
        <v>351</v>
      </c>
      <c r="I1223" s="3" t="s">
        <v>370</v>
      </c>
      <c r="J1223" t="s">
        <v>54</v>
      </c>
      <c r="K1223" s="15">
        <v>849000</v>
      </c>
      <c r="L1223" s="5" t="str">
        <f t="shared" si="19"/>
        <v>0 - 4</v>
      </c>
    </row>
    <row r="1224" spans="3:12" hidden="1">
      <c r="C1224" t="s">
        <v>31</v>
      </c>
      <c r="D1224" t="s">
        <v>73</v>
      </c>
      <c r="E1224">
        <v>4</v>
      </c>
      <c r="F1224" t="s">
        <v>10</v>
      </c>
      <c r="G1224" t="s">
        <v>57</v>
      </c>
      <c r="H1224" t="s">
        <v>351</v>
      </c>
      <c r="I1224" s="3" t="s">
        <v>72</v>
      </c>
      <c r="J1224" t="s">
        <v>54</v>
      </c>
      <c r="K1224" s="15">
        <v>850000</v>
      </c>
      <c r="L1224" s="5" t="str">
        <f t="shared" si="19"/>
        <v>0 - 4</v>
      </c>
    </row>
    <row r="1225" spans="3:12" hidden="1">
      <c r="C1225" t="s">
        <v>31</v>
      </c>
      <c r="D1225" t="s">
        <v>73</v>
      </c>
      <c r="E1225">
        <v>4</v>
      </c>
      <c r="F1225" t="s">
        <v>10</v>
      </c>
      <c r="G1225" t="s">
        <v>59</v>
      </c>
      <c r="H1225" t="s">
        <v>351</v>
      </c>
      <c r="I1225" s="3" t="s">
        <v>72</v>
      </c>
      <c r="J1225" t="s">
        <v>66</v>
      </c>
      <c r="K1225" s="15">
        <v>850000</v>
      </c>
      <c r="L1225" s="5" t="str">
        <f t="shared" si="19"/>
        <v>0 - 4</v>
      </c>
    </row>
    <row r="1226" spans="3:12" hidden="1">
      <c r="C1226" t="s">
        <v>31</v>
      </c>
      <c r="D1226" t="s">
        <v>67</v>
      </c>
      <c r="E1226">
        <v>4</v>
      </c>
      <c r="F1226" t="s">
        <v>10</v>
      </c>
      <c r="G1226" t="s">
        <v>59</v>
      </c>
      <c r="H1226" t="s">
        <v>351</v>
      </c>
      <c r="I1226" s="3" t="s">
        <v>154</v>
      </c>
      <c r="J1226" t="s">
        <v>66</v>
      </c>
      <c r="K1226" s="15">
        <v>875000</v>
      </c>
      <c r="L1226" s="5" t="str">
        <f t="shared" si="19"/>
        <v>0 - 4</v>
      </c>
    </row>
    <row r="1227" spans="3:12" hidden="1">
      <c r="C1227" t="s">
        <v>31</v>
      </c>
      <c r="D1227" t="s">
        <v>73</v>
      </c>
      <c r="E1227">
        <v>4</v>
      </c>
      <c r="F1227" t="s">
        <v>10</v>
      </c>
      <c r="G1227" t="s">
        <v>51</v>
      </c>
      <c r="H1227" t="s">
        <v>351</v>
      </c>
      <c r="I1227" s="3" t="s">
        <v>70</v>
      </c>
      <c r="J1227" t="s">
        <v>66</v>
      </c>
      <c r="K1227" s="15">
        <v>910000</v>
      </c>
      <c r="L1227" s="5" t="str">
        <f t="shared" si="19"/>
        <v>0 - 4</v>
      </c>
    </row>
    <row r="1228" spans="3:12" hidden="1">
      <c r="C1228" t="s">
        <v>30</v>
      </c>
      <c r="D1228" t="s">
        <v>55</v>
      </c>
      <c r="E1228">
        <v>3</v>
      </c>
      <c r="F1228" t="s">
        <v>10</v>
      </c>
      <c r="G1228" t="s">
        <v>59</v>
      </c>
      <c r="H1228" t="s">
        <v>351</v>
      </c>
      <c r="I1228" s="3" t="s">
        <v>371</v>
      </c>
      <c r="J1228" t="s">
        <v>54</v>
      </c>
      <c r="K1228" s="15">
        <v>774500</v>
      </c>
      <c r="L1228" s="5" t="str">
        <f t="shared" si="19"/>
        <v>0 - 4</v>
      </c>
    </row>
    <row r="1229" spans="3:12" hidden="1">
      <c r="C1229" t="s">
        <v>30</v>
      </c>
      <c r="D1229" t="s">
        <v>55</v>
      </c>
      <c r="E1229">
        <v>3</v>
      </c>
      <c r="F1229" t="s">
        <v>10</v>
      </c>
      <c r="G1229" t="s">
        <v>59</v>
      </c>
      <c r="H1229" t="s">
        <v>351</v>
      </c>
      <c r="I1229" s="3" t="s">
        <v>96</v>
      </c>
      <c r="J1229" t="s">
        <v>66</v>
      </c>
      <c r="K1229" s="15">
        <v>780000</v>
      </c>
      <c r="L1229" s="5" t="str">
        <f t="shared" si="19"/>
        <v>0 - 4</v>
      </c>
    </row>
    <row r="1230" spans="3:12" hidden="1">
      <c r="C1230" t="s">
        <v>30</v>
      </c>
      <c r="D1230" t="s">
        <v>55</v>
      </c>
      <c r="E1230">
        <v>3</v>
      </c>
      <c r="F1230" t="s">
        <v>10</v>
      </c>
      <c r="G1230" t="s">
        <v>59</v>
      </c>
      <c r="H1230" t="s">
        <v>351</v>
      </c>
      <c r="I1230" s="3" t="s">
        <v>233</v>
      </c>
      <c r="J1230" t="s">
        <v>54</v>
      </c>
      <c r="K1230" s="15">
        <v>830000</v>
      </c>
      <c r="L1230" s="5" t="str">
        <f t="shared" si="19"/>
        <v>0 - 4</v>
      </c>
    </row>
    <row r="1231" spans="3:12" hidden="1">
      <c r="C1231" t="s">
        <v>30</v>
      </c>
      <c r="D1231" t="s">
        <v>55</v>
      </c>
      <c r="E1231">
        <v>3</v>
      </c>
      <c r="F1231" t="s">
        <v>10</v>
      </c>
      <c r="G1231" t="s">
        <v>59</v>
      </c>
      <c r="H1231" t="s">
        <v>351</v>
      </c>
      <c r="I1231" s="3" t="s">
        <v>135</v>
      </c>
      <c r="J1231" t="s">
        <v>54</v>
      </c>
      <c r="K1231" s="15">
        <v>840000</v>
      </c>
      <c r="L1231" s="5" t="str">
        <f t="shared" si="19"/>
        <v>0 - 4</v>
      </c>
    </row>
    <row r="1232" spans="3:12" hidden="1">
      <c r="C1232" t="s">
        <v>30</v>
      </c>
      <c r="D1232" t="s">
        <v>73</v>
      </c>
      <c r="E1232">
        <v>3</v>
      </c>
      <c r="F1232" t="s">
        <v>10</v>
      </c>
      <c r="G1232" t="s">
        <v>59</v>
      </c>
      <c r="H1232" t="s">
        <v>351</v>
      </c>
      <c r="I1232" s="3" t="s">
        <v>166</v>
      </c>
      <c r="J1232" t="s">
        <v>66</v>
      </c>
      <c r="K1232" s="15">
        <v>890000</v>
      </c>
      <c r="L1232" s="5" t="str">
        <f t="shared" si="19"/>
        <v>0 - 4</v>
      </c>
    </row>
    <row r="1233" spans="3:12" hidden="1">
      <c r="C1233" t="s">
        <v>30</v>
      </c>
      <c r="D1233" t="s">
        <v>55</v>
      </c>
      <c r="E1233">
        <v>3</v>
      </c>
      <c r="F1233" t="s">
        <v>10</v>
      </c>
      <c r="G1233" t="s">
        <v>51</v>
      </c>
      <c r="H1233" t="s">
        <v>351</v>
      </c>
      <c r="I1233" s="3" t="s">
        <v>149</v>
      </c>
      <c r="J1233" t="s">
        <v>66</v>
      </c>
      <c r="K1233" s="15">
        <v>1015000</v>
      </c>
      <c r="L1233" s="5" t="str">
        <f t="shared" si="19"/>
        <v>0 - 4</v>
      </c>
    </row>
    <row r="1234" spans="3:12" hidden="1">
      <c r="C1234" t="s">
        <v>31</v>
      </c>
      <c r="D1234" t="s">
        <v>56</v>
      </c>
      <c r="E1234">
        <v>3</v>
      </c>
      <c r="F1234" t="s">
        <v>10</v>
      </c>
      <c r="G1234" t="s">
        <v>59</v>
      </c>
      <c r="H1234" t="s">
        <v>351</v>
      </c>
      <c r="I1234" s="3" t="s">
        <v>341</v>
      </c>
      <c r="J1234" t="s">
        <v>54</v>
      </c>
      <c r="K1234" s="15">
        <v>450000</v>
      </c>
      <c r="L1234" s="5" t="str">
        <f t="shared" si="19"/>
        <v>0 - 4</v>
      </c>
    </row>
    <row r="1235" spans="3:12" hidden="1">
      <c r="C1235" t="s">
        <v>31</v>
      </c>
      <c r="D1235" t="s">
        <v>56</v>
      </c>
      <c r="E1235">
        <v>3</v>
      </c>
      <c r="F1235" t="s">
        <v>10</v>
      </c>
      <c r="G1235" t="s">
        <v>51</v>
      </c>
      <c r="H1235" t="s">
        <v>351</v>
      </c>
      <c r="I1235" s="3" t="s">
        <v>112</v>
      </c>
      <c r="J1235" t="s">
        <v>54</v>
      </c>
      <c r="K1235" s="15">
        <v>560000</v>
      </c>
      <c r="L1235" s="5" t="str">
        <f t="shared" si="19"/>
        <v>0 - 4</v>
      </c>
    </row>
    <row r="1236" spans="3:12" hidden="1">
      <c r="C1236" t="s">
        <v>31</v>
      </c>
      <c r="D1236" t="s">
        <v>73</v>
      </c>
      <c r="E1236">
        <v>3</v>
      </c>
      <c r="F1236" t="s">
        <v>10</v>
      </c>
      <c r="G1236" t="s">
        <v>51</v>
      </c>
      <c r="H1236" t="s">
        <v>351</v>
      </c>
      <c r="I1236" s="3" t="s">
        <v>281</v>
      </c>
      <c r="J1236" t="s">
        <v>54</v>
      </c>
      <c r="K1236" s="15">
        <v>610000</v>
      </c>
      <c r="L1236" s="5" t="str">
        <f t="shared" si="19"/>
        <v>0 - 4</v>
      </c>
    </row>
    <row r="1237" spans="3:12" hidden="1">
      <c r="C1237" t="s">
        <v>31</v>
      </c>
      <c r="D1237" t="s">
        <v>73</v>
      </c>
      <c r="E1237">
        <v>3</v>
      </c>
      <c r="F1237" t="s">
        <v>10</v>
      </c>
      <c r="G1237" t="s">
        <v>51</v>
      </c>
      <c r="H1237" t="s">
        <v>351</v>
      </c>
      <c r="I1237" s="3" t="s">
        <v>157</v>
      </c>
      <c r="J1237" t="s">
        <v>54</v>
      </c>
      <c r="K1237" s="15">
        <v>625000</v>
      </c>
      <c r="L1237" s="5" t="str">
        <f t="shared" si="19"/>
        <v>0 - 4</v>
      </c>
    </row>
    <row r="1238" spans="3:12" hidden="1">
      <c r="C1238" t="s">
        <v>31</v>
      </c>
      <c r="D1238" t="s">
        <v>73</v>
      </c>
      <c r="E1238">
        <v>3</v>
      </c>
      <c r="F1238" t="s">
        <v>10</v>
      </c>
      <c r="G1238" t="s">
        <v>59</v>
      </c>
      <c r="H1238" t="s">
        <v>351</v>
      </c>
      <c r="I1238" s="3" t="s">
        <v>108</v>
      </c>
      <c r="J1238" t="s">
        <v>54</v>
      </c>
      <c r="K1238" s="15">
        <v>700000</v>
      </c>
      <c r="L1238" s="5" t="str">
        <f t="shared" si="19"/>
        <v>0 - 4</v>
      </c>
    </row>
    <row r="1239" spans="3:12" hidden="1">
      <c r="C1239" t="s">
        <v>31</v>
      </c>
      <c r="D1239" t="s">
        <v>73</v>
      </c>
      <c r="E1239">
        <v>3</v>
      </c>
      <c r="F1239" t="s">
        <v>10</v>
      </c>
      <c r="G1239" t="s">
        <v>51</v>
      </c>
      <c r="H1239" t="s">
        <v>351</v>
      </c>
      <c r="I1239" s="3" t="s">
        <v>108</v>
      </c>
      <c r="J1239" t="s">
        <v>54</v>
      </c>
      <c r="K1239" s="15">
        <v>700000</v>
      </c>
      <c r="L1239" s="5" t="str">
        <f t="shared" si="19"/>
        <v>0 - 4</v>
      </c>
    </row>
    <row r="1240" spans="3:12" hidden="1">
      <c r="C1240" t="s">
        <v>31</v>
      </c>
      <c r="D1240" t="s">
        <v>80</v>
      </c>
      <c r="E1240">
        <v>3</v>
      </c>
      <c r="F1240" t="s">
        <v>10</v>
      </c>
      <c r="G1240" t="s">
        <v>51</v>
      </c>
      <c r="H1240" t="s">
        <v>351</v>
      </c>
      <c r="I1240" s="3" t="s">
        <v>74</v>
      </c>
      <c r="J1240" t="s">
        <v>54</v>
      </c>
      <c r="K1240" s="15">
        <v>730000</v>
      </c>
      <c r="L1240" s="5" t="str">
        <f t="shared" si="19"/>
        <v>0 - 4</v>
      </c>
    </row>
    <row r="1241" spans="3:12" hidden="1">
      <c r="C1241" t="s">
        <v>31</v>
      </c>
      <c r="D1241" t="s">
        <v>73</v>
      </c>
      <c r="E1241">
        <v>3</v>
      </c>
      <c r="F1241" t="s">
        <v>10</v>
      </c>
      <c r="G1241" t="s">
        <v>59</v>
      </c>
      <c r="H1241" t="s">
        <v>351</v>
      </c>
      <c r="I1241" s="3" t="s">
        <v>116</v>
      </c>
      <c r="J1241" t="s">
        <v>66</v>
      </c>
      <c r="K1241" s="15">
        <v>800000</v>
      </c>
      <c r="L1241" s="5" t="str">
        <f t="shared" si="19"/>
        <v>0 - 4</v>
      </c>
    </row>
    <row r="1242" spans="3:12" hidden="1">
      <c r="C1242" t="s">
        <v>31</v>
      </c>
      <c r="D1242" t="s">
        <v>55</v>
      </c>
      <c r="E1242">
        <v>3</v>
      </c>
      <c r="F1242" t="s">
        <v>10</v>
      </c>
      <c r="G1242" t="s">
        <v>59</v>
      </c>
      <c r="H1242" t="s">
        <v>351</v>
      </c>
      <c r="I1242" s="3" t="s">
        <v>116</v>
      </c>
      <c r="J1242" t="s">
        <v>54</v>
      </c>
      <c r="K1242" s="15">
        <v>800000</v>
      </c>
      <c r="L1242" s="5" t="str">
        <f t="shared" si="19"/>
        <v>0 - 4</v>
      </c>
    </row>
    <row r="1243" spans="3:12" hidden="1">
      <c r="C1243" t="s">
        <v>31</v>
      </c>
      <c r="D1243" t="s">
        <v>55</v>
      </c>
      <c r="E1243">
        <v>3</v>
      </c>
      <c r="F1243" t="s">
        <v>10</v>
      </c>
      <c r="G1243" t="s">
        <v>59</v>
      </c>
      <c r="H1243" t="s">
        <v>351</v>
      </c>
      <c r="I1243" s="3" t="s">
        <v>71</v>
      </c>
      <c r="J1243" t="s">
        <v>54</v>
      </c>
      <c r="K1243" s="15">
        <v>820000</v>
      </c>
      <c r="L1243" s="5" t="str">
        <f t="shared" si="19"/>
        <v>0 - 4</v>
      </c>
    </row>
    <row r="1244" spans="3:12" hidden="1">
      <c r="C1244" t="s">
        <v>31</v>
      </c>
      <c r="D1244" t="s">
        <v>49</v>
      </c>
      <c r="E1244">
        <v>3</v>
      </c>
      <c r="F1244" t="s">
        <v>10</v>
      </c>
      <c r="G1244" t="s">
        <v>51</v>
      </c>
      <c r="H1244" t="s">
        <v>351</v>
      </c>
      <c r="I1244" s="3" t="s">
        <v>79</v>
      </c>
      <c r="J1244" t="s">
        <v>54</v>
      </c>
      <c r="K1244" s="15">
        <v>900000</v>
      </c>
      <c r="L1244" s="5" t="str">
        <f t="shared" si="19"/>
        <v>0 - 4</v>
      </c>
    </row>
    <row r="1245" spans="3:12" hidden="1">
      <c r="C1245" t="s">
        <v>31</v>
      </c>
      <c r="D1245" t="s">
        <v>55</v>
      </c>
      <c r="E1245">
        <v>3</v>
      </c>
      <c r="F1245" t="s">
        <v>10</v>
      </c>
      <c r="G1245" t="s">
        <v>59</v>
      </c>
      <c r="H1245" t="s">
        <v>351</v>
      </c>
      <c r="I1245" s="3" t="s">
        <v>79</v>
      </c>
      <c r="J1245" t="s">
        <v>66</v>
      </c>
      <c r="K1245" s="15">
        <v>900000</v>
      </c>
      <c r="L1245" s="5" t="str">
        <f t="shared" si="19"/>
        <v>0 - 4</v>
      </c>
    </row>
    <row r="1246" spans="3:12" hidden="1">
      <c r="C1246" t="s">
        <v>31</v>
      </c>
      <c r="D1246" t="s">
        <v>73</v>
      </c>
      <c r="E1246">
        <v>3</v>
      </c>
      <c r="F1246" t="s">
        <v>10</v>
      </c>
      <c r="G1246" t="s">
        <v>51</v>
      </c>
      <c r="H1246" t="s">
        <v>351</v>
      </c>
      <c r="I1246" s="3" t="s">
        <v>298</v>
      </c>
      <c r="J1246" t="s">
        <v>54</v>
      </c>
      <c r="K1246" s="15">
        <v>975000</v>
      </c>
      <c r="L1246" s="5" t="str">
        <f t="shared" si="19"/>
        <v>0 - 4</v>
      </c>
    </row>
    <row r="1247" spans="3:12" hidden="1">
      <c r="C1247" t="s">
        <v>30</v>
      </c>
      <c r="D1247" t="s">
        <v>73</v>
      </c>
      <c r="E1247">
        <v>2</v>
      </c>
      <c r="F1247" t="s">
        <v>10</v>
      </c>
      <c r="G1247" t="s">
        <v>59</v>
      </c>
      <c r="H1247" t="s">
        <v>351</v>
      </c>
      <c r="I1247" s="3" t="s">
        <v>139</v>
      </c>
      <c r="J1247" t="s">
        <v>54</v>
      </c>
      <c r="K1247" s="15">
        <v>600000</v>
      </c>
      <c r="L1247" s="5" t="str">
        <f t="shared" si="19"/>
        <v>0 - 4</v>
      </c>
    </row>
    <row r="1248" spans="3:12" hidden="1">
      <c r="C1248" t="s">
        <v>30</v>
      </c>
      <c r="D1248" t="s">
        <v>80</v>
      </c>
      <c r="E1248">
        <v>2</v>
      </c>
      <c r="F1248" t="s">
        <v>10</v>
      </c>
      <c r="G1248" t="s">
        <v>51</v>
      </c>
      <c r="H1248" t="s">
        <v>351</v>
      </c>
      <c r="I1248" s="3" t="s">
        <v>139</v>
      </c>
      <c r="J1248" t="s">
        <v>54</v>
      </c>
      <c r="K1248" s="15">
        <v>600000</v>
      </c>
      <c r="L1248" s="5" t="str">
        <f t="shared" si="19"/>
        <v>0 - 4</v>
      </c>
    </row>
    <row r="1249" spans="3:12" hidden="1">
      <c r="C1249" t="s">
        <v>30</v>
      </c>
      <c r="D1249" t="s">
        <v>73</v>
      </c>
      <c r="E1249">
        <v>2</v>
      </c>
      <c r="F1249" t="s">
        <v>10</v>
      </c>
      <c r="G1249" t="s">
        <v>51</v>
      </c>
      <c r="H1249" t="s">
        <v>351</v>
      </c>
      <c r="I1249" s="3" t="s">
        <v>85</v>
      </c>
      <c r="J1249" t="s">
        <v>66</v>
      </c>
      <c r="K1249" s="15">
        <v>650000</v>
      </c>
      <c r="L1249" s="5" t="str">
        <f t="shared" si="19"/>
        <v>0 - 4</v>
      </c>
    </row>
    <row r="1250" spans="3:12" hidden="1">
      <c r="C1250" t="s">
        <v>30</v>
      </c>
      <c r="D1250" t="s">
        <v>73</v>
      </c>
      <c r="E1250">
        <v>2</v>
      </c>
      <c r="F1250" t="s">
        <v>10</v>
      </c>
      <c r="G1250" t="s">
        <v>51</v>
      </c>
      <c r="H1250" t="s">
        <v>351</v>
      </c>
      <c r="I1250" s="3" t="s">
        <v>222</v>
      </c>
      <c r="J1250" t="s">
        <v>54</v>
      </c>
      <c r="K1250" s="15">
        <v>670000</v>
      </c>
      <c r="L1250" s="5" t="str">
        <f t="shared" si="19"/>
        <v>0 - 4</v>
      </c>
    </row>
    <row r="1251" spans="3:12" hidden="1">
      <c r="C1251" t="s">
        <v>30</v>
      </c>
      <c r="D1251" t="s">
        <v>55</v>
      </c>
      <c r="E1251">
        <v>2</v>
      </c>
      <c r="F1251" t="s">
        <v>10</v>
      </c>
      <c r="G1251" t="s">
        <v>59</v>
      </c>
      <c r="H1251" t="s">
        <v>351</v>
      </c>
      <c r="I1251" s="3" t="s">
        <v>372</v>
      </c>
      <c r="J1251" t="s">
        <v>54</v>
      </c>
      <c r="K1251" s="15">
        <v>671000</v>
      </c>
      <c r="L1251" s="5" t="str">
        <f t="shared" si="19"/>
        <v>0 - 4</v>
      </c>
    </row>
    <row r="1252" spans="3:12" hidden="1">
      <c r="C1252" t="s">
        <v>30</v>
      </c>
      <c r="D1252" t="s">
        <v>77</v>
      </c>
      <c r="E1252">
        <v>2</v>
      </c>
      <c r="F1252" t="s">
        <v>10</v>
      </c>
      <c r="G1252" t="s">
        <v>51</v>
      </c>
      <c r="H1252" t="s">
        <v>351</v>
      </c>
      <c r="I1252" s="3" t="s">
        <v>108</v>
      </c>
      <c r="J1252" t="s">
        <v>66</v>
      </c>
      <c r="K1252" s="15">
        <v>700000</v>
      </c>
      <c r="L1252" s="5" t="str">
        <f t="shared" si="19"/>
        <v>0 - 4</v>
      </c>
    </row>
    <row r="1253" spans="3:12" hidden="1">
      <c r="C1253" t="s">
        <v>30</v>
      </c>
      <c r="D1253" t="s">
        <v>56</v>
      </c>
      <c r="E1253">
        <v>2</v>
      </c>
      <c r="F1253" t="s">
        <v>10</v>
      </c>
      <c r="G1253" t="s">
        <v>51</v>
      </c>
      <c r="H1253" t="s">
        <v>351</v>
      </c>
      <c r="I1253" s="3" t="s">
        <v>373</v>
      </c>
      <c r="J1253" t="s">
        <v>66</v>
      </c>
      <c r="K1253" s="15">
        <v>738000</v>
      </c>
      <c r="L1253" s="5" t="str">
        <f t="shared" si="19"/>
        <v>0 - 4</v>
      </c>
    </row>
    <row r="1254" spans="3:12" hidden="1">
      <c r="C1254" t="s">
        <v>30</v>
      </c>
      <c r="D1254" t="s">
        <v>77</v>
      </c>
      <c r="E1254">
        <v>2</v>
      </c>
      <c r="F1254" t="s">
        <v>10</v>
      </c>
      <c r="G1254" t="s">
        <v>51</v>
      </c>
      <c r="H1254" t="s">
        <v>351</v>
      </c>
      <c r="I1254" s="3" t="s">
        <v>256</v>
      </c>
      <c r="J1254" t="s">
        <v>66</v>
      </c>
      <c r="K1254" s="15">
        <v>825000</v>
      </c>
      <c r="L1254" s="5" t="str">
        <f t="shared" si="19"/>
        <v>0 - 4</v>
      </c>
    </row>
    <row r="1255" spans="3:12" hidden="1">
      <c r="C1255" t="s">
        <v>31</v>
      </c>
      <c r="D1255" t="s">
        <v>55</v>
      </c>
      <c r="E1255">
        <v>2</v>
      </c>
      <c r="F1255" t="s">
        <v>10</v>
      </c>
      <c r="G1255" t="s">
        <v>59</v>
      </c>
      <c r="H1255" t="s">
        <v>351</v>
      </c>
      <c r="I1255" s="3" t="s">
        <v>281</v>
      </c>
      <c r="J1255" t="s">
        <v>54</v>
      </c>
      <c r="K1255" s="15">
        <v>610000</v>
      </c>
      <c r="L1255" s="5" t="str">
        <f t="shared" si="19"/>
        <v>0 - 4</v>
      </c>
    </row>
    <row r="1256" spans="3:12" hidden="1">
      <c r="C1256" t="s">
        <v>31</v>
      </c>
      <c r="D1256" t="s">
        <v>56</v>
      </c>
      <c r="E1256">
        <v>2</v>
      </c>
      <c r="F1256" t="s">
        <v>10</v>
      </c>
      <c r="G1256" t="s">
        <v>51</v>
      </c>
      <c r="H1256" t="s">
        <v>351</v>
      </c>
      <c r="I1256" s="3" t="s">
        <v>268</v>
      </c>
      <c r="J1256" t="s">
        <v>54</v>
      </c>
      <c r="K1256" s="15">
        <v>624000</v>
      </c>
      <c r="L1256" s="5" t="str">
        <f t="shared" si="19"/>
        <v>0 - 4</v>
      </c>
    </row>
    <row r="1257" spans="3:12" hidden="1">
      <c r="C1257" t="s">
        <v>31</v>
      </c>
      <c r="D1257" t="s">
        <v>55</v>
      </c>
      <c r="E1257">
        <v>2</v>
      </c>
      <c r="F1257" t="s">
        <v>10</v>
      </c>
      <c r="G1257" t="s">
        <v>57</v>
      </c>
      <c r="H1257" t="s">
        <v>351</v>
      </c>
      <c r="I1257" s="3" t="s">
        <v>374</v>
      </c>
      <c r="J1257" t="s">
        <v>54</v>
      </c>
      <c r="K1257" s="15">
        <v>635200</v>
      </c>
      <c r="L1257" s="5" t="str">
        <f t="shared" si="19"/>
        <v>0 - 4</v>
      </c>
    </row>
    <row r="1258" spans="3:12" hidden="1">
      <c r="C1258" t="s">
        <v>31</v>
      </c>
      <c r="D1258" t="s">
        <v>56</v>
      </c>
      <c r="E1258">
        <v>2</v>
      </c>
      <c r="F1258" t="s">
        <v>10</v>
      </c>
      <c r="G1258" t="s">
        <v>51</v>
      </c>
      <c r="H1258" t="s">
        <v>351</v>
      </c>
      <c r="I1258" s="3" t="s">
        <v>81</v>
      </c>
      <c r="J1258" t="s">
        <v>54</v>
      </c>
      <c r="K1258" s="15">
        <v>640000</v>
      </c>
      <c r="L1258" s="5" t="str">
        <f t="shared" si="19"/>
        <v>0 - 4</v>
      </c>
    </row>
    <row r="1259" spans="3:12" hidden="1">
      <c r="C1259" t="s">
        <v>31</v>
      </c>
      <c r="D1259" t="s">
        <v>73</v>
      </c>
      <c r="E1259">
        <v>2</v>
      </c>
      <c r="F1259" t="s">
        <v>10</v>
      </c>
      <c r="G1259" t="s">
        <v>59</v>
      </c>
      <c r="H1259" t="s">
        <v>351</v>
      </c>
      <c r="I1259" s="3" t="s">
        <v>85</v>
      </c>
      <c r="J1259" t="s">
        <v>54</v>
      </c>
      <c r="K1259" s="15">
        <v>650000</v>
      </c>
      <c r="L1259" s="5" t="str">
        <f t="shared" si="19"/>
        <v>0 - 4</v>
      </c>
    </row>
    <row r="1260" spans="3:12" hidden="1">
      <c r="C1260" t="s">
        <v>31</v>
      </c>
      <c r="D1260" t="s">
        <v>55</v>
      </c>
      <c r="E1260">
        <v>2</v>
      </c>
      <c r="F1260" t="s">
        <v>10</v>
      </c>
      <c r="G1260" t="s">
        <v>59</v>
      </c>
      <c r="H1260" t="s">
        <v>351</v>
      </c>
      <c r="I1260" s="3" t="s">
        <v>266</v>
      </c>
      <c r="J1260" t="s">
        <v>54</v>
      </c>
      <c r="K1260" s="15">
        <v>675000</v>
      </c>
      <c r="L1260" s="5" t="str">
        <f t="shared" si="19"/>
        <v>0 - 4</v>
      </c>
    </row>
    <row r="1261" spans="3:12" hidden="1">
      <c r="C1261" t="s">
        <v>31</v>
      </c>
      <c r="D1261" t="s">
        <v>55</v>
      </c>
      <c r="E1261">
        <v>2</v>
      </c>
      <c r="F1261" t="s">
        <v>10</v>
      </c>
      <c r="G1261" t="s">
        <v>59</v>
      </c>
      <c r="H1261" t="s">
        <v>351</v>
      </c>
      <c r="I1261" s="3" t="s">
        <v>266</v>
      </c>
      <c r="J1261" t="s">
        <v>54</v>
      </c>
      <c r="K1261" s="15">
        <v>675000</v>
      </c>
      <c r="L1261" s="5" t="str">
        <f t="shared" si="19"/>
        <v>0 - 4</v>
      </c>
    </row>
    <row r="1262" spans="3:12" hidden="1">
      <c r="C1262" t="s">
        <v>31</v>
      </c>
      <c r="D1262" t="s">
        <v>55</v>
      </c>
      <c r="E1262">
        <v>2</v>
      </c>
      <c r="F1262" t="s">
        <v>10</v>
      </c>
      <c r="G1262" t="s">
        <v>59</v>
      </c>
      <c r="H1262" t="s">
        <v>351</v>
      </c>
      <c r="I1262" s="3" t="s">
        <v>266</v>
      </c>
      <c r="J1262" t="s">
        <v>54</v>
      </c>
      <c r="K1262" s="15">
        <v>675000</v>
      </c>
      <c r="L1262" s="5" t="str">
        <f t="shared" si="19"/>
        <v>0 - 4</v>
      </c>
    </row>
    <row r="1263" spans="3:12" hidden="1">
      <c r="C1263" t="s">
        <v>31</v>
      </c>
      <c r="D1263" t="s">
        <v>55</v>
      </c>
      <c r="E1263">
        <v>2</v>
      </c>
      <c r="F1263" t="s">
        <v>10</v>
      </c>
      <c r="G1263" t="s">
        <v>59</v>
      </c>
      <c r="H1263" t="s">
        <v>351</v>
      </c>
      <c r="I1263" s="3" t="s">
        <v>271</v>
      </c>
      <c r="J1263" t="s">
        <v>54</v>
      </c>
      <c r="K1263" s="15">
        <v>695000</v>
      </c>
      <c r="L1263" s="5" t="str">
        <f t="shared" si="19"/>
        <v>0 - 4</v>
      </c>
    </row>
    <row r="1264" spans="3:12" hidden="1">
      <c r="C1264" t="s">
        <v>31</v>
      </c>
      <c r="D1264" t="s">
        <v>55</v>
      </c>
      <c r="E1264">
        <v>2</v>
      </c>
      <c r="F1264" t="s">
        <v>10</v>
      </c>
      <c r="G1264" t="s">
        <v>59</v>
      </c>
      <c r="H1264" t="s">
        <v>351</v>
      </c>
      <c r="I1264" s="3" t="s">
        <v>375</v>
      </c>
      <c r="J1264" t="s">
        <v>54</v>
      </c>
      <c r="K1264" s="15">
        <v>741200</v>
      </c>
      <c r="L1264" s="5" t="str">
        <f t="shared" si="19"/>
        <v>0 - 4</v>
      </c>
    </row>
    <row r="1265" spans="3:12" hidden="1">
      <c r="C1265" t="s">
        <v>31</v>
      </c>
      <c r="D1265" t="s">
        <v>73</v>
      </c>
      <c r="E1265">
        <v>2</v>
      </c>
      <c r="F1265" t="s">
        <v>10</v>
      </c>
      <c r="G1265" t="s">
        <v>51</v>
      </c>
      <c r="H1265" t="s">
        <v>351</v>
      </c>
      <c r="I1265" s="3" t="s">
        <v>161</v>
      </c>
      <c r="J1265" t="s">
        <v>54</v>
      </c>
      <c r="K1265" s="15">
        <v>765000</v>
      </c>
      <c r="L1265" s="5" t="str">
        <f t="shared" si="19"/>
        <v>0 - 4</v>
      </c>
    </row>
    <row r="1266" spans="3:12" hidden="1">
      <c r="C1266" t="s">
        <v>31</v>
      </c>
      <c r="D1266" t="s">
        <v>67</v>
      </c>
      <c r="E1266">
        <v>2</v>
      </c>
      <c r="F1266" t="s">
        <v>10</v>
      </c>
      <c r="G1266" t="s">
        <v>51</v>
      </c>
      <c r="H1266" t="s">
        <v>351</v>
      </c>
      <c r="I1266" s="3" t="s">
        <v>116</v>
      </c>
      <c r="J1266" t="s">
        <v>66</v>
      </c>
      <c r="K1266" s="15">
        <v>800000</v>
      </c>
      <c r="L1266" s="5" t="str">
        <f t="shared" si="19"/>
        <v>0 - 4</v>
      </c>
    </row>
    <row r="1267" spans="3:12" hidden="1">
      <c r="C1267" t="s">
        <v>32</v>
      </c>
      <c r="D1267" t="s">
        <v>73</v>
      </c>
      <c r="E1267">
        <v>1</v>
      </c>
      <c r="F1267" t="s">
        <v>10</v>
      </c>
      <c r="G1267" t="s">
        <v>51</v>
      </c>
      <c r="H1267" t="s">
        <v>351</v>
      </c>
      <c r="I1267" s="3" t="s">
        <v>213</v>
      </c>
      <c r="J1267" t="s">
        <v>54</v>
      </c>
      <c r="K1267" s="15">
        <v>620000</v>
      </c>
      <c r="L1267" s="5" t="str">
        <f t="shared" si="19"/>
        <v>0 - 4</v>
      </c>
    </row>
    <row r="1268" spans="3:12" hidden="1">
      <c r="C1268" t="s">
        <v>30</v>
      </c>
      <c r="D1268" t="s">
        <v>73</v>
      </c>
      <c r="E1268">
        <v>1</v>
      </c>
      <c r="F1268" t="s">
        <v>10</v>
      </c>
      <c r="G1268" t="s">
        <v>59</v>
      </c>
      <c r="H1268" t="s">
        <v>351</v>
      </c>
      <c r="I1268" s="3" t="s">
        <v>191</v>
      </c>
      <c r="J1268" t="s">
        <v>54</v>
      </c>
      <c r="K1268" s="15">
        <v>530000</v>
      </c>
      <c r="L1268" s="5" t="str">
        <f t="shared" si="19"/>
        <v>0 - 4</v>
      </c>
    </row>
    <row r="1269" spans="3:12" hidden="1">
      <c r="C1269" t="s">
        <v>30</v>
      </c>
      <c r="D1269" t="s">
        <v>73</v>
      </c>
      <c r="E1269">
        <v>1</v>
      </c>
      <c r="F1269" t="s">
        <v>10</v>
      </c>
      <c r="G1269" t="s">
        <v>59</v>
      </c>
      <c r="H1269" t="s">
        <v>351</v>
      </c>
      <c r="I1269" s="3" t="s">
        <v>191</v>
      </c>
      <c r="J1269" t="s">
        <v>54</v>
      </c>
      <c r="K1269" s="15">
        <v>530000</v>
      </c>
      <c r="L1269" s="5" t="str">
        <f t="shared" si="19"/>
        <v>0 - 4</v>
      </c>
    </row>
    <row r="1270" spans="3:12" hidden="1">
      <c r="C1270" t="s">
        <v>30</v>
      </c>
      <c r="D1270" t="s">
        <v>73</v>
      </c>
      <c r="E1270">
        <v>1</v>
      </c>
      <c r="F1270" t="s">
        <v>10</v>
      </c>
      <c r="G1270" t="s">
        <v>51</v>
      </c>
      <c r="H1270" t="s">
        <v>351</v>
      </c>
      <c r="I1270" s="3" t="s">
        <v>206</v>
      </c>
      <c r="J1270" t="s">
        <v>54</v>
      </c>
      <c r="K1270" s="15">
        <v>540000</v>
      </c>
      <c r="L1270" s="5" t="str">
        <f t="shared" si="19"/>
        <v>0 - 4</v>
      </c>
    </row>
    <row r="1271" spans="3:12" hidden="1">
      <c r="C1271" t="s">
        <v>30</v>
      </c>
      <c r="D1271" t="s">
        <v>73</v>
      </c>
      <c r="E1271">
        <v>1</v>
      </c>
      <c r="F1271" t="s">
        <v>10</v>
      </c>
      <c r="G1271" t="s">
        <v>51</v>
      </c>
      <c r="H1271" t="s">
        <v>351</v>
      </c>
      <c r="I1271" s="3" t="s">
        <v>139</v>
      </c>
      <c r="J1271" t="s">
        <v>54</v>
      </c>
      <c r="K1271" s="15">
        <v>600000</v>
      </c>
      <c r="L1271" s="5" t="str">
        <f t="shared" si="19"/>
        <v>0 - 4</v>
      </c>
    </row>
    <row r="1272" spans="3:12" hidden="1">
      <c r="C1272" t="s">
        <v>30</v>
      </c>
      <c r="D1272" t="s">
        <v>80</v>
      </c>
      <c r="E1272">
        <v>1</v>
      </c>
      <c r="F1272" t="s">
        <v>10</v>
      </c>
      <c r="G1272" t="s">
        <v>51</v>
      </c>
      <c r="H1272" t="s">
        <v>351</v>
      </c>
      <c r="I1272" s="3" t="s">
        <v>139</v>
      </c>
      <c r="J1272" t="s">
        <v>54</v>
      </c>
      <c r="K1272" s="15">
        <v>600000</v>
      </c>
      <c r="L1272" s="5" t="str">
        <f t="shared" si="19"/>
        <v>0 - 4</v>
      </c>
    </row>
    <row r="1273" spans="3:12" hidden="1">
      <c r="C1273" t="s">
        <v>30</v>
      </c>
      <c r="D1273" t="s">
        <v>55</v>
      </c>
      <c r="E1273">
        <v>1</v>
      </c>
      <c r="F1273" t="s">
        <v>10</v>
      </c>
      <c r="G1273" t="s">
        <v>51</v>
      </c>
      <c r="H1273" t="s">
        <v>351</v>
      </c>
      <c r="I1273" s="3" t="s">
        <v>139</v>
      </c>
      <c r="J1273" t="s">
        <v>66</v>
      </c>
      <c r="K1273" s="15">
        <v>600000</v>
      </c>
      <c r="L1273" s="5" t="str">
        <f t="shared" si="19"/>
        <v>0 - 4</v>
      </c>
    </row>
    <row r="1274" spans="3:12" hidden="1">
      <c r="C1274" t="s">
        <v>30</v>
      </c>
      <c r="D1274" t="s">
        <v>49</v>
      </c>
      <c r="E1274">
        <v>1</v>
      </c>
      <c r="F1274" t="s">
        <v>10</v>
      </c>
      <c r="G1274" t="s">
        <v>51</v>
      </c>
      <c r="H1274" t="s">
        <v>351</v>
      </c>
      <c r="I1274" s="3" t="s">
        <v>85</v>
      </c>
      <c r="J1274" t="s">
        <v>66</v>
      </c>
      <c r="K1274" s="15">
        <v>650000</v>
      </c>
      <c r="L1274" s="5" t="str">
        <f t="shared" si="19"/>
        <v>0 - 4</v>
      </c>
    </row>
    <row r="1275" spans="3:12" hidden="1">
      <c r="C1275" t="s">
        <v>30</v>
      </c>
      <c r="D1275" t="s">
        <v>55</v>
      </c>
      <c r="E1275">
        <v>1</v>
      </c>
      <c r="F1275" t="s">
        <v>10</v>
      </c>
      <c r="G1275" t="s">
        <v>59</v>
      </c>
      <c r="H1275" t="s">
        <v>351</v>
      </c>
      <c r="I1275" s="3" t="s">
        <v>115</v>
      </c>
      <c r="J1275" t="s">
        <v>54</v>
      </c>
      <c r="K1275" s="15">
        <v>715000</v>
      </c>
      <c r="L1275" s="5" t="str">
        <f t="shared" si="19"/>
        <v>0 - 4</v>
      </c>
    </row>
    <row r="1276" spans="3:12" hidden="1">
      <c r="C1276" t="s">
        <v>31</v>
      </c>
      <c r="D1276" t="s">
        <v>63</v>
      </c>
      <c r="E1276">
        <v>1</v>
      </c>
      <c r="F1276" t="s">
        <v>10</v>
      </c>
      <c r="G1276" t="s">
        <v>57</v>
      </c>
      <c r="H1276" t="s">
        <v>351</v>
      </c>
      <c r="I1276" s="3" t="s">
        <v>113</v>
      </c>
      <c r="J1276" t="s">
        <v>54</v>
      </c>
      <c r="K1276" s="15">
        <v>590000</v>
      </c>
      <c r="L1276" s="5" t="str">
        <f t="shared" si="19"/>
        <v>0 - 4</v>
      </c>
    </row>
    <row r="1277" spans="3:12" hidden="1">
      <c r="C1277" t="s">
        <v>31</v>
      </c>
      <c r="D1277" t="s">
        <v>73</v>
      </c>
      <c r="E1277">
        <v>1</v>
      </c>
      <c r="F1277" t="s">
        <v>10</v>
      </c>
      <c r="G1277" t="s">
        <v>59</v>
      </c>
      <c r="H1277" t="s">
        <v>351</v>
      </c>
      <c r="I1277" s="3" t="s">
        <v>139</v>
      </c>
      <c r="J1277" t="s">
        <v>54</v>
      </c>
      <c r="K1277" s="15">
        <v>600000</v>
      </c>
      <c r="L1277" s="5" t="str">
        <f t="shared" si="19"/>
        <v>0 - 4</v>
      </c>
    </row>
    <row r="1278" spans="3:12" hidden="1">
      <c r="C1278" t="s">
        <v>31</v>
      </c>
      <c r="D1278" t="s">
        <v>55</v>
      </c>
      <c r="E1278">
        <v>1</v>
      </c>
      <c r="F1278" t="s">
        <v>10</v>
      </c>
      <c r="G1278" t="s">
        <v>59</v>
      </c>
      <c r="H1278" t="s">
        <v>351</v>
      </c>
      <c r="I1278" s="3" t="s">
        <v>281</v>
      </c>
      <c r="J1278" t="s">
        <v>54</v>
      </c>
      <c r="K1278" s="15">
        <v>610000</v>
      </c>
      <c r="L1278" s="5" t="str">
        <f t="shared" si="19"/>
        <v>0 - 4</v>
      </c>
    </row>
    <row r="1279" spans="3:12" hidden="1">
      <c r="C1279" t="s">
        <v>31</v>
      </c>
      <c r="D1279" t="s">
        <v>55</v>
      </c>
      <c r="E1279">
        <v>1</v>
      </c>
      <c r="F1279" t="s">
        <v>10</v>
      </c>
      <c r="G1279" t="s">
        <v>59</v>
      </c>
      <c r="H1279" t="s">
        <v>351</v>
      </c>
      <c r="I1279" s="3" t="s">
        <v>281</v>
      </c>
      <c r="J1279" t="s">
        <v>54</v>
      </c>
      <c r="K1279" s="15">
        <v>610000</v>
      </c>
      <c r="L1279" s="5" t="str">
        <f t="shared" si="19"/>
        <v>0 - 4</v>
      </c>
    </row>
    <row r="1280" spans="3:12" hidden="1">
      <c r="C1280" t="s">
        <v>31</v>
      </c>
      <c r="D1280" t="s">
        <v>55</v>
      </c>
      <c r="E1280">
        <v>1</v>
      </c>
      <c r="F1280" t="s">
        <v>10</v>
      </c>
      <c r="G1280" t="s">
        <v>59</v>
      </c>
      <c r="H1280" t="s">
        <v>351</v>
      </c>
      <c r="I1280" s="3" t="s">
        <v>119</v>
      </c>
      <c r="J1280" t="s">
        <v>54</v>
      </c>
      <c r="K1280" s="15">
        <v>630000</v>
      </c>
      <c r="L1280" s="5" t="str">
        <f t="shared" si="19"/>
        <v>0 - 4</v>
      </c>
    </row>
    <row r="1281" spans="3:12" hidden="1">
      <c r="C1281" t="s">
        <v>31</v>
      </c>
      <c r="D1281" t="s">
        <v>80</v>
      </c>
      <c r="E1281">
        <v>1</v>
      </c>
      <c r="F1281" t="s">
        <v>10</v>
      </c>
      <c r="G1281" t="s">
        <v>51</v>
      </c>
      <c r="H1281" t="s">
        <v>351</v>
      </c>
      <c r="I1281" s="3" t="s">
        <v>85</v>
      </c>
      <c r="J1281" t="s">
        <v>66</v>
      </c>
      <c r="K1281" s="15">
        <v>650000</v>
      </c>
      <c r="L1281" s="5" t="str">
        <f t="shared" si="19"/>
        <v>0 - 4</v>
      </c>
    </row>
    <row r="1282" spans="3:12" hidden="1">
      <c r="C1282" t="s">
        <v>31</v>
      </c>
      <c r="D1282" t="s">
        <v>73</v>
      </c>
      <c r="E1282">
        <v>1</v>
      </c>
      <c r="F1282" t="s">
        <v>10</v>
      </c>
      <c r="G1282" t="s">
        <v>57</v>
      </c>
      <c r="H1282" t="s">
        <v>351</v>
      </c>
      <c r="I1282" s="3" t="s">
        <v>85</v>
      </c>
      <c r="J1282" t="s">
        <v>54</v>
      </c>
      <c r="K1282" s="15">
        <v>650000</v>
      </c>
      <c r="L1282" s="5" t="str">
        <f t="shared" si="19"/>
        <v>0 - 4</v>
      </c>
    </row>
    <row r="1283" spans="3:12" hidden="1">
      <c r="C1283" t="s">
        <v>31</v>
      </c>
      <c r="D1283" t="s">
        <v>73</v>
      </c>
      <c r="E1283">
        <v>1</v>
      </c>
      <c r="F1283" t="s">
        <v>10</v>
      </c>
      <c r="G1283" t="s">
        <v>51</v>
      </c>
      <c r="H1283" t="s">
        <v>351</v>
      </c>
      <c r="I1283" s="3" t="s">
        <v>85</v>
      </c>
      <c r="J1283" t="s">
        <v>54</v>
      </c>
      <c r="K1283" s="15">
        <v>650000</v>
      </c>
      <c r="L1283" s="5" t="str">
        <f t="shared" ref="L1283:L1346" si="20">_xlfn.XLOOKUP(E1283,$P$2:$P$5,$O$2:$O$5,,1)</f>
        <v>0 - 4</v>
      </c>
    </row>
    <row r="1284" spans="3:12" hidden="1">
      <c r="C1284" t="s">
        <v>31</v>
      </c>
      <c r="D1284" t="s">
        <v>73</v>
      </c>
      <c r="E1284">
        <v>1</v>
      </c>
      <c r="F1284" t="s">
        <v>10</v>
      </c>
      <c r="G1284" t="s">
        <v>51</v>
      </c>
      <c r="H1284" t="s">
        <v>351</v>
      </c>
      <c r="I1284" s="3" t="s">
        <v>342</v>
      </c>
      <c r="J1284" t="s">
        <v>54</v>
      </c>
      <c r="K1284" s="15">
        <v>655000</v>
      </c>
      <c r="L1284" s="5" t="str">
        <f t="shared" si="20"/>
        <v>0 - 4</v>
      </c>
    </row>
    <row r="1285" spans="3:12" hidden="1">
      <c r="C1285" t="s">
        <v>31</v>
      </c>
      <c r="D1285" t="s">
        <v>73</v>
      </c>
      <c r="E1285">
        <v>1</v>
      </c>
      <c r="F1285" t="s">
        <v>10</v>
      </c>
      <c r="G1285" t="s">
        <v>51</v>
      </c>
      <c r="H1285" t="s">
        <v>351</v>
      </c>
      <c r="I1285" s="3" t="s">
        <v>208</v>
      </c>
      <c r="J1285" t="s">
        <v>54</v>
      </c>
      <c r="K1285" s="15">
        <v>664000</v>
      </c>
      <c r="L1285" s="5" t="str">
        <f t="shared" si="20"/>
        <v>0 - 4</v>
      </c>
    </row>
    <row r="1286" spans="3:12" hidden="1">
      <c r="C1286" t="s">
        <v>31</v>
      </c>
      <c r="D1286" t="s">
        <v>73</v>
      </c>
      <c r="E1286">
        <v>1</v>
      </c>
      <c r="F1286" t="s">
        <v>10</v>
      </c>
      <c r="G1286" t="s">
        <v>51</v>
      </c>
      <c r="H1286" t="s">
        <v>351</v>
      </c>
      <c r="I1286" s="3" t="s">
        <v>222</v>
      </c>
      <c r="J1286" t="s">
        <v>54</v>
      </c>
      <c r="K1286" s="15">
        <v>670000</v>
      </c>
      <c r="L1286" s="5" t="str">
        <f t="shared" si="20"/>
        <v>0 - 4</v>
      </c>
    </row>
    <row r="1287" spans="3:12" hidden="1">
      <c r="C1287" t="s">
        <v>31</v>
      </c>
      <c r="D1287" t="s">
        <v>73</v>
      </c>
      <c r="E1287">
        <v>1</v>
      </c>
      <c r="F1287" t="s">
        <v>10</v>
      </c>
      <c r="G1287" t="s">
        <v>57</v>
      </c>
      <c r="H1287" t="s">
        <v>351</v>
      </c>
      <c r="I1287" s="3" t="s">
        <v>69</v>
      </c>
      <c r="J1287" t="s">
        <v>54</v>
      </c>
      <c r="K1287" s="15">
        <v>750000</v>
      </c>
      <c r="L1287" s="5" t="str">
        <f t="shared" si="20"/>
        <v>0 - 4</v>
      </c>
    </row>
    <row r="1288" spans="3:12" hidden="1">
      <c r="C1288" t="s">
        <v>31</v>
      </c>
      <c r="D1288" t="s">
        <v>56</v>
      </c>
      <c r="E1288">
        <v>1</v>
      </c>
      <c r="F1288" t="s">
        <v>10</v>
      </c>
      <c r="G1288" t="s">
        <v>51</v>
      </c>
      <c r="H1288" t="s">
        <v>351</v>
      </c>
      <c r="I1288" s="3" t="s">
        <v>116</v>
      </c>
      <c r="J1288" t="s">
        <v>66</v>
      </c>
      <c r="K1288" s="15">
        <v>800000</v>
      </c>
      <c r="L1288" s="5" t="str">
        <f t="shared" si="20"/>
        <v>0 - 4</v>
      </c>
    </row>
    <row r="1289" spans="3:12" hidden="1">
      <c r="C1289" t="s">
        <v>30</v>
      </c>
      <c r="D1289" t="s">
        <v>55</v>
      </c>
      <c r="E1289">
        <v>0</v>
      </c>
      <c r="F1289" t="s">
        <v>10</v>
      </c>
      <c r="G1289" t="s">
        <v>59</v>
      </c>
      <c r="H1289" t="s">
        <v>351</v>
      </c>
      <c r="I1289" s="3" t="s">
        <v>119</v>
      </c>
      <c r="J1289" t="s">
        <v>54</v>
      </c>
      <c r="K1289" s="15">
        <v>630000</v>
      </c>
      <c r="L1289" s="5" t="str">
        <f t="shared" si="20"/>
        <v>0 - 4</v>
      </c>
    </row>
    <row r="1290" spans="3:12" hidden="1">
      <c r="C1290" t="s">
        <v>30</v>
      </c>
      <c r="D1290" t="s">
        <v>55</v>
      </c>
      <c r="E1290">
        <v>0</v>
      </c>
      <c r="F1290" t="s">
        <v>10</v>
      </c>
      <c r="G1290" t="s">
        <v>59</v>
      </c>
      <c r="H1290" t="s">
        <v>351</v>
      </c>
      <c r="I1290" s="3" t="s">
        <v>81</v>
      </c>
      <c r="J1290" t="s">
        <v>54</v>
      </c>
      <c r="K1290" s="15">
        <v>640000</v>
      </c>
      <c r="L1290" s="5" t="str">
        <f t="shared" si="20"/>
        <v>0 - 4</v>
      </c>
    </row>
    <row r="1291" spans="3:12" hidden="1">
      <c r="C1291" t="s">
        <v>31</v>
      </c>
      <c r="D1291" t="s">
        <v>73</v>
      </c>
      <c r="E1291">
        <v>0</v>
      </c>
      <c r="F1291" t="s">
        <v>10</v>
      </c>
      <c r="G1291" t="s">
        <v>51</v>
      </c>
      <c r="H1291" t="s">
        <v>351</v>
      </c>
      <c r="I1291" s="3" t="s">
        <v>94</v>
      </c>
      <c r="J1291" t="s">
        <v>54</v>
      </c>
      <c r="K1291" s="15">
        <v>550000</v>
      </c>
      <c r="L1291" s="5" t="str">
        <f t="shared" si="20"/>
        <v>0 - 4</v>
      </c>
    </row>
    <row r="1292" spans="3:12" hidden="1">
      <c r="C1292" t="s">
        <v>31</v>
      </c>
      <c r="D1292" t="s">
        <v>73</v>
      </c>
      <c r="E1292">
        <v>0</v>
      </c>
      <c r="F1292" t="s">
        <v>10</v>
      </c>
      <c r="G1292" t="s">
        <v>51</v>
      </c>
      <c r="H1292" t="s">
        <v>351</v>
      </c>
      <c r="I1292" s="3" t="s">
        <v>94</v>
      </c>
      <c r="J1292" t="s">
        <v>54</v>
      </c>
      <c r="K1292" s="15">
        <v>550000</v>
      </c>
      <c r="L1292" s="5" t="str">
        <f t="shared" si="20"/>
        <v>0 - 4</v>
      </c>
    </row>
    <row r="1293" spans="3:12" hidden="1">
      <c r="C1293" t="s">
        <v>31</v>
      </c>
      <c r="D1293" t="s">
        <v>73</v>
      </c>
      <c r="E1293">
        <v>0</v>
      </c>
      <c r="F1293" t="s">
        <v>10</v>
      </c>
      <c r="G1293" t="s">
        <v>59</v>
      </c>
      <c r="H1293" t="s">
        <v>351</v>
      </c>
      <c r="I1293" s="3" t="s">
        <v>376</v>
      </c>
      <c r="J1293" t="s">
        <v>66</v>
      </c>
      <c r="K1293" s="15">
        <v>555000</v>
      </c>
      <c r="L1293" s="5" t="str">
        <f t="shared" si="20"/>
        <v>0 - 4</v>
      </c>
    </row>
    <row r="1294" spans="3:12" hidden="1">
      <c r="C1294" t="s">
        <v>31</v>
      </c>
      <c r="D1294" t="s">
        <v>73</v>
      </c>
      <c r="E1294">
        <v>0</v>
      </c>
      <c r="F1294" t="s">
        <v>10</v>
      </c>
      <c r="G1294" t="s">
        <v>51</v>
      </c>
      <c r="H1294" t="s">
        <v>351</v>
      </c>
      <c r="I1294" s="3" t="s">
        <v>123</v>
      </c>
      <c r="J1294" t="s">
        <v>54</v>
      </c>
      <c r="K1294" s="15">
        <v>580000</v>
      </c>
      <c r="L1294" s="5" t="str">
        <f t="shared" si="20"/>
        <v>0 - 4</v>
      </c>
    </row>
    <row r="1295" spans="3:12" hidden="1">
      <c r="C1295" t="s">
        <v>31</v>
      </c>
      <c r="D1295" t="s">
        <v>73</v>
      </c>
      <c r="E1295">
        <v>0</v>
      </c>
      <c r="F1295" t="s">
        <v>10</v>
      </c>
      <c r="G1295" t="s">
        <v>57</v>
      </c>
      <c r="H1295" t="s">
        <v>351</v>
      </c>
      <c r="I1295" s="3" t="s">
        <v>139</v>
      </c>
      <c r="J1295" t="s">
        <v>54</v>
      </c>
      <c r="K1295" s="15">
        <v>600000</v>
      </c>
      <c r="L1295" s="5" t="str">
        <f t="shared" si="20"/>
        <v>0 - 4</v>
      </c>
    </row>
    <row r="1296" spans="3:12" hidden="1">
      <c r="C1296" t="s">
        <v>31</v>
      </c>
      <c r="D1296" t="s">
        <v>73</v>
      </c>
      <c r="E1296">
        <v>0</v>
      </c>
      <c r="F1296" t="s">
        <v>10</v>
      </c>
      <c r="G1296" t="s">
        <v>57</v>
      </c>
      <c r="H1296" t="s">
        <v>351</v>
      </c>
      <c r="I1296" s="3" t="s">
        <v>227</v>
      </c>
      <c r="J1296" t="s">
        <v>54</v>
      </c>
      <c r="K1296" s="15">
        <v>605000</v>
      </c>
      <c r="L1296" s="5" t="str">
        <f t="shared" si="20"/>
        <v>0 - 4</v>
      </c>
    </row>
    <row r="1297" spans="3:12" hidden="1">
      <c r="C1297" t="s">
        <v>31</v>
      </c>
      <c r="D1297" t="s">
        <v>73</v>
      </c>
      <c r="E1297">
        <v>0</v>
      </c>
      <c r="F1297" t="s">
        <v>10</v>
      </c>
      <c r="G1297" t="s">
        <v>51</v>
      </c>
      <c r="H1297" t="s">
        <v>351</v>
      </c>
      <c r="I1297" s="3" t="s">
        <v>213</v>
      </c>
      <c r="J1297" t="s">
        <v>54</v>
      </c>
      <c r="K1297" s="15">
        <v>620000</v>
      </c>
      <c r="L1297" s="5" t="str">
        <f t="shared" si="20"/>
        <v>0 - 4</v>
      </c>
    </row>
    <row r="1298" spans="3:12" hidden="1">
      <c r="C1298" t="s">
        <v>31</v>
      </c>
      <c r="D1298" t="s">
        <v>55</v>
      </c>
      <c r="E1298">
        <v>0</v>
      </c>
      <c r="F1298" t="s">
        <v>10</v>
      </c>
      <c r="G1298" t="s">
        <v>59</v>
      </c>
      <c r="H1298" t="s">
        <v>351</v>
      </c>
      <c r="I1298" s="3" t="s">
        <v>119</v>
      </c>
      <c r="J1298" t="s">
        <v>54</v>
      </c>
      <c r="K1298" s="15">
        <v>630000</v>
      </c>
      <c r="L1298" s="5" t="str">
        <f t="shared" si="20"/>
        <v>0 - 4</v>
      </c>
    </row>
    <row r="1299" spans="3:12" hidden="1">
      <c r="C1299" t="s">
        <v>31</v>
      </c>
      <c r="D1299" t="s">
        <v>88</v>
      </c>
      <c r="E1299">
        <v>28</v>
      </c>
      <c r="F1299" t="s">
        <v>11</v>
      </c>
      <c r="G1299" t="s">
        <v>59</v>
      </c>
      <c r="H1299" t="s">
        <v>351</v>
      </c>
      <c r="I1299" s="3" t="s">
        <v>106</v>
      </c>
      <c r="J1299" t="s">
        <v>66</v>
      </c>
      <c r="K1299" s="15">
        <v>1100000</v>
      </c>
      <c r="L1299" s="5" t="str">
        <f t="shared" si="20"/>
        <v>15 +</v>
      </c>
    </row>
    <row r="1300" spans="3:12" hidden="1">
      <c r="C1300" t="s">
        <v>31</v>
      </c>
      <c r="D1300" t="s">
        <v>77</v>
      </c>
      <c r="E1300">
        <v>24</v>
      </c>
      <c r="F1300" t="s">
        <v>11</v>
      </c>
      <c r="G1300" t="s">
        <v>59</v>
      </c>
      <c r="H1300" t="s">
        <v>351</v>
      </c>
      <c r="I1300" s="3" t="s">
        <v>111</v>
      </c>
      <c r="J1300" t="s">
        <v>66</v>
      </c>
      <c r="K1300" s="15">
        <v>870000</v>
      </c>
      <c r="L1300" s="5" t="str">
        <f t="shared" si="20"/>
        <v>15 +</v>
      </c>
    </row>
    <row r="1301" spans="3:12" hidden="1">
      <c r="C1301" t="s">
        <v>31</v>
      </c>
      <c r="D1301" t="s">
        <v>55</v>
      </c>
      <c r="E1301">
        <v>15</v>
      </c>
      <c r="F1301" t="s">
        <v>11</v>
      </c>
      <c r="G1301" t="s">
        <v>59</v>
      </c>
      <c r="H1301" t="s">
        <v>351</v>
      </c>
      <c r="I1301" s="3" t="s">
        <v>98</v>
      </c>
      <c r="J1301" t="s">
        <v>66</v>
      </c>
      <c r="K1301" s="15">
        <v>920000</v>
      </c>
      <c r="L1301" s="5" t="str">
        <f t="shared" si="20"/>
        <v>15 +</v>
      </c>
    </row>
    <row r="1302" spans="3:12" hidden="1">
      <c r="C1302" t="s">
        <v>31</v>
      </c>
      <c r="D1302" t="s">
        <v>49</v>
      </c>
      <c r="E1302">
        <v>12</v>
      </c>
      <c r="F1302" t="s">
        <v>11</v>
      </c>
      <c r="G1302" t="s">
        <v>51</v>
      </c>
      <c r="H1302" t="s">
        <v>351</v>
      </c>
      <c r="I1302" s="3" t="s">
        <v>135</v>
      </c>
      <c r="J1302" t="s">
        <v>54</v>
      </c>
      <c r="K1302" s="15">
        <v>840000</v>
      </c>
      <c r="L1302" s="5" t="str">
        <f t="shared" si="20"/>
        <v>9 - 14</v>
      </c>
    </row>
    <row r="1303" spans="3:12" hidden="1">
      <c r="C1303" t="s">
        <v>31</v>
      </c>
      <c r="D1303" t="s">
        <v>80</v>
      </c>
      <c r="E1303">
        <v>9</v>
      </c>
      <c r="F1303" t="s">
        <v>11</v>
      </c>
      <c r="G1303" t="s">
        <v>59</v>
      </c>
      <c r="H1303" t="s">
        <v>351</v>
      </c>
      <c r="I1303" s="3" t="s">
        <v>72</v>
      </c>
      <c r="J1303" t="s">
        <v>66</v>
      </c>
      <c r="K1303" s="15">
        <v>850000</v>
      </c>
      <c r="L1303" s="5" t="str">
        <f t="shared" si="20"/>
        <v>9 - 14</v>
      </c>
    </row>
    <row r="1304" spans="3:12" hidden="1">
      <c r="C1304" t="s">
        <v>31</v>
      </c>
      <c r="D1304" t="s">
        <v>73</v>
      </c>
      <c r="E1304">
        <v>8</v>
      </c>
      <c r="F1304" t="s">
        <v>11</v>
      </c>
      <c r="G1304" t="s">
        <v>51</v>
      </c>
      <c r="H1304" t="s">
        <v>351</v>
      </c>
      <c r="I1304" s="3" t="s">
        <v>377</v>
      </c>
      <c r="J1304" t="s">
        <v>54</v>
      </c>
      <c r="K1304" s="15">
        <v>634000</v>
      </c>
      <c r="L1304" s="5" t="str">
        <f t="shared" si="20"/>
        <v>5  - 8</v>
      </c>
    </row>
    <row r="1305" spans="3:12" hidden="1">
      <c r="C1305" t="s">
        <v>31</v>
      </c>
      <c r="D1305" t="s">
        <v>73</v>
      </c>
      <c r="E1305">
        <v>5</v>
      </c>
      <c r="F1305" t="s">
        <v>11</v>
      </c>
      <c r="G1305" t="s">
        <v>59</v>
      </c>
      <c r="H1305" t="s">
        <v>351</v>
      </c>
      <c r="I1305" s="3" t="s">
        <v>116</v>
      </c>
      <c r="J1305" t="s">
        <v>66</v>
      </c>
      <c r="K1305" s="15">
        <v>800000</v>
      </c>
      <c r="L1305" s="5" t="str">
        <f t="shared" si="20"/>
        <v>5  - 8</v>
      </c>
    </row>
    <row r="1306" spans="3:12" hidden="1">
      <c r="C1306" t="s">
        <v>31</v>
      </c>
      <c r="D1306" t="s">
        <v>56</v>
      </c>
      <c r="E1306">
        <v>4</v>
      </c>
      <c r="F1306" t="s">
        <v>11</v>
      </c>
      <c r="G1306" t="s">
        <v>51</v>
      </c>
      <c r="H1306" t="s">
        <v>351</v>
      </c>
      <c r="I1306" s="3" t="s">
        <v>206</v>
      </c>
      <c r="J1306" t="s">
        <v>54</v>
      </c>
      <c r="K1306" s="15">
        <v>540000</v>
      </c>
      <c r="L1306" s="5" t="str">
        <f t="shared" si="20"/>
        <v>0 - 4</v>
      </c>
    </row>
    <row r="1307" spans="3:12" hidden="1">
      <c r="C1307" t="s">
        <v>31</v>
      </c>
      <c r="D1307" t="s">
        <v>56</v>
      </c>
      <c r="E1307">
        <v>4</v>
      </c>
      <c r="F1307" t="s">
        <v>11</v>
      </c>
      <c r="G1307" t="s">
        <v>59</v>
      </c>
      <c r="H1307" t="s">
        <v>351</v>
      </c>
      <c r="I1307" s="3" t="s">
        <v>116</v>
      </c>
      <c r="J1307" t="s">
        <v>66</v>
      </c>
      <c r="K1307" s="15">
        <v>800000</v>
      </c>
      <c r="L1307" s="5" t="str">
        <f t="shared" si="20"/>
        <v>0 - 4</v>
      </c>
    </row>
    <row r="1308" spans="3:12" hidden="1">
      <c r="C1308" t="s">
        <v>30</v>
      </c>
      <c r="D1308" t="s">
        <v>56</v>
      </c>
      <c r="E1308">
        <v>3</v>
      </c>
      <c r="F1308" t="s">
        <v>11</v>
      </c>
      <c r="G1308" t="s">
        <v>51</v>
      </c>
      <c r="H1308" t="s">
        <v>351</v>
      </c>
      <c r="I1308" s="3" t="s">
        <v>139</v>
      </c>
      <c r="J1308" t="s">
        <v>54</v>
      </c>
      <c r="K1308" s="15">
        <v>600000</v>
      </c>
      <c r="L1308" s="5" t="str">
        <f t="shared" si="20"/>
        <v>0 - 4</v>
      </c>
    </row>
    <row r="1309" spans="3:12" hidden="1">
      <c r="C1309" t="s">
        <v>30</v>
      </c>
      <c r="D1309" t="s">
        <v>73</v>
      </c>
      <c r="E1309">
        <v>3</v>
      </c>
      <c r="F1309" t="s">
        <v>11</v>
      </c>
      <c r="G1309" t="s">
        <v>59</v>
      </c>
      <c r="H1309" t="s">
        <v>351</v>
      </c>
      <c r="I1309" s="3" t="s">
        <v>159</v>
      </c>
      <c r="J1309" t="s">
        <v>66</v>
      </c>
      <c r="K1309" s="15">
        <v>680000</v>
      </c>
      <c r="L1309" s="5" t="str">
        <f t="shared" si="20"/>
        <v>0 - 4</v>
      </c>
    </row>
    <row r="1310" spans="3:12" hidden="1">
      <c r="C1310" t="s">
        <v>30</v>
      </c>
      <c r="D1310" t="s">
        <v>73</v>
      </c>
      <c r="E1310">
        <v>3</v>
      </c>
      <c r="F1310" t="s">
        <v>11</v>
      </c>
      <c r="G1310" t="s">
        <v>59</v>
      </c>
      <c r="H1310" t="s">
        <v>351</v>
      </c>
      <c r="I1310" s="3" t="s">
        <v>156</v>
      </c>
      <c r="J1310" t="s">
        <v>66</v>
      </c>
      <c r="K1310" s="15">
        <v>770000</v>
      </c>
      <c r="L1310" s="5" t="str">
        <f t="shared" si="20"/>
        <v>0 - 4</v>
      </c>
    </row>
    <row r="1311" spans="3:12" hidden="1">
      <c r="C1311" t="s">
        <v>31</v>
      </c>
      <c r="D1311" t="s">
        <v>77</v>
      </c>
      <c r="E1311">
        <v>3</v>
      </c>
      <c r="F1311" t="s">
        <v>11</v>
      </c>
      <c r="G1311" t="s">
        <v>59</v>
      </c>
      <c r="H1311" t="s">
        <v>351</v>
      </c>
      <c r="I1311" s="3" t="s">
        <v>378</v>
      </c>
      <c r="J1311" t="s">
        <v>54</v>
      </c>
      <c r="K1311" s="15">
        <v>430000</v>
      </c>
      <c r="L1311" s="5" t="str">
        <f t="shared" si="20"/>
        <v>0 - 4</v>
      </c>
    </row>
    <row r="1312" spans="3:12" hidden="1">
      <c r="C1312" t="s">
        <v>31</v>
      </c>
      <c r="D1312" t="s">
        <v>55</v>
      </c>
      <c r="E1312">
        <v>3</v>
      </c>
      <c r="F1312" t="s">
        <v>11</v>
      </c>
      <c r="G1312" t="s">
        <v>59</v>
      </c>
      <c r="H1312" t="s">
        <v>351</v>
      </c>
      <c r="I1312" s="3" t="s">
        <v>108</v>
      </c>
      <c r="J1312" t="s">
        <v>54</v>
      </c>
      <c r="K1312" s="15">
        <v>700000</v>
      </c>
      <c r="L1312" s="5" t="str">
        <f t="shared" si="20"/>
        <v>0 - 4</v>
      </c>
    </row>
    <row r="1313" spans="3:12" hidden="1">
      <c r="C1313" t="s">
        <v>31</v>
      </c>
      <c r="D1313" t="s">
        <v>77</v>
      </c>
      <c r="E1313">
        <v>3</v>
      </c>
      <c r="F1313" t="s">
        <v>11</v>
      </c>
      <c r="G1313" t="s">
        <v>59</v>
      </c>
      <c r="H1313" t="s">
        <v>351</v>
      </c>
      <c r="I1313" s="3" t="s">
        <v>220</v>
      </c>
      <c r="J1313" t="s">
        <v>66</v>
      </c>
      <c r="K1313" s="15">
        <v>760000</v>
      </c>
      <c r="L1313" s="5" t="str">
        <f t="shared" si="20"/>
        <v>0 - 4</v>
      </c>
    </row>
    <row r="1314" spans="3:12" hidden="1">
      <c r="C1314" t="s">
        <v>30</v>
      </c>
      <c r="D1314" t="s">
        <v>55</v>
      </c>
      <c r="E1314">
        <v>2</v>
      </c>
      <c r="F1314" t="s">
        <v>11</v>
      </c>
      <c r="G1314" t="s">
        <v>59</v>
      </c>
      <c r="H1314" t="s">
        <v>351</v>
      </c>
      <c r="I1314" s="3" t="s">
        <v>151</v>
      </c>
      <c r="J1314" t="s">
        <v>66</v>
      </c>
      <c r="K1314" s="15">
        <v>690000</v>
      </c>
      <c r="L1314" s="5" t="str">
        <f t="shared" si="20"/>
        <v>0 - 4</v>
      </c>
    </row>
    <row r="1315" spans="3:12" hidden="1">
      <c r="C1315" t="s">
        <v>31</v>
      </c>
      <c r="D1315" t="s">
        <v>56</v>
      </c>
      <c r="E1315">
        <v>2</v>
      </c>
      <c r="F1315" t="s">
        <v>11</v>
      </c>
      <c r="G1315" t="s">
        <v>51</v>
      </c>
      <c r="H1315" t="s">
        <v>351</v>
      </c>
      <c r="I1315" s="3" t="s">
        <v>139</v>
      </c>
      <c r="J1315" t="s">
        <v>54</v>
      </c>
      <c r="K1315" s="15">
        <v>600000</v>
      </c>
      <c r="L1315" s="5" t="str">
        <f t="shared" si="20"/>
        <v>0 - 4</v>
      </c>
    </row>
    <row r="1316" spans="3:12" hidden="1">
      <c r="C1316" t="s">
        <v>30</v>
      </c>
      <c r="D1316" t="s">
        <v>73</v>
      </c>
      <c r="E1316">
        <v>1</v>
      </c>
      <c r="F1316" t="s">
        <v>11</v>
      </c>
      <c r="G1316" t="s">
        <v>59</v>
      </c>
      <c r="H1316" t="s">
        <v>351</v>
      </c>
      <c r="I1316" s="3" t="s">
        <v>281</v>
      </c>
      <c r="J1316" t="s">
        <v>54</v>
      </c>
      <c r="K1316" s="15">
        <v>610000</v>
      </c>
      <c r="L1316" s="5" t="str">
        <f t="shared" si="20"/>
        <v>0 - 4</v>
      </c>
    </row>
    <row r="1317" spans="3:12" hidden="1">
      <c r="C1317" t="s">
        <v>31</v>
      </c>
      <c r="D1317" t="s">
        <v>56</v>
      </c>
      <c r="E1317">
        <v>1</v>
      </c>
      <c r="F1317" t="s">
        <v>11</v>
      </c>
      <c r="G1317" t="s">
        <v>51</v>
      </c>
      <c r="H1317" t="s">
        <v>351</v>
      </c>
      <c r="I1317" s="3" t="s">
        <v>85</v>
      </c>
      <c r="J1317" t="s">
        <v>66</v>
      </c>
      <c r="K1317" s="15">
        <v>650000</v>
      </c>
      <c r="L1317" s="5" t="str">
        <f t="shared" si="20"/>
        <v>0 - 4</v>
      </c>
    </row>
    <row r="1318" spans="3:12" hidden="1">
      <c r="C1318" t="s">
        <v>31</v>
      </c>
      <c r="D1318" t="s">
        <v>73</v>
      </c>
      <c r="E1318">
        <v>0</v>
      </c>
      <c r="F1318" t="s">
        <v>11</v>
      </c>
      <c r="G1318" t="s">
        <v>59</v>
      </c>
      <c r="H1318" t="s">
        <v>351</v>
      </c>
      <c r="I1318" s="3" t="s">
        <v>281</v>
      </c>
      <c r="J1318" t="s">
        <v>66</v>
      </c>
      <c r="K1318" s="15">
        <v>610000</v>
      </c>
      <c r="L1318" s="5" t="str">
        <f t="shared" si="20"/>
        <v>0 - 4</v>
      </c>
    </row>
    <row r="1319" spans="3:12" hidden="1">
      <c r="C1319" t="s">
        <v>31</v>
      </c>
      <c r="D1319" t="s">
        <v>49</v>
      </c>
      <c r="E1319">
        <v>5</v>
      </c>
      <c r="F1319" t="s">
        <v>12</v>
      </c>
      <c r="G1319" t="s">
        <v>51</v>
      </c>
      <c r="H1319" t="s">
        <v>351</v>
      </c>
      <c r="I1319" s="3" t="s">
        <v>379</v>
      </c>
      <c r="J1319" t="s">
        <v>54</v>
      </c>
      <c r="K1319" s="15">
        <v>567000</v>
      </c>
      <c r="L1319" s="5" t="str">
        <f t="shared" si="20"/>
        <v>5  - 8</v>
      </c>
    </row>
    <row r="1320" spans="3:12" hidden="1">
      <c r="C1320" t="s">
        <v>31</v>
      </c>
      <c r="D1320" t="s">
        <v>56</v>
      </c>
      <c r="E1320">
        <v>5</v>
      </c>
      <c r="F1320" t="s">
        <v>12</v>
      </c>
      <c r="G1320" t="s">
        <v>51</v>
      </c>
      <c r="H1320" t="s">
        <v>351</v>
      </c>
      <c r="I1320" s="3" t="s">
        <v>72</v>
      </c>
      <c r="J1320" t="s">
        <v>66</v>
      </c>
      <c r="K1320" s="15">
        <v>850000</v>
      </c>
      <c r="L1320" s="5" t="str">
        <f t="shared" si="20"/>
        <v>5  - 8</v>
      </c>
    </row>
    <row r="1321" spans="3:12" hidden="1">
      <c r="C1321" t="s">
        <v>31</v>
      </c>
      <c r="D1321" t="s">
        <v>73</v>
      </c>
      <c r="E1321">
        <v>2</v>
      </c>
      <c r="F1321" t="s">
        <v>12</v>
      </c>
      <c r="G1321" t="s">
        <v>51</v>
      </c>
      <c r="H1321" t="s">
        <v>351</v>
      </c>
      <c r="I1321" s="3" t="s">
        <v>114</v>
      </c>
      <c r="J1321" t="s">
        <v>54</v>
      </c>
      <c r="K1321" s="15">
        <v>685000</v>
      </c>
      <c r="L1321" s="5" t="str">
        <f t="shared" si="20"/>
        <v>0 - 4</v>
      </c>
    </row>
    <row r="1322" spans="3:12" hidden="1">
      <c r="C1322" t="s">
        <v>31</v>
      </c>
      <c r="D1322" t="s">
        <v>77</v>
      </c>
      <c r="E1322">
        <v>30</v>
      </c>
      <c r="F1322" t="s">
        <v>13</v>
      </c>
      <c r="G1322" t="s">
        <v>57</v>
      </c>
      <c r="H1322" t="s">
        <v>351</v>
      </c>
      <c r="I1322" s="3" t="s">
        <v>156</v>
      </c>
      <c r="J1322" t="s">
        <v>54</v>
      </c>
      <c r="K1322" s="15">
        <v>770000</v>
      </c>
      <c r="L1322" s="5" t="str">
        <f t="shared" si="20"/>
        <v>15 +</v>
      </c>
    </row>
    <row r="1323" spans="3:12" hidden="1">
      <c r="C1323" t="s">
        <v>31</v>
      </c>
      <c r="D1323" t="s">
        <v>56</v>
      </c>
      <c r="E1323">
        <v>25</v>
      </c>
      <c r="F1323" t="s">
        <v>13</v>
      </c>
      <c r="G1323" t="s">
        <v>51</v>
      </c>
      <c r="H1323" t="s">
        <v>351</v>
      </c>
      <c r="I1323" s="3" t="s">
        <v>118</v>
      </c>
      <c r="J1323" t="s">
        <v>66</v>
      </c>
      <c r="K1323" s="15">
        <v>570000</v>
      </c>
      <c r="L1323" s="5" t="str">
        <f t="shared" si="20"/>
        <v>15 +</v>
      </c>
    </row>
    <row r="1324" spans="3:12" hidden="1">
      <c r="C1324" t="s">
        <v>31</v>
      </c>
      <c r="D1324" t="s">
        <v>73</v>
      </c>
      <c r="E1324">
        <v>25</v>
      </c>
      <c r="F1324" t="s">
        <v>13</v>
      </c>
      <c r="G1324" t="s">
        <v>51</v>
      </c>
      <c r="H1324" t="s">
        <v>351</v>
      </c>
      <c r="I1324" s="3" t="s">
        <v>148</v>
      </c>
      <c r="J1324" t="s">
        <v>66</v>
      </c>
      <c r="K1324" s="15">
        <v>1050000</v>
      </c>
      <c r="L1324" s="5" t="str">
        <f t="shared" si="20"/>
        <v>15 +</v>
      </c>
    </row>
    <row r="1325" spans="3:12" hidden="1">
      <c r="C1325" t="s">
        <v>31</v>
      </c>
      <c r="D1325" t="s">
        <v>56</v>
      </c>
      <c r="E1325">
        <v>24</v>
      </c>
      <c r="F1325" t="s">
        <v>13</v>
      </c>
      <c r="G1325" t="s">
        <v>51</v>
      </c>
      <c r="H1325" t="s">
        <v>351</v>
      </c>
      <c r="I1325" s="3" t="s">
        <v>159</v>
      </c>
      <c r="J1325" t="s">
        <v>66</v>
      </c>
      <c r="K1325" s="15">
        <v>680000</v>
      </c>
      <c r="L1325" s="5" t="str">
        <f t="shared" si="20"/>
        <v>15 +</v>
      </c>
    </row>
    <row r="1326" spans="3:12" hidden="1">
      <c r="C1326" t="s">
        <v>31</v>
      </c>
      <c r="D1326" t="s">
        <v>77</v>
      </c>
      <c r="E1326">
        <v>12</v>
      </c>
      <c r="F1326" t="s">
        <v>13</v>
      </c>
      <c r="G1326" t="s">
        <v>51</v>
      </c>
      <c r="H1326" t="s">
        <v>351</v>
      </c>
      <c r="I1326" s="3" t="s">
        <v>108</v>
      </c>
      <c r="J1326" t="s">
        <v>54</v>
      </c>
      <c r="K1326" s="15">
        <v>700000</v>
      </c>
      <c r="L1326" s="5" t="str">
        <f t="shared" si="20"/>
        <v>9 - 14</v>
      </c>
    </row>
    <row r="1327" spans="3:12" hidden="1">
      <c r="C1327" t="s">
        <v>31</v>
      </c>
      <c r="D1327" t="s">
        <v>73</v>
      </c>
      <c r="E1327">
        <v>12</v>
      </c>
      <c r="F1327" t="s">
        <v>13</v>
      </c>
      <c r="G1327" t="s">
        <v>59</v>
      </c>
      <c r="H1327" t="s">
        <v>351</v>
      </c>
      <c r="I1327" s="3" t="s">
        <v>181</v>
      </c>
      <c r="J1327" t="s">
        <v>54</v>
      </c>
      <c r="K1327" s="15">
        <v>1030000</v>
      </c>
      <c r="L1327" s="5" t="str">
        <f t="shared" si="20"/>
        <v>9 - 14</v>
      </c>
    </row>
    <row r="1328" spans="3:12" hidden="1">
      <c r="C1328" t="s">
        <v>31</v>
      </c>
      <c r="D1328" t="s">
        <v>73</v>
      </c>
      <c r="E1328">
        <v>11</v>
      </c>
      <c r="F1328" t="s">
        <v>13</v>
      </c>
      <c r="G1328" t="s">
        <v>51</v>
      </c>
      <c r="H1328" t="s">
        <v>351</v>
      </c>
      <c r="I1328" s="3" t="s">
        <v>222</v>
      </c>
      <c r="J1328" t="s">
        <v>54</v>
      </c>
      <c r="K1328" s="15">
        <v>670000</v>
      </c>
      <c r="L1328" s="5" t="str">
        <f t="shared" si="20"/>
        <v>9 - 14</v>
      </c>
    </row>
    <row r="1329" spans="3:12" hidden="1">
      <c r="C1329" t="s">
        <v>30</v>
      </c>
      <c r="D1329" t="s">
        <v>73</v>
      </c>
      <c r="E1329">
        <v>10</v>
      </c>
      <c r="F1329" t="s">
        <v>13</v>
      </c>
      <c r="G1329" t="s">
        <v>59</v>
      </c>
      <c r="H1329" t="s">
        <v>351</v>
      </c>
      <c r="I1329" s="3" t="s">
        <v>380</v>
      </c>
      <c r="J1329" t="s">
        <v>54</v>
      </c>
      <c r="K1329" s="15">
        <v>773800</v>
      </c>
      <c r="L1329" s="5" t="str">
        <f t="shared" si="20"/>
        <v>9 - 14</v>
      </c>
    </row>
    <row r="1330" spans="3:12" hidden="1">
      <c r="C1330" t="s">
        <v>31</v>
      </c>
      <c r="D1330" t="s">
        <v>73</v>
      </c>
      <c r="E1330">
        <v>10</v>
      </c>
      <c r="F1330" t="s">
        <v>13</v>
      </c>
      <c r="G1330" t="s">
        <v>57</v>
      </c>
      <c r="H1330" t="s">
        <v>351</v>
      </c>
      <c r="I1330" s="3" t="s">
        <v>96</v>
      </c>
      <c r="J1330" t="s">
        <v>54</v>
      </c>
      <c r="K1330" s="15">
        <v>780000</v>
      </c>
      <c r="L1330" s="5" t="str">
        <f t="shared" si="20"/>
        <v>9 - 14</v>
      </c>
    </row>
    <row r="1331" spans="3:12" hidden="1">
      <c r="C1331" t="s">
        <v>31</v>
      </c>
      <c r="D1331" t="s">
        <v>73</v>
      </c>
      <c r="E1331">
        <v>9</v>
      </c>
      <c r="F1331" t="s">
        <v>13</v>
      </c>
      <c r="G1331" t="s">
        <v>59</v>
      </c>
      <c r="H1331" t="s">
        <v>351</v>
      </c>
      <c r="I1331" s="3" t="s">
        <v>61</v>
      </c>
      <c r="J1331" t="s">
        <v>54</v>
      </c>
      <c r="K1331" s="15">
        <v>1200000</v>
      </c>
      <c r="L1331" s="5" t="str">
        <f t="shared" si="20"/>
        <v>9 - 14</v>
      </c>
    </row>
    <row r="1332" spans="3:12" hidden="1">
      <c r="C1332" t="s">
        <v>31</v>
      </c>
      <c r="D1332" t="s">
        <v>73</v>
      </c>
      <c r="E1332">
        <v>7</v>
      </c>
      <c r="F1332" t="s">
        <v>13</v>
      </c>
      <c r="G1332" t="s">
        <v>51</v>
      </c>
      <c r="H1332" t="s">
        <v>351</v>
      </c>
      <c r="I1332" s="3" t="s">
        <v>110</v>
      </c>
      <c r="J1332" t="s">
        <v>66</v>
      </c>
      <c r="K1332" s="15">
        <v>1000000</v>
      </c>
      <c r="L1332" s="5" t="str">
        <f t="shared" si="20"/>
        <v>5  - 8</v>
      </c>
    </row>
    <row r="1333" spans="3:12" hidden="1">
      <c r="C1333" t="s">
        <v>31</v>
      </c>
      <c r="D1333" t="s">
        <v>73</v>
      </c>
      <c r="E1333">
        <v>6</v>
      </c>
      <c r="F1333" t="s">
        <v>13</v>
      </c>
      <c r="G1333" t="s">
        <v>59</v>
      </c>
      <c r="H1333" t="s">
        <v>351</v>
      </c>
      <c r="I1333" s="3" t="s">
        <v>69</v>
      </c>
      <c r="J1333" t="s">
        <v>66</v>
      </c>
      <c r="K1333" s="15">
        <v>750000</v>
      </c>
      <c r="L1333" s="5" t="str">
        <f t="shared" si="20"/>
        <v>5  - 8</v>
      </c>
    </row>
    <row r="1334" spans="3:12" hidden="1">
      <c r="C1334" t="s">
        <v>31</v>
      </c>
      <c r="D1334" t="s">
        <v>80</v>
      </c>
      <c r="E1334">
        <v>4</v>
      </c>
      <c r="F1334" t="s">
        <v>13</v>
      </c>
      <c r="G1334" t="s">
        <v>51</v>
      </c>
      <c r="H1334" t="s">
        <v>351</v>
      </c>
      <c r="I1334" s="3" t="s">
        <v>139</v>
      </c>
      <c r="J1334" t="s">
        <v>54</v>
      </c>
      <c r="K1334" s="15">
        <v>600000</v>
      </c>
      <c r="L1334" s="5" t="str">
        <f t="shared" si="20"/>
        <v>0 - 4</v>
      </c>
    </row>
    <row r="1335" spans="3:12" hidden="1">
      <c r="C1335" t="s">
        <v>31</v>
      </c>
      <c r="D1335" t="s">
        <v>56</v>
      </c>
      <c r="E1335">
        <v>4</v>
      </c>
      <c r="F1335" t="s">
        <v>13</v>
      </c>
      <c r="G1335" t="s">
        <v>59</v>
      </c>
      <c r="H1335" t="s">
        <v>351</v>
      </c>
      <c r="I1335" s="3" t="s">
        <v>75</v>
      </c>
      <c r="J1335" t="s">
        <v>54</v>
      </c>
      <c r="K1335" s="15">
        <v>710000</v>
      </c>
      <c r="L1335" s="5" t="str">
        <f t="shared" si="20"/>
        <v>0 - 4</v>
      </c>
    </row>
    <row r="1336" spans="3:12" hidden="1">
      <c r="C1336" t="s">
        <v>31</v>
      </c>
      <c r="D1336" t="s">
        <v>73</v>
      </c>
      <c r="E1336">
        <v>4</v>
      </c>
      <c r="F1336" t="s">
        <v>13</v>
      </c>
      <c r="G1336" t="s">
        <v>59</v>
      </c>
      <c r="H1336" t="s">
        <v>351</v>
      </c>
      <c r="I1336" s="3" t="s">
        <v>104</v>
      </c>
      <c r="J1336" t="s">
        <v>54</v>
      </c>
      <c r="K1336" s="15">
        <v>1300000</v>
      </c>
      <c r="L1336" s="5" t="str">
        <f t="shared" si="20"/>
        <v>0 - 4</v>
      </c>
    </row>
    <row r="1337" spans="3:12" hidden="1">
      <c r="C1337" t="s">
        <v>31</v>
      </c>
      <c r="D1337" t="s">
        <v>73</v>
      </c>
      <c r="E1337">
        <v>2</v>
      </c>
      <c r="F1337" t="s">
        <v>13</v>
      </c>
      <c r="G1337" t="s">
        <v>57</v>
      </c>
      <c r="H1337" t="s">
        <v>351</v>
      </c>
      <c r="I1337" s="3" t="s">
        <v>139</v>
      </c>
      <c r="J1337" t="s">
        <v>54</v>
      </c>
      <c r="K1337" s="15">
        <v>600000</v>
      </c>
      <c r="L1337" s="5" t="str">
        <f t="shared" si="20"/>
        <v>0 - 4</v>
      </c>
    </row>
    <row r="1338" spans="3:12" hidden="1">
      <c r="C1338" t="s">
        <v>31</v>
      </c>
      <c r="D1338" t="s">
        <v>55</v>
      </c>
      <c r="E1338">
        <v>2</v>
      </c>
      <c r="F1338" t="s">
        <v>13</v>
      </c>
      <c r="G1338" t="s">
        <v>59</v>
      </c>
      <c r="H1338" t="s">
        <v>351</v>
      </c>
      <c r="I1338" s="3" t="s">
        <v>223</v>
      </c>
      <c r="J1338" t="s">
        <v>54</v>
      </c>
      <c r="K1338" s="15">
        <v>790000</v>
      </c>
      <c r="L1338" s="5" t="str">
        <f t="shared" si="20"/>
        <v>0 - 4</v>
      </c>
    </row>
    <row r="1339" spans="3:12" hidden="1">
      <c r="C1339" t="s">
        <v>30</v>
      </c>
      <c r="D1339" t="s">
        <v>56</v>
      </c>
      <c r="E1339">
        <v>1</v>
      </c>
      <c r="F1339" t="s">
        <v>13</v>
      </c>
      <c r="G1339" t="s">
        <v>51</v>
      </c>
      <c r="H1339" t="s">
        <v>351</v>
      </c>
      <c r="I1339" s="3" t="s">
        <v>213</v>
      </c>
      <c r="J1339" t="s">
        <v>54</v>
      </c>
      <c r="K1339" s="15">
        <v>620000</v>
      </c>
      <c r="L1339" s="5" t="str">
        <f t="shared" si="20"/>
        <v>0 - 4</v>
      </c>
    </row>
    <row r="1340" spans="3:12" hidden="1">
      <c r="C1340" t="s">
        <v>31</v>
      </c>
      <c r="D1340" t="s">
        <v>55</v>
      </c>
      <c r="E1340">
        <v>1</v>
      </c>
      <c r="F1340" t="s">
        <v>13</v>
      </c>
      <c r="G1340" t="s">
        <v>59</v>
      </c>
      <c r="H1340" t="s">
        <v>351</v>
      </c>
      <c r="I1340" s="3" t="s">
        <v>74</v>
      </c>
      <c r="J1340" t="s">
        <v>66</v>
      </c>
      <c r="K1340" s="15">
        <v>730000</v>
      </c>
      <c r="L1340" s="5" t="str">
        <f t="shared" si="20"/>
        <v>0 - 4</v>
      </c>
    </row>
    <row r="1341" spans="3:12" hidden="1">
      <c r="C1341" t="s">
        <v>31</v>
      </c>
      <c r="D1341" t="s">
        <v>55</v>
      </c>
      <c r="E1341">
        <v>1</v>
      </c>
      <c r="F1341" t="s">
        <v>13</v>
      </c>
      <c r="G1341" t="s">
        <v>59</v>
      </c>
      <c r="H1341" t="s">
        <v>351</v>
      </c>
      <c r="I1341" s="3" t="s">
        <v>381</v>
      </c>
      <c r="J1341" t="s">
        <v>54</v>
      </c>
      <c r="K1341" s="15">
        <v>766500</v>
      </c>
      <c r="L1341" s="5" t="str">
        <f t="shared" si="20"/>
        <v>0 - 4</v>
      </c>
    </row>
    <row r="1342" spans="3:12" hidden="1">
      <c r="C1342" t="s">
        <v>30</v>
      </c>
      <c r="D1342" t="s">
        <v>55</v>
      </c>
      <c r="E1342">
        <v>0</v>
      </c>
      <c r="F1342" t="s">
        <v>13</v>
      </c>
      <c r="G1342" t="s">
        <v>59</v>
      </c>
      <c r="H1342" t="s">
        <v>351</v>
      </c>
      <c r="I1342" s="3" t="s">
        <v>382</v>
      </c>
      <c r="J1342" t="s">
        <v>54</v>
      </c>
      <c r="K1342" s="15">
        <v>635833</v>
      </c>
      <c r="L1342" s="5" t="str">
        <f t="shared" si="20"/>
        <v>0 - 4</v>
      </c>
    </row>
    <row r="1343" spans="3:12" hidden="1">
      <c r="C1343" t="s">
        <v>31</v>
      </c>
      <c r="D1343" t="s">
        <v>55</v>
      </c>
      <c r="E1343">
        <v>10</v>
      </c>
      <c r="F1343" t="s">
        <v>17</v>
      </c>
      <c r="G1343" t="s">
        <v>51</v>
      </c>
      <c r="H1343" t="s">
        <v>351</v>
      </c>
      <c r="I1343" s="3" t="s">
        <v>116</v>
      </c>
      <c r="J1343" t="s">
        <v>54</v>
      </c>
      <c r="K1343" s="15">
        <v>800000</v>
      </c>
      <c r="L1343" s="5" t="str">
        <f t="shared" si="20"/>
        <v>9 - 14</v>
      </c>
    </row>
    <row r="1344" spans="3:12" hidden="1">
      <c r="C1344" t="s">
        <v>31</v>
      </c>
      <c r="D1344" t="s">
        <v>73</v>
      </c>
      <c r="E1344">
        <v>10</v>
      </c>
      <c r="F1344" t="s">
        <v>17</v>
      </c>
      <c r="G1344" t="s">
        <v>51</v>
      </c>
      <c r="H1344" t="s">
        <v>351</v>
      </c>
      <c r="I1344" s="3" t="s">
        <v>383</v>
      </c>
      <c r="J1344" t="s">
        <v>66</v>
      </c>
      <c r="K1344" s="15">
        <v>1178000</v>
      </c>
      <c r="L1344" s="5" t="str">
        <f t="shared" si="20"/>
        <v>9 - 14</v>
      </c>
    </row>
    <row r="1345" spans="3:12" hidden="1">
      <c r="C1345" t="s">
        <v>31</v>
      </c>
      <c r="D1345" t="s">
        <v>77</v>
      </c>
      <c r="E1345">
        <v>5</v>
      </c>
      <c r="F1345" t="s">
        <v>17</v>
      </c>
      <c r="G1345" t="s">
        <v>51</v>
      </c>
      <c r="H1345" t="s">
        <v>351</v>
      </c>
      <c r="I1345" s="3" t="s">
        <v>384</v>
      </c>
      <c r="J1345" t="s">
        <v>54</v>
      </c>
      <c r="K1345" s="15">
        <v>941000</v>
      </c>
      <c r="L1345" s="5" t="str">
        <f t="shared" si="20"/>
        <v>5  - 8</v>
      </c>
    </row>
    <row r="1346" spans="3:12" hidden="1">
      <c r="C1346" t="s">
        <v>31</v>
      </c>
      <c r="D1346" t="s">
        <v>73</v>
      </c>
      <c r="E1346">
        <v>3</v>
      </c>
      <c r="F1346" t="s">
        <v>17</v>
      </c>
      <c r="G1346" t="s">
        <v>51</v>
      </c>
      <c r="H1346" t="s">
        <v>351</v>
      </c>
      <c r="I1346" s="3" t="s">
        <v>329</v>
      </c>
      <c r="J1346" t="s">
        <v>66</v>
      </c>
      <c r="K1346" s="15">
        <v>2200000</v>
      </c>
      <c r="L1346" s="5" t="str">
        <f t="shared" si="20"/>
        <v>0 - 4</v>
      </c>
    </row>
    <row r="1347" spans="3:12" hidden="1">
      <c r="C1347" t="s">
        <v>30</v>
      </c>
      <c r="D1347" t="s">
        <v>77</v>
      </c>
      <c r="E1347">
        <v>2</v>
      </c>
      <c r="F1347" t="s">
        <v>17</v>
      </c>
      <c r="G1347" t="s">
        <v>51</v>
      </c>
      <c r="H1347" t="s">
        <v>351</v>
      </c>
      <c r="I1347" s="3" t="s">
        <v>71</v>
      </c>
      <c r="J1347" t="s">
        <v>54</v>
      </c>
      <c r="K1347" s="15">
        <v>820000</v>
      </c>
      <c r="L1347" s="5" t="str">
        <f t="shared" ref="L1347:L1410" si="21">_xlfn.XLOOKUP(E1347,$P$2:$P$5,$O$2:$O$5,,1)</f>
        <v>0 - 4</v>
      </c>
    </row>
    <row r="1348" spans="3:12" hidden="1">
      <c r="C1348" t="s">
        <v>31</v>
      </c>
      <c r="D1348" t="s">
        <v>77</v>
      </c>
      <c r="E1348">
        <v>20</v>
      </c>
      <c r="F1348" t="s">
        <v>18</v>
      </c>
      <c r="G1348" t="s">
        <v>51</v>
      </c>
      <c r="H1348" t="s">
        <v>351</v>
      </c>
      <c r="I1348" s="3" t="s">
        <v>83</v>
      </c>
      <c r="J1348" t="s">
        <v>54</v>
      </c>
      <c r="K1348" s="15">
        <v>810000</v>
      </c>
      <c r="L1348" s="5" t="str">
        <f t="shared" si="21"/>
        <v>15 +</v>
      </c>
    </row>
    <row r="1349" spans="3:12" hidden="1">
      <c r="C1349" t="s">
        <v>31</v>
      </c>
      <c r="D1349" t="s">
        <v>73</v>
      </c>
      <c r="E1349">
        <v>20</v>
      </c>
      <c r="F1349" t="s">
        <v>18</v>
      </c>
      <c r="G1349" t="s">
        <v>51</v>
      </c>
      <c r="H1349" t="s">
        <v>351</v>
      </c>
      <c r="I1349" s="3" t="s">
        <v>122</v>
      </c>
      <c r="J1349" t="s">
        <v>54</v>
      </c>
      <c r="K1349" s="15">
        <v>930000</v>
      </c>
      <c r="L1349" s="5" t="str">
        <f t="shared" si="21"/>
        <v>15 +</v>
      </c>
    </row>
    <row r="1350" spans="3:12" hidden="1">
      <c r="C1350" t="s">
        <v>31</v>
      </c>
      <c r="D1350" t="s">
        <v>56</v>
      </c>
      <c r="E1350">
        <v>19</v>
      </c>
      <c r="F1350" t="s">
        <v>18</v>
      </c>
      <c r="G1350" t="s">
        <v>51</v>
      </c>
      <c r="H1350" t="s">
        <v>351</v>
      </c>
      <c r="I1350" s="3" t="s">
        <v>385</v>
      </c>
      <c r="J1350" t="s">
        <v>54</v>
      </c>
      <c r="K1350" s="15">
        <v>819000</v>
      </c>
      <c r="L1350" s="5" t="str">
        <f t="shared" si="21"/>
        <v>15 +</v>
      </c>
    </row>
    <row r="1351" spans="3:12" hidden="1">
      <c r="C1351" t="s">
        <v>31</v>
      </c>
      <c r="D1351" t="s">
        <v>55</v>
      </c>
      <c r="E1351">
        <v>18</v>
      </c>
      <c r="F1351" t="s">
        <v>18</v>
      </c>
      <c r="G1351" t="s">
        <v>51</v>
      </c>
      <c r="H1351" t="s">
        <v>351</v>
      </c>
      <c r="I1351" s="3" t="s">
        <v>148</v>
      </c>
      <c r="J1351" t="s">
        <v>66</v>
      </c>
      <c r="K1351" s="15">
        <v>1050000</v>
      </c>
      <c r="L1351" s="5" t="str">
        <f t="shared" si="21"/>
        <v>15 +</v>
      </c>
    </row>
    <row r="1352" spans="3:12" hidden="1">
      <c r="C1352" t="s">
        <v>30</v>
      </c>
      <c r="D1352" t="s">
        <v>73</v>
      </c>
      <c r="E1352">
        <v>12</v>
      </c>
      <c r="F1352" t="s">
        <v>18</v>
      </c>
      <c r="G1352" t="s">
        <v>51</v>
      </c>
      <c r="H1352" t="s">
        <v>351</v>
      </c>
      <c r="I1352" s="3" t="s">
        <v>69</v>
      </c>
      <c r="J1352" t="s">
        <v>66</v>
      </c>
      <c r="K1352" s="15">
        <v>750000</v>
      </c>
      <c r="L1352" s="5" t="str">
        <f t="shared" si="21"/>
        <v>9 - 14</v>
      </c>
    </row>
    <row r="1353" spans="3:12" hidden="1">
      <c r="C1353" t="s">
        <v>30</v>
      </c>
      <c r="D1353" t="s">
        <v>73</v>
      </c>
      <c r="E1353">
        <v>11</v>
      </c>
      <c r="F1353" t="s">
        <v>18</v>
      </c>
      <c r="G1353" t="s">
        <v>59</v>
      </c>
      <c r="H1353" t="s">
        <v>351</v>
      </c>
      <c r="I1353" s="3" t="s">
        <v>106</v>
      </c>
      <c r="J1353" t="s">
        <v>66</v>
      </c>
      <c r="K1353" s="15">
        <v>1100000</v>
      </c>
      <c r="L1353" s="5" t="str">
        <f t="shared" si="21"/>
        <v>9 - 14</v>
      </c>
    </row>
    <row r="1354" spans="3:12" hidden="1">
      <c r="C1354" t="s">
        <v>31</v>
      </c>
      <c r="D1354" t="s">
        <v>55</v>
      </c>
      <c r="E1354">
        <v>10</v>
      </c>
      <c r="F1354" t="s">
        <v>18</v>
      </c>
      <c r="G1354" t="s">
        <v>59</v>
      </c>
      <c r="H1354" t="s">
        <v>351</v>
      </c>
      <c r="I1354" s="3" t="s">
        <v>79</v>
      </c>
      <c r="J1354" t="s">
        <v>66</v>
      </c>
      <c r="K1354" s="15">
        <v>900000</v>
      </c>
      <c r="L1354" s="5" t="str">
        <f t="shared" si="21"/>
        <v>9 - 14</v>
      </c>
    </row>
    <row r="1355" spans="3:12" hidden="1">
      <c r="C1355" t="s">
        <v>30</v>
      </c>
      <c r="D1355" t="s">
        <v>73</v>
      </c>
      <c r="E1355">
        <v>6</v>
      </c>
      <c r="F1355" t="s">
        <v>18</v>
      </c>
      <c r="G1355" t="s">
        <v>59</v>
      </c>
      <c r="H1355" t="s">
        <v>351</v>
      </c>
      <c r="I1355" s="3" t="s">
        <v>220</v>
      </c>
      <c r="J1355" t="s">
        <v>54</v>
      </c>
      <c r="K1355" s="15">
        <v>760000</v>
      </c>
      <c r="L1355" s="5" t="str">
        <f t="shared" si="21"/>
        <v>5  - 8</v>
      </c>
    </row>
    <row r="1356" spans="3:12" hidden="1">
      <c r="C1356" t="s">
        <v>31</v>
      </c>
      <c r="D1356" t="s">
        <v>73</v>
      </c>
      <c r="E1356">
        <v>6</v>
      </c>
      <c r="F1356" t="s">
        <v>18</v>
      </c>
      <c r="G1356" t="s">
        <v>59</v>
      </c>
      <c r="H1356" t="s">
        <v>351</v>
      </c>
      <c r="I1356" s="3" t="s">
        <v>74</v>
      </c>
      <c r="J1356" t="s">
        <v>66</v>
      </c>
      <c r="K1356" s="15">
        <v>730000</v>
      </c>
      <c r="L1356" s="5" t="str">
        <f t="shared" si="21"/>
        <v>5  - 8</v>
      </c>
    </row>
    <row r="1357" spans="3:12" hidden="1">
      <c r="C1357" t="s">
        <v>31</v>
      </c>
      <c r="D1357" t="s">
        <v>73</v>
      </c>
      <c r="E1357">
        <v>4</v>
      </c>
      <c r="F1357" t="s">
        <v>18</v>
      </c>
      <c r="G1357" t="s">
        <v>51</v>
      </c>
      <c r="H1357" t="s">
        <v>351</v>
      </c>
      <c r="I1357" s="3" t="s">
        <v>386</v>
      </c>
      <c r="J1357" t="s">
        <v>54</v>
      </c>
      <c r="K1357" s="15">
        <v>593000</v>
      </c>
      <c r="L1357" s="5" t="str">
        <f t="shared" si="21"/>
        <v>0 - 4</v>
      </c>
    </row>
    <row r="1358" spans="3:12" hidden="1">
      <c r="C1358" t="s">
        <v>31</v>
      </c>
      <c r="D1358" t="s">
        <v>77</v>
      </c>
      <c r="E1358">
        <v>4</v>
      </c>
      <c r="F1358" t="s">
        <v>18</v>
      </c>
      <c r="G1358" t="s">
        <v>51</v>
      </c>
      <c r="H1358" t="s">
        <v>351</v>
      </c>
      <c r="I1358" s="3" t="s">
        <v>139</v>
      </c>
      <c r="J1358" t="s">
        <v>66</v>
      </c>
      <c r="K1358" s="15">
        <v>600000</v>
      </c>
      <c r="L1358" s="5" t="str">
        <f t="shared" si="21"/>
        <v>0 - 4</v>
      </c>
    </row>
    <row r="1359" spans="3:12" hidden="1">
      <c r="C1359" t="s">
        <v>31</v>
      </c>
      <c r="D1359" t="s">
        <v>55</v>
      </c>
      <c r="E1359">
        <v>4</v>
      </c>
      <c r="F1359" t="s">
        <v>18</v>
      </c>
      <c r="G1359" t="s">
        <v>51</v>
      </c>
      <c r="H1359" t="s">
        <v>351</v>
      </c>
      <c r="I1359" s="3" t="s">
        <v>213</v>
      </c>
      <c r="J1359" t="s">
        <v>54</v>
      </c>
      <c r="K1359" s="15">
        <v>620000</v>
      </c>
      <c r="L1359" s="5" t="str">
        <f t="shared" si="21"/>
        <v>0 - 4</v>
      </c>
    </row>
    <row r="1360" spans="3:12" hidden="1">
      <c r="C1360" t="s">
        <v>31</v>
      </c>
      <c r="D1360" t="s">
        <v>73</v>
      </c>
      <c r="E1360">
        <v>4</v>
      </c>
      <c r="F1360" t="s">
        <v>18</v>
      </c>
      <c r="G1360" t="s">
        <v>51</v>
      </c>
      <c r="H1360" t="s">
        <v>351</v>
      </c>
      <c r="I1360" s="3" t="s">
        <v>108</v>
      </c>
      <c r="J1360" t="s">
        <v>54</v>
      </c>
      <c r="K1360" s="15">
        <v>700000</v>
      </c>
      <c r="L1360" s="5" t="str">
        <f t="shared" si="21"/>
        <v>0 - 4</v>
      </c>
    </row>
    <row r="1361" spans="3:12" hidden="1">
      <c r="C1361" t="s">
        <v>30</v>
      </c>
      <c r="D1361" t="s">
        <v>73</v>
      </c>
      <c r="E1361">
        <v>3</v>
      </c>
      <c r="F1361" t="s">
        <v>18</v>
      </c>
      <c r="G1361" t="s">
        <v>59</v>
      </c>
      <c r="H1361" t="s">
        <v>351</v>
      </c>
      <c r="I1361" s="3" t="s">
        <v>281</v>
      </c>
      <c r="J1361" t="s">
        <v>54</v>
      </c>
      <c r="K1361" s="15">
        <v>610000</v>
      </c>
      <c r="L1361" s="5" t="str">
        <f t="shared" si="21"/>
        <v>0 - 4</v>
      </c>
    </row>
    <row r="1362" spans="3:12" hidden="1">
      <c r="C1362" t="s">
        <v>30</v>
      </c>
      <c r="D1362" t="s">
        <v>73</v>
      </c>
      <c r="E1362">
        <v>3</v>
      </c>
      <c r="F1362" t="s">
        <v>18</v>
      </c>
      <c r="G1362" t="s">
        <v>51</v>
      </c>
      <c r="H1362" t="s">
        <v>351</v>
      </c>
      <c r="I1362" s="3" t="s">
        <v>342</v>
      </c>
      <c r="J1362" t="s">
        <v>54</v>
      </c>
      <c r="K1362" s="15">
        <v>655000</v>
      </c>
      <c r="L1362" s="5" t="str">
        <f t="shared" si="21"/>
        <v>0 - 4</v>
      </c>
    </row>
    <row r="1363" spans="3:12" hidden="1">
      <c r="C1363" t="s">
        <v>31</v>
      </c>
      <c r="D1363" t="s">
        <v>80</v>
      </c>
      <c r="E1363">
        <v>3</v>
      </c>
      <c r="F1363" t="s">
        <v>18</v>
      </c>
      <c r="G1363" t="s">
        <v>51</v>
      </c>
      <c r="H1363" t="s">
        <v>351</v>
      </c>
      <c r="I1363" s="3" t="s">
        <v>94</v>
      </c>
      <c r="J1363" t="s">
        <v>54</v>
      </c>
      <c r="K1363" s="15">
        <v>550000</v>
      </c>
      <c r="L1363" s="5" t="str">
        <f t="shared" si="21"/>
        <v>0 - 4</v>
      </c>
    </row>
    <row r="1364" spans="3:12" hidden="1">
      <c r="C1364" t="s">
        <v>31</v>
      </c>
      <c r="D1364" t="s">
        <v>73</v>
      </c>
      <c r="E1364">
        <v>3</v>
      </c>
      <c r="F1364" t="s">
        <v>18</v>
      </c>
      <c r="G1364" t="s">
        <v>59</v>
      </c>
      <c r="H1364" t="s">
        <v>351</v>
      </c>
      <c r="I1364" s="3" t="s">
        <v>139</v>
      </c>
      <c r="J1364" t="s">
        <v>54</v>
      </c>
      <c r="K1364" s="15">
        <v>600000</v>
      </c>
      <c r="L1364" s="5" t="str">
        <f t="shared" si="21"/>
        <v>0 - 4</v>
      </c>
    </row>
    <row r="1365" spans="3:12" hidden="1">
      <c r="C1365" t="s">
        <v>31</v>
      </c>
      <c r="D1365" t="s">
        <v>80</v>
      </c>
      <c r="E1365">
        <v>3</v>
      </c>
      <c r="F1365" t="s">
        <v>18</v>
      </c>
      <c r="G1365" t="s">
        <v>59</v>
      </c>
      <c r="H1365" t="s">
        <v>351</v>
      </c>
      <c r="I1365" s="3" t="s">
        <v>165</v>
      </c>
      <c r="J1365" t="s">
        <v>66</v>
      </c>
      <c r="K1365" s="15">
        <v>720000</v>
      </c>
      <c r="L1365" s="5" t="str">
        <f t="shared" si="21"/>
        <v>0 - 4</v>
      </c>
    </row>
    <row r="1366" spans="3:12" hidden="1">
      <c r="C1366" t="s">
        <v>31</v>
      </c>
      <c r="D1366" t="s">
        <v>73</v>
      </c>
      <c r="E1366">
        <v>2</v>
      </c>
      <c r="F1366" t="s">
        <v>18</v>
      </c>
      <c r="G1366" t="s">
        <v>51</v>
      </c>
      <c r="H1366" t="s">
        <v>351</v>
      </c>
      <c r="I1366" s="3" t="s">
        <v>85</v>
      </c>
      <c r="J1366" t="s">
        <v>54</v>
      </c>
      <c r="K1366" s="15">
        <v>650000</v>
      </c>
      <c r="L1366" s="5" t="str">
        <f t="shared" si="21"/>
        <v>0 - 4</v>
      </c>
    </row>
    <row r="1367" spans="3:12" hidden="1">
      <c r="C1367" t="s">
        <v>31</v>
      </c>
      <c r="D1367" t="s">
        <v>49</v>
      </c>
      <c r="E1367">
        <v>0</v>
      </c>
      <c r="F1367" t="s">
        <v>18</v>
      </c>
      <c r="G1367" t="s">
        <v>51</v>
      </c>
      <c r="H1367" t="s">
        <v>351</v>
      </c>
      <c r="I1367" s="3" t="s">
        <v>69</v>
      </c>
      <c r="J1367" t="s">
        <v>66</v>
      </c>
      <c r="K1367" s="15">
        <v>750000</v>
      </c>
      <c r="L1367" s="5" t="str">
        <f t="shared" si="21"/>
        <v>0 - 4</v>
      </c>
    </row>
    <row r="1368" spans="3:12" hidden="1">
      <c r="C1368" t="s">
        <v>31</v>
      </c>
      <c r="D1368" t="s">
        <v>73</v>
      </c>
      <c r="E1368">
        <v>23</v>
      </c>
      <c r="F1368" t="s">
        <v>14</v>
      </c>
      <c r="G1368" t="s">
        <v>59</v>
      </c>
      <c r="H1368" t="s">
        <v>351</v>
      </c>
      <c r="I1368" s="3" t="s">
        <v>235</v>
      </c>
      <c r="J1368" t="s">
        <v>66</v>
      </c>
      <c r="K1368" s="15">
        <v>1020000</v>
      </c>
      <c r="L1368" s="5" t="str">
        <f t="shared" si="21"/>
        <v>15 +</v>
      </c>
    </row>
    <row r="1369" spans="3:12" hidden="1">
      <c r="C1369" t="s">
        <v>30</v>
      </c>
      <c r="D1369" t="s">
        <v>55</v>
      </c>
      <c r="E1369">
        <v>17</v>
      </c>
      <c r="F1369" t="s">
        <v>14</v>
      </c>
      <c r="G1369" t="s">
        <v>59</v>
      </c>
      <c r="H1369" t="s">
        <v>351</v>
      </c>
      <c r="I1369" s="3" t="s">
        <v>106</v>
      </c>
      <c r="J1369" t="s">
        <v>54</v>
      </c>
      <c r="K1369" s="15">
        <v>1100000</v>
      </c>
      <c r="L1369" s="5" t="str">
        <f t="shared" si="21"/>
        <v>15 +</v>
      </c>
    </row>
    <row r="1370" spans="3:12" hidden="1">
      <c r="C1370" t="s">
        <v>31</v>
      </c>
      <c r="D1370" t="s">
        <v>73</v>
      </c>
      <c r="E1370">
        <v>17</v>
      </c>
      <c r="F1370" t="s">
        <v>14</v>
      </c>
      <c r="G1370" t="s">
        <v>51</v>
      </c>
      <c r="H1370" t="s">
        <v>351</v>
      </c>
      <c r="I1370" s="3" t="s">
        <v>387</v>
      </c>
      <c r="J1370" t="s">
        <v>54</v>
      </c>
      <c r="K1370" s="15">
        <v>1152500</v>
      </c>
      <c r="L1370" s="5" t="str">
        <f t="shared" si="21"/>
        <v>15 +</v>
      </c>
    </row>
    <row r="1371" spans="3:12" hidden="1">
      <c r="C1371" t="s">
        <v>31</v>
      </c>
      <c r="D1371" t="s">
        <v>55</v>
      </c>
      <c r="E1371">
        <v>12</v>
      </c>
      <c r="F1371" t="s">
        <v>14</v>
      </c>
      <c r="G1371" t="s">
        <v>59</v>
      </c>
      <c r="H1371" t="s">
        <v>351</v>
      </c>
      <c r="I1371" s="3" t="s">
        <v>388</v>
      </c>
      <c r="J1371" t="s">
        <v>54</v>
      </c>
      <c r="K1371" s="15">
        <v>1320000</v>
      </c>
      <c r="L1371" s="5" t="str">
        <f t="shared" si="21"/>
        <v>9 - 14</v>
      </c>
    </row>
    <row r="1372" spans="3:12" hidden="1">
      <c r="C1372" t="s">
        <v>30</v>
      </c>
      <c r="D1372" t="s">
        <v>73</v>
      </c>
      <c r="E1372">
        <v>10</v>
      </c>
      <c r="F1372" t="s">
        <v>14</v>
      </c>
      <c r="G1372" t="s">
        <v>51</v>
      </c>
      <c r="H1372" t="s">
        <v>351</v>
      </c>
      <c r="I1372" s="3" t="s">
        <v>298</v>
      </c>
      <c r="J1372" t="s">
        <v>66</v>
      </c>
      <c r="K1372" s="15">
        <v>975000</v>
      </c>
      <c r="L1372" s="5" t="str">
        <f t="shared" si="21"/>
        <v>9 - 14</v>
      </c>
    </row>
    <row r="1373" spans="3:12" hidden="1">
      <c r="C1373" t="s">
        <v>31</v>
      </c>
      <c r="D1373" t="s">
        <v>55</v>
      </c>
      <c r="E1373">
        <v>9</v>
      </c>
      <c r="F1373" t="s">
        <v>14</v>
      </c>
      <c r="G1373" t="s">
        <v>51</v>
      </c>
      <c r="H1373" t="s">
        <v>351</v>
      </c>
      <c r="I1373" s="3" t="s">
        <v>110</v>
      </c>
      <c r="J1373" t="s">
        <v>54</v>
      </c>
      <c r="K1373" s="15">
        <v>1000000</v>
      </c>
      <c r="L1373" s="5" t="str">
        <f t="shared" si="21"/>
        <v>9 - 14</v>
      </c>
    </row>
    <row r="1374" spans="3:12" hidden="1">
      <c r="C1374" t="s">
        <v>31</v>
      </c>
      <c r="D1374" t="s">
        <v>63</v>
      </c>
      <c r="E1374">
        <v>9</v>
      </c>
      <c r="F1374" t="s">
        <v>14</v>
      </c>
      <c r="G1374" t="s">
        <v>51</v>
      </c>
      <c r="H1374" t="s">
        <v>351</v>
      </c>
      <c r="I1374" s="3" t="s">
        <v>61</v>
      </c>
      <c r="J1374" t="s">
        <v>54</v>
      </c>
      <c r="K1374" s="15">
        <v>1200000</v>
      </c>
      <c r="L1374" s="5" t="str">
        <f t="shared" si="21"/>
        <v>9 - 14</v>
      </c>
    </row>
    <row r="1375" spans="3:12" hidden="1">
      <c r="C1375" t="s">
        <v>31</v>
      </c>
      <c r="D1375" t="s">
        <v>49</v>
      </c>
      <c r="E1375">
        <v>7</v>
      </c>
      <c r="F1375" t="s">
        <v>14</v>
      </c>
      <c r="G1375" t="s">
        <v>51</v>
      </c>
      <c r="H1375" t="s">
        <v>351</v>
      </c>
      <c r="I1375" s="3" t="s">
        <v>151</v>
      </c>
      <c r="J1375" t="s">
        <v>54</v>
      </c>
      <c r="K1375" s="15">
        <v>690000</v>
      </c>
      <c r="L1375" s="5" t="str">
        <f t="shared" si="21"/>
        <v>5  - 8</v>
      </c>
    </row>
    <row r="1376" spans="3:12" hidden="1">
      <c r="C1376" t="s">
        <v>31</v>
      </c>
      <c r="D1376" t="s">
        <v>73</v>
      </c>
      <c r="E1376">
        <v>7</v>
      </c>
      <c r="F1376" t="s">
        <v>14</v>
      </c>
      <c r="G1376" t="s">
        <v>51</v>
      </c>
      <c r="H1376" t="s">
        <v>351</v>
      </c>
      <c r="I1376" s="3" t="s">
        <v>135</v>
      </c>
      <c r="J1376" t="s">
        <v>54</v>
      </c>
      <c r="K1376" s="15">
        <v>840000</v>
      </c>
      <c r="L1376" s="5" t="str">
        <f t="shared" si="21"/>
        <v>5  - 8</v>
      </c>
    </row>
    <row r="1377" spans="3:12" hidden="1">
      <c r="C1377" t="s">
        <v>31</v>
      </c>
      <c r="D1377" t="s">
        <v>55</v>
      </c>
      <c r="E1377">
        <v>7</v>
      </c>
      <c r="F1377" t="s">
        <v>14</v>
      </c>
      <c r="G1377" t="s">
        <v>59</v>
      </c>
      <c r="H1377" t="s">
        <v>351</v>
      </c>
      <c r="I1377" s="3" t="s">
        <v>389</v>
      </c>
      <c r="J1377" t="s">
        <v>54</v>
      </c>
      <c r="K1377" s="15">
        <v>1029000</v>
      </c>
      <c r="L1377" s="5" t="str">
        <f t="shared" si="21"/>
        <v>5  - 8</v>
      </c>
    </row>
    <row r="1378" spans="3:12" hidden="1">
      <c r="C1378" t="s">
        <v>30</v>
      </c>
      <c r="D1378" t="s">
        <v>67</v>
      </c>
      <c r="E1378">
        <v>6</v>
      </c>
      <c r="F1378" t="s">
        <v>14</v>
      </c>
      <c r="G1378" t="s">
        <v>51</v>
      </c>
      <c r="H1378" t="s">
        <v>351</v>
      </c>
      <c r="I1378" s="3" t="s">
        <v>390</v>
      </c>
      <c r="J1378" t="s">
        <v>54</v>
      </c>
      <c r="K1378" s="15">
        <v>729000</v>
      </c>
      <c r="L1378" s="5" t="str">
        <f t="shared" si="21"/>
        <v>5  - 8</v>
      </c>
    </row>
    <row r="1379" spans="3:12" hidden="1">
      <c r="C1379" t="s">
        <v>31</v>
      </c>
      <c r="D1379" t="s">
        <v>73</v>
      </c>
      <c r="E1379">
        <v>6</v>
      </c>
      <c r="F1379" t="s">
        <v>14</v>
      </c>
      <c r="G1379" t="s">
        <v>51</v>
      </c>
      <c r="H1379" t="s">
        <v>351</v>
      </c>
      <c r="I1379" s="3" t="s">
        <v>69</v>
      </c>
      <c r="J1379" t="s">
        <v>66</v>
      </c>
      <c r="K1379" s="15">
        <v>750000</v>
      </c>
      <c r="L1379" s="5" t="str">
        <f t="shared" si="21"/>
        <v>5  - 8</v>
      </c>
    </row>
    <row r="1380" spans="3:12" hidden="1">
      <c r="C1380" t="s">
        <v>30</v>
      </c>
      <c r="D1380" t="s">
        <v>55</v>
      </c>
      <c r="E1380">
        <v>5</v>
      </c>
      <c r="F1380" t="s">
        <v>14</v>
      </c>
      <c r="G1380" t="s">
        <v>51</v>
      </c>
      <c r="H1380" t="s">
        <v>351</v>
      </c>
      <c r="I1380" s="3" t="s">
        <v>69</v>
      </c>
      <c r="J1380" t="s">
        <v>54</v>
      </c>
      <c r="K1380" s="15">
        <v>750000</v>
      </c>
      <c r="L1380" s="5" t="str">
        <f t="shared" si="21"/>
        <v>5  - 8</v>
      </c>
    </row>
    <row r="1381" spans="3:12" hidden="1">
      <c r="C1381" t="s">
        <v>30</v>
      </c>
      <c r="D1381" t="s">
        <v>73</v>
      </c>
      <c r="E1381">
        <v>5</v>
      </c>
      <c r="F1381" t="s">
        <v>14</v>
      </c>
      <c r="G1381" t="s">
        <v>51</v>
      </c>
      <c r="H1381" t="s">
        <v>351</v>
      </c>
      <c r="I1381" s="3" t="s">
        <v>220</v>
      </c>
      <c r="J1381" t="s">
        <v>66</v>
      </c>
      <c r="K1381" s="15">
        <v>760000</v>
      </c>
      <c r="L1381" s="5" t="str">
        <f t="shared" si="21"/>
        <v>5  - 8</v>
      </c>
    </row>
    <row r="1382" spans="3:12" hidden="1">
      <c r="C1382" t="s">
        <v>31</v>
      </c>
      <c r="D1382" t="s">
        <v>73</v>
      </c>
      <c r="E1382">
        <v>5</v>
      </c>
      <c r="F1382" t="s">
        <v>14</v>
      </c>
      <c r="G1382" t="s">
        <v>51</v>
      </c>
      <c r="H1382" t="s">
        <v>351</v>
      </c>
      <c r="I1382" s="3" t="s">
        <v>391</v>
      </c>
      <c r="J1382" t="s">
        <v>66</v>
      </c>
      <c r="K1382" s="15">
        <v>1034000</v>
      </c>
      <c r="L1382" s="5" t="str">
        <f t="shared" si="21"/>
        <v>5  - 8</v>
      </c>
    </row>
    <row r="1383" spans="3:12" hidden="1">
      <c r="C1383" t="s">
        <v>30</v>
      </c>
      <c r="D1383" t="s">
        <v>55</v>
      </c>
      <c r="E1383">
        <v>4</v>
      </c>
      <c r="F1383" t="s">
        <v>14</v>
      </c>
      <c r="G1383" t="s">
        <v>59</v>
      </c>
      <c r="H1383" t="s">
        <v>351</v>
      </c>
      <c r="I1383" s="3" t="s">
        <v>392</v>
      </c>
      <c r="J1383" t="s">
        <v>54</v>
      </c>
      <c r="K1383" s="15">
        <v>798000</v>
      </c>
      <c r="L1383" s="5" t="str">
        <f t="shared" si="21"/>
        <v>0 - 4</v>
      </c>
    </row>
    <row r="1384" spans="3:12" hidden="1">
      <c r="C1384" t="s">
        <v>31</v>
      </c>
      <c r="D1384" t="s">
        <v>73</v>
      </c>
      <c r="E1384">
        <v>4</v>
      </c>
      <c r="F1384" t="s">
        <v>14</v>
      </c>
      <c r="G1384" t="s">
        <v>51</v>
      </c>
      <c r="H1384" t="s">
        <v>351</v>
      </c>
      <c r="I1384" s="3" t="s">
        <v>166</v>
      </c>
      <c r="J1384" t="s">
        <v>66</v>
      </c>
      <c r="K1384" s="15">
        <v>890000</v>
      </c>
      <c r="L1384" s="5" t="str">
        <f t="shared" si="21"/>
        <v>0 - 4</v>
      </c>
    </row>
    <row r="1385" spans="3:12" hidden="1">
      <c r="C1385" t="s">
        <v>31</v>
      </c>
      <c r="D1385" t="s">
        <v>55</v>
      </c>
      <c r="E1385">
        <v>4</v>
      </c>
      <c r="F1385" t="s">
        <v>14</v>
      </c>
      <c r="G1385" t="s">
        <v>51</v>
      </c>
      <c r="H1385" t="s">
        <v>351</v>
      </c>
      <c r="I1385" s="3" t="s">
        <v>166</v>
      </c>
      <c r="J1385" t="s">
        <v>66</v>
      </c>
      <c r="K1385" s="15">
        <v>890000</v>
      </c>
      <c r="L1385" s="5" t="str">
        <f t="shared" si="21"/>
        <v>0 - 4</v>
      </c>
    </row>
    <row r="1386" spans="3:12" hidden="1">
      <c r="C1386" t="s">
        <v>31</v>
      </c>
      <c r="D1386" t="s">
        <v>49</v>
      </c>
      <c r="E1386">
        <v>4</v>
      </c>
      <c r="F1386" t="s">
        <v>14</v>
      </c>
      <c r="G1386" t="s">
        <v>59</v>
      </c>
      <c r="H1386" t="s">
        <v>351</v>
      </c>
      <c r="I1386" s="3" t="s">
        <v>130</v>
      </c>
      <c r="J1386" t="s">
        <v>66</v>
      </c>
      <c r="K1386" s="15">
        <v>950000</v>
      </c>
      <c r="L1386" s="5" t="str">
        <f t="shared" si="21"/>
        <v>0 - 4</v>
      </c>
    </row>
    <row r="1387" spans="3:12" hidden="1">
      <c r="C1387" t="s">
        <v>30</v>
      </c>
      <c r="D1387" t="s">
        <v>73</v>
      </c>
      <c r="E1387">
        <v>3</v>
      </c>
      <c r="F1387" t="s">
        <v>14</v>
      </c>
      <c r="G1387" t="s">
        <v>51</v>
      </c>
      <c r="H1387" t="s">
        <v>351</v>
      </c>
      <c r="I1387" s="3" t="s">
        <v>139</v>
      </c>
      <c r="J1387" t="s">
        <v>54</v>
      </c>
      <c r="K1387" s="15">
        <v>600000</v>
      </c>
      <c r="L1387" s="5" t="str">
        <f t="shared" si="21"/>
        <v>0 - 4</v>
      </c>
    </row>
    <row r="1388" spans="3:12" hidden="1">
      <c r="C1388" t="s">
        <v>30</v>
      </c>
      <c r="D1388" t="s">
        <v>73</v>
      </c>
      <c r="E1388">
        <v>3</v>
      </c>
      <c r="F1388" t="s">
        <v>14</v>
      </c>
      <c r="G1388" t="s">
        <v>51</v>
      </c>
      <c r="H1388" t="s">
        <v>351</v>
      </c>
      <c r="I1388" s="3" t="s">
        <v>159</v>
      </c>
      <c r="J1388" t="s">
        <v>54</v>
      </c>
      <c r="K1388" s="15">
        <v>680000</v>
      </c>
      <c r="L1388" s="5" t="str">
        <f t="shared" si="21"/>
        <v>0 - 4</v>
      </c>
    </row>
    <row r="1389" spans="3:12" hidden="1">
      <c r="C1389" t="s">
        <v>30</v>
      </c>
      <c r="D1389" t="s">
        <v>56</v>
      </c>
      <c r="E1389">
        <v>3</v>
      </c>
      <c r="F1389" t="s">
        <v>14</v>
      </c>
      <c r="G1389" t="s">
        <v>51</v>
      </c>
      <c r="H1389" t="s">
        <v>351</v>
      </c>
      <c r="I1389" s="3" t="s">
        <v>74</v>
      </c>
      <c r="J1389" t="s">
        <v>54</v>
      </c>
      <c r="K1389" s="15">
        <v>730000</v>
      </c>
      <c r="L1389" s="5" t="str">
        <f t="shared" si="21"/>
        <v>0 - 4</v>
      </c>
    </row>
    <row r="1390" spans="3:12" hidden="1">
      <c r="C1390" t="s">
        <v>30</v>
      </c>
      <c r="D1390" t="s">
        <v>73</v>
      </c>
      <c r="E1390">
        <v>3</v>
      </c>
      <c r="F1390" t="s">
        <v>14</v>
      </c>
      <c r="G1390" t="s">
        <v>51</v>
      </c>
      <c r="H1390" t="s">
        <v>351</v>
      </c>
      <c r="I1390" s="3" t="s">
        <v>223</v>
      </c>
      <c r="J1390" t="s">
        <v>54</v>
      </c>
      <c r="K1390" s="15">
        <v>790000</v>
      </c>
      <c r="L1390" s="5" t="str">
        <f t="shared" si="21"/>
        <v>0 - 4</v>
      </c>
    </row>
    <row r="1391" spans="3:12" hidden="1">
      <c r="C1391" t="s">
        <v>31</v>
      </c>
      <c r="D1391" t="s">
        <v>73</v>
      </c>
      <c r="E1391">
        <v>3</v>
      </c>
      <c r="F1391" t="s">
        <v>14</v>
      </c>
      <c r="G1391" t="s">
        <v>59</v>
      </c>
      <c r="H1391" t="s">
        <v>351</v>
      </c>
      <c r="I1391" s="3" t="s">
        <v>123</v>
      </c>
      <c r="J1391" t="s">
        <v>54</v>
      </c>
      <c r="K1391" s="15">
        <v>580000</v>
      </c>
      <c r="L1391" s="5" t="str">
        <f t="shared" si="21"/>
        <v>0 - 4</v>
      </c>
    </row>
    <row r="1392" spans="3:12" hidden="1">
      <c r="C1392" t="s">
        <v>31</v>
      </c>
      <c r="D1392" t="s">
        <v>56</v>
      </c>
      <c r="E1392">
        <v>3</v>
      </c>
      <c r="F1392" t="s">
        <v>14</v>
      </c>
      <c r="G1392" t="s">
        <v>51</v>
      </c>
      <c r="H1392" t="s">
        <v>351</v>
      </c>
      <c r="I1392" s="3" t="s">
        <v>213</v>
      </c>
      <c r="J1392" t="s">
        <v>54</v>
      </c>
      <c r="K1392" s="15">
        <v>620000</v>
      </c>
      <c r="L1392" s="5" t="str">
        <f t="shared" si="21"/>
        <v>0 - 4</v>
      </c>
    </row>
    <row r="1393" spans="3:12" hidden="1">
      <c r="C1393" t="s">
        <v>31</v>
      </c>
      <c r="D1393" t="s">
        <v>55</v>
      </c>
      <c r="E1393">
        <v>3</v>
      </c>
      <c r="F1393" t="s">
        <v>14</v>
      </c>
      <c r="G1393" t="s">
        <v>59</v>
      </c>
      <c r="H1393" t="s">
        <v>351</v>
      </c>
      <c r="I1393" s="3" t="s">
        <v>393</v>
      </c>
      <c r="J1393" t="s">
        <v>54</v>
      </c>
      <c r="K1393" s="15">
        <v>692000</v>
      </c>
      <c r="L1393" s="5" t="str">
        <f t="shared" si="21"/>
        <v>0 - 4</v>
      </c>
    </row>
    <row r="1394" spans="3:12" hidden="1">
      <c r="C1394" t="s">
        <v>31</v>
      </c>
      <c r="D1394" t="s">
        <v>73</v>
      </c>
      <c r="E1394">
        <v>3</v>
      </c>
      <c r="F1394" t="s">
        <v>14</v>
      </c>
      <c r="G1394" t="s">
        <v>51</v>
      </c>
      <c r="H1394" t="s">
        <v>351</v>
      </c>
      <c r="I1394" s="3" t="s">
        <v>165</v>
      </c>
      <c r="J1394" t="s">
        <v>54</v>
      </c>
      <c r="K1394" s="15">
        <v>720000</v>
      </c>
      <c r="L1394" s="5" t="str">
        <f t="shared" si="21"/>
        <v>0 - 4</v>
      </c>
    </row>
    <row r="1395" spans="3:12" hidden="1">
      <c r="C1395" t="s">
        <v>30</v>
      </c>
      <c r="D1395" t="s">
        <v>55</v>
      </c>
      <c r="E1395">
        <v>2</v>
      </c>
      <c r="F1395" t="s">
        <v>14</v>
      </c>
      <c r="G1395" t="s">
        <v>59</v>
      </c>
      <c r="H1395" t="s">
        <v>351</v>
      </c>
      <c r="I1395" s="3" t="s">
        <v>156</v>
      </c>
      <c r="J1395" t="s">
        <v>66</v>
      </c>
      <c r="K1395" s="15">
        <v>770000</v>
      </c>
      <c r="L1395" s="5" t="str">
        <f t="shared" si="21"/>
        <v>0 - 4</v>
      </c>
    </row>
    <row r="1396" spans="3:12" hidden="1">
      <c r="C1396" t="s">
        <v>31</v>
      </c>
      <c r="D1396" t="s">
        <v>77</v>
      </c>
      <c r="E1396">
        <v>2</v>
      </c>
      <c r="F1396" t="s">
        <v>14</v>
      </c>
      <c r="G1396" t="s">
        <v>51</v>
      </c>
      <c r="H1396" t="s">
        <v>351</v>
      </c>
      <c r="I1396" s="3" t="s">
        <v>341</v>
      </c>
      <c r="J1396" t="s">
        <v>54</v>
      </c>
      <c r="K1396" s="15">
        <v>450000</v>
      </c>
      <c r="L1396" s="5" t="str">
        <f t="shared" si="21"/>
        <v>0 - 4</v>
      </c>
    </row>
    <row r="1397" spans="3:12" hidden="1">
      <c r="C1397" t="s">
        <v>31</v>
      </c>
      <c r="D1397" t="s">
        <v>73</v>
      </c>
      <c r="E1397">
        <v>2</v>
      </c>
      <c r="F1397" t="s">
        <v>14</v>
      </c>
      <c r="G1397" t="s">
        <v>51</v>
      </c>
      <c r="H1397" t="s">
        <v>351</v>
      </c>
      <c r="I1397" s="3" t="s">
        <v>266</v>
      </c>
      <c r="J1397" t="s">
        <v>66</v>
      </c>
      <c r="K1397" s="15">
        <v>675000</v>
      </c>
      <c r="L1397" s="5" t="str">
        <f t="shared" si="21"/>
        <v>0 - 4</v>
      </c>
    </row>
    <row r="1398" spans="3:12" hidden="1">
      <c r="C1398" t="s">
        <v>30</v>
      </c>
      <c r="D1398" t="s">
        <v>73</v>
      </c>
      <c r="E1398">
        <v>1</v>
      </c>
      <c r="F1398" t="s">
        <v>14</v>
      </c>
      <c r="G1398" t="s">
        <v>51</v>
      </c>
      <c r="H1398" t="s">
        <v>351</v>
      </c>
      <c r="I1398" s="3" t="s">
        <v>85</v>
      </c>
      <c r="J1398" t="s">
        <v>54</v>
      </c>
      <c r="K1398" s="15">
        <v>650000</v>
      </c>
      <c r="L1398" s="5" t="str">
        <f t="shared" si="21"/>
        <v>0 - 4</v>
      </c>
    </row>
    <row r="1399" spans="3:12" hidden="1">
      <c r="C1399" t="s">
        <v>31</v>
      </c>
      <c r="D1399" t="s">
        <v>77</v>
      </c>
      <c r="E1399">
        <v>1</v>
      </c>
      <c r="F1399" t="s">
        <v>14</v>
      </c>
      <c r="G1399" t="s">
        <v>51</v>
      </c>
      <c r="H1399" t="s">
        <v>351</v>
      </c>
      <c r="I1399" s="3" t="s">
        <v>394</v>
      </c>
      <c r="J1399" t="s">
        <v>54</v>
      </c>
      <c r="K1399" s="15">
        <v>370000</v>
      </c>
      <c r="L1399" s="5" t="str">
        <f t="shared" si="21"/>
        <v>0 - 4</v>
      </c>
    </row>
    <row r="1400" spans="3:12" hidden="1">
      <c r="C1400" t="s">
        <v>31</v>
      </c>
      <c r="D1400" t="s">
        <v>73</v>
      </c>
      <c r="E1400">
        <v>1</v>
      </c>
      <c r="F1400" t="s">
        <v>14</v>
      </c>
      <c r="G1400" t="s">
        <v>57</v>
      </c>
      <c r="H1400" t="s">
        <v>351</v>
      </c>
      <c r="I1400" s="3" t="s">
        <v>94</v>
      </c>
      <c r="J1400" t="s">
        <v>54</v>
      </c>
      <c r="K1400" s="15">
        <v>550000</v>
      </c>
      <c r="L1400" s="5" t="str">
        <f t="shared" si="21"/>
        <v>0 - 4</v>
      </c>
    </row>
    <row r="1401" spans="3:12" hidden="1">
      <c r="C1401" t="s">
        <v>31</v>
      </c>
      <c r="D1401" t="s">
        <v>55</v>
      </c>
      <c r="E1401">
        <v>1</v>
      </c>
      <c r="F1401" t="s">
        <v>14</v>
      </c>
      <c r="G1401" t="s">
        <v>59</v>
      </c>
      <c r="H1401" t="s">
        <v>351</v>
      </c>
      <c r="I1401" s="3" t="s">
        <v>85</v>
      </c>
      <c r="J1401" t="s">
        <v>54</v>
      </c>
      <c r="K1401" s="15">
        <v>650000</v>
      </c>
      <c r="L1401" s="5" t="str">
        <f t="shared" si="21"/>
        <v>0 - 4</v>
      </c>
    </row>
    <row r="1402" spans="3:12" hidden="1">
      <c r="C1402" t="s">
        <v>31</v>
      </c>
      <c r="D1402" t="s">
        <v>77</v>
      </c>
      <c r="E1402">
        <v>0</v>
      </c>
      <c r="F1402" t="s">
        <v>14</v>
      </c>
      <c r="G1402" t="s">
        <v>57</v>
      </c>
      <c r="H1402" t="s">
        <v>351</v>
      </c>
      <c r="I1402" s="3" t="s">
        <v>354</v>
      </c>
      <c r="J1402" t="s">
        <v>54</v>
      </c>
      <c r="K1402" s="15">
        <v>520000</v>
      </c>
      <c r="L1402" s="5" t="str">
        <f t="shared" si="21"/>
        <v>0 - 4</v>
      </c>
    </row>
    <row r="1403" spans="3:12" hidden="1">
      <c r="C1403" t="s">
        <v>31</v>
      </c>
      <c r="D1403" t="s">
        <v>67</v>
      </c>
      <c r="E1403">
        <v>27</v>
      </c>
      <c r="F1403" t="s">
        <v>15</v>
      </c>
      <c r="G1403" t="s">
        <v>51</v>
      </c>
      <c r="H1403" t="s">
        <v>351</v>
      </c>
      <c r="I1403" s="3" t="s">
        <v>106</v>
      </c>
      <c r="J1403" t="s">
        <v>54</v>
      </c>
      <c r="K1403" s="15">
        <v>1100000</v>
      </c>
      <c r="L1403" s="5" t="str">
        <f t="shared" si="21"/>
        <v>15 +</v>
      </c>
    </row>
    <row r="1404" spans="3:12" hidden="1">
      <c r="C1404" t="s">
        <v>31</v>
      </c>
      <c r="D1404" t="s">
        <v>73</v>
      </c>
      <c r="E1404">
        <v>19</v>
      </c>
      <c r="F1404" t="s">
        <v>15</v>
      </c>
      <c r="G1404" t="s">
        <v>127</v>
      </c>
      <c r="H1404" t="s">
        <v>351</v>
      </c>
      <c r="I1404" s="3" t="s">
        <v>97</v>
      </c>
      <c r="J1404" t="s">
        <v>66</v>
      </c>
      <c r="K1404" s="15">
        <v>1800000</v>
      </c>
      <c r="L1404" s="5" t="str">
        <f t="shared" si="21"/>
        <v>15 +</v>
      </c>
    </row>
    <row r="1405" spans="3:12" hidden="1">
      <c r="C1405" t="s">
        <v>31</v>
      </c>
      <c r="D1405" t="s">
        <v>49</v>
      </c>
      <c r="E1405">
        <v>15</v>
      </c>
      <c r="F1405" t="s">
        <v>15</v>
      </c>
      <c r="G1405" t="s">
        <v>51</v>
      </c>
      <c r="H1405" t="s">
        <v>351</v>
      </c>
      <c r="I1405" s="3" t="s">
        <v>129</v>
      </c>
      <c r="J1405" t="s">
        <v>54</v>
      </c>
      <c r="K1405" s="15">
        <v>1150000</v>
      </c>
      <c r="L1405" s="5" t="str">
        <f t="shared" si="21"/>
        <v>15 +</v>
      </c>
    </row>
    <row r="1406" spans="3:12" hidden="1">
      <c r="C1406" t="s">
        <v>31</v>
      </c>
      <c r="D1406" t="s">
        <v>55</v>
      </c>
      <c r="E1406">
        <v>14</v>
      </c>
      <c r="F1406" t="s">
        <v>15</v>
      </c>
      <c r="G1406" t="s">
        <v>51</v>
      </c>
      <c r="H1406" t="s">
        <v>351</v>
      </c>
      <c r="I1406" s="3" t="s">
        <v>130</v>
      </c>
      <c r="J1406" t="s">
        <v>54</v>
      </c>
      <c r="K1406" s="15">
        <v>950000</v>
      </c>
      <c r="L1406" s="5" t="str">
        <f t="shared" si="21"/>
        <v>9 - 14</v>
      </c>
    </row>
    <row r="1407" spans="3:12" hidden="1">
      <c r="C1407" t="s">
        <v>31</v>
      </c>
      <c r="D1407" t="s">
        <v>73</v>
      </c>
      <c r="E1407">
        <v>5</v>
      </c>
      <c r="F1407" t="s">
        <v>15</v>
      </c>
      <c r="G1407" t="s">
        <v>51</v>
      </c>
      <c r="H1407" t="s">
        <v>351</v>
      </c>
      <c r="I1407" s="3" t="s">
        <v>116</v>
      </c>
      <c r="J1407" t="s">
        <v>54</v>
      </c>
      <c r="K1407" s="15">
        <v>800000</v>
      </c>
      <c r="L1407" s="5" t="str">
        <f t="shared" si="21"/>
        <v>5  - 8</v>
      </c>
    </row>
    <row r="1408" spans="3:12" hidden="1">
      <c r="C1408" t="s">
        <v>31</v>
      </c>
      <c r="D1408" t="s">
        <v>73</v>
      </c>
      <c r="E1408">
        <v>5</v>
      </c>
      <c r="F1408" t="s">
        <v>15</v>
      </c>
      <c r="G1408" t="s">
        <v>59</v>
      </c>
      <c r="H1408" t="s">
        <v>351</v>
      </c>
      <c r="I1408" s="3" t="s">
        <v>233</v>
      </c>
      <c r="J1408" t="s">
        <v>54</v>
      </c>
      <c r="K1408" s="15">
        <v>830000</v>
      </c>
      <c r="L1408" s="5" t="str">
        <f t="shared" si="21"/>
        <v>5  - 8</v>
      </c>
    </row>
    <row r="1409" spans="3:12" hidden="1">
      <c r="C1409" t="s">
        <v>31</v>
      </c>
      <c r="D1409" t="s">
        <v>73</v>
      </c>
      <c r="E1409">
        <v>4</v>
      </c>
      <c r="F1409" t="s">
        <v>15</v>
      </c>
      <c r="G1409" t="s">
        <v>51</v>
      </c>
      <c r="H1409" t="s">
        <v>351</v>
      </c>
      <c r="I1409" s="3" t="s">
        <v>395</v>
      </c>
      <c r="J1409" t="s">
        <v>54</v>
      </c>
      <c r="K1409" s="15">
        <v>642000</v>
      </c>
      <c r="L1409" s="5" t="str">
        <f t="shared" si="21"/>
        <v>0 - 4</v>
      </c>
    </row>
    <row r="1410" spans="3:12" hidden="1">
      <c r="C1410" t="s">
        <v>31</v>
      </c>
      <c r="D1410" t="s">
        <v>73</v>
      </c>
      <c r="E1410">
        <v>4</v>
      </c>
      <c r="F1410" t="s">
        <v>15</v>
      </c>
      <c r="G1410" t="s">
        <v>59</v>
      </c>
      <c r="H1410" t="s">
        <v>351</v>
      </c>
      <c r="I1410" s="3" t="s">
        <v>167</v>
      </c>
      <c r="J1410" t="s">
        <v>66</v>
      </c>
      <c r="K1410" s="15">
        <v>860000</v>
      </c>
      <c r="L1410" s="5" t="str">
        <f t="shared" si="21"/>
        <v>0 - 4</v>
      </c>
    </row>
    <row r="1411" spans="3:12" hidden="1">
      <c r="C1411" t="s">
        <v>31</v>
      </c>
      <c r="D1411" t="s">
        <v>77</v>
      </c>
      <c r="E1411">
        <v>3</v>
      </c>
      <c r="F1411" t="s">
        <v>15</v>
      </c>
      <c r="G1411" t="s">
        <v>51</v>
      </c>
      <c r="H1411" t="s">
        <v>351</v>
      </c>
      <c r="I1411" s="3" t="s">
        <v>93</v>
      </c>
      <c r="J1411" t="s">
        <v>54</v>
      </c>
      <c r="K1411" s="15">
        <v>460000</v>
      </c>
      <c r="L1411" s="5" t="str">
        <f t="shared" ref="L1411:L1474" si="22">_xlfn.XLOOKUP(E1411,$P$2:$P$5,$O$2:$O$5,,1)</f>
        <v>0 - 4</v>
      </c>
    </row>
    <row r="1412" spans="3:12" hidden="1">
      <c r="C1412" t="s">
        <v>31</v>
      </c>
      <c r="D1412" t="s">
        <v>56</v>
      </c>
      <c r="E1412">
        <v>3</v>
      </c>
      <c r="F1412" t="s">
        <v>15</v>
      </c>
      <c r="G1412" t="s">
        <v>51</v>
      </c>
      <c r="H1412" t="s">
        <v>351</v>
      </c>
      <c r="I1412" s="3" t="s">
        <v>279</v>
      </c>
      <c r="J1412" t="s">
        <v>54</v>
      </c>
      <c r="K1412" s="15">
        <v>575000</v>
      </c>
      <c r="L1412" s="5" t="str">
        <f t="shared" si="22"/>
        <v>0 - 4</v>
      </c>
    </row>
    <row r="1413" spans="3:12" hidden="1">
      <c r="C1413" t="s">
        <v>31</v>
      </c>
      <c r="D1413" t="s">
        <v>73</v>
      </c>
      <c r="E1413">
        <v>3</v>
      </c>
      <c r="F1413" t="s">
        <v>15</v>
      </c>
      <c r="G1413" t="s">
        <v>51</v>
      </c>
      <c r="H1413" t="s">
        <v>351</v>
      </c>
      <c r="I1413" s="3" t="s">
        <v>151</v>
      </c>
      <c r="J1413" t="s">
        <v>54</v>
      </c>
      <c r="K1413" s="15">
        <v>690000</v>
      </c>
      <c r="L1413" s="5" t="str">
        <f t="shared" si="22"/>
        <v>0 - 4</v>
      </c>
    </row>
    <row r="1414" spans="3:12" hidden="1">
      <c r="C1414" t="s">
        <v>31</v>
      </c>
      <c r="D1414" t="s">
        <v>49</v>
      </c>
      <c r="E1414">
        <v>2</v>
      </c>
      <c r="F1414" t="s">
        <v>15</v>
      </c>
      <c r="G1414" t="s">
        <v>51</v>
      </c>
      <c r="H1414" t="s">
        <v>351</v>
      </c>
      <c r="I1414" s="3" t="s">
        <v>226</v>
      </c>
      <c r="J1414" t="s">
        <v>54</v>
      </c>
      <c r="K1414" s="15">
        <v>585000</v>
      </c>
      <c r="L1414" s="5" t="str">
        <f t="shared" si="22"/>
        <v>0 - 4</v>
      </c>
    </row>
    <row r="1415" spans="3:12" hidden="1">
      <c r="C1415" t="s">
        <v>31</v>
      </c>
      <c r="D1415" t="s">
        <v>56</v>
      </c>
      <c r="E1415">
        <v>2</v>
      </c>
      <c r="F1415" t="s">
        <v>15</v>
      </c>
      <c r="G1415" t="s">
        <v>51</v>
      </c>
      <c r="H1415" t="s">
        <v>351</v>
      </c>
      <c r="I1415" s="3" t="s">
        <v>266</v>
      </c>
      <c r="J1415" t="s">
        <v>66</v>
      </c>
      <c r="K1415" s="15">
        <v>675000</v>
      </c>
      <c r="L1415" s="5" t="str">
        <f t="shared" si="22"/>
        <v>0 - 4</v>
      </c>
    </row>
    <row r="1416" spans="3:12" hidden="1">
      <c r="C1416" t="s">
        <v>30</v>
      </c>
      <c r="D1416" t="s">
        <v>56</v>
      </c>
      <c r="E1416">
        <v>1</v>
      </c>
      <c r="F1416" t="s">
        <v>15</v>
      </c>
      <c r="G1416" t="s">
        <v>51</v>
      </c>
      <c r="H1416" t="s">
        <v>351</v>
      </c>
      <c r="I1416" s="3" t="s">
        <v>94</v>
      </c>
      <c r="J1416" t="s">
        <v>66</v>
      </c>
      <c r="K1416" s="15">
        <v>550000</v>
      </c>
      <c r="L1416" s="5" t="str">
        <f t="shared" si="22"/>
        <v>0 - 4</v>
      </c>
    </row>
    <row r="1417" spans="3:12" hidden="1">
      <c r="C1417" t="s">
        <v>31</v>
      </c>
      <c r="D1417" t="s">
        <v>55</v>
      </c>
      <c r="E1417">
        <v>1</v>
      </c>
      <c r="F1417" t="s">
        <v>15</v>
      </c>
      <c r="G1417" t="s">
        <v>51</v>
      </c>
      <c r="H1417" t="s">
        <v>351</v>
      </c>
      <c r="I1417" s="3" t="s">
        <v>69</v>
      </c>
      <c r="J1417" t="s">
        <v>66</v>
      </c>
      <c r="K1417" s="15">
        <v>750000</v>
      </c>
      <c r="L1417" s="5" t="str">
        <f t="shared" si="22"/>
        <v>0 - 4</v>
      </c>
    </row>
    <row r="1418" spans="3:12" hidden="1">
      <c r="C1418" t="s">
        <v>30</v>
      </c>
      <c r="D1418" t="s">
        <v>73</v>
      </c>
      <c r="E1418">
        <v>0</v>
      </c>
      <c r="F1418" t="s">
        <v>15</v>
      </c>
      <c r="G1418" t="s">
        <v>59</v>
      </c>
      <c r="H1418" t="s">
        <v>351</v>
      </c>
      <c r="I1418" s="3" t="s">
        <v>226</v>
      </c>
      <c r="J1418" t="s">
        <v>54</v>
      </c>
      <c r="K1418" s="15">
        <v>585000</v>
      </c>
      <c r="L1418" s="5" t="str">
        <f t="shared" si="22"/>
        <v>0 - 4</v>
      </c>
    </row>
    <row r="1419" spans="3:12" hidden="1">
      <c r="C1419" t="s">
        <v>31</v>
      </c>
      <c r="D1419" t="s">
        <v>73</v>
      </c>
      <c r="E1419">
        <v>0</v>
      </c>
      <c r="F1419" t="s">
        <v>15</v>
      </c>
      <c r="G1419" t="s">
        <v>57</v>
      </c>
      <c r="H1419" t="s">
        <v>351</v>
      </c>
      <c r="I1419" s="3" t="s">
        <v>396</v>
      </c>
      <c r="J1419" t="s">
        <v>54</v>
      </c>
      <c r="K1419" s="15">
        <v>548600</v>
      </c>
      <c r="L1419" s="5" t="str">
        <f t="shared" si="22"/>
        <v>0 - 4</v>
      </c>
    </row>
    <row r="1420" spans="3:12" hidden="1">
      <c r="C1420" t="s">
        <v>31</v>
      </c>
      <c r="D1420" t="s">
        <v>49</v>
      </c>
      <c r="E1420">
        <v>32</v>
      </c>
      <c r="F1420" t="s">
        <v>8</v>
      </c>
      <c r="G1420" t="s">
        <v>51</v>
      </c>
      <c r="H1420" t="s">
        <v>397</v>
      </c>
      <c r="I1420" s="3" t="s">
        <v>233</v>
      </c>
      <c r="J1420" t="s">
        <v>54</v>
      </c>
      <c r="K1420" s="15">
        <v>830000</v>
      </c>
      <c r="L1420" s="5" t="str">
        <f t="shared" si="22"/>
        <v>15 +</v>
      </c>
    </row>
    <row r="1421" spans="3:12" hidden="1">
      <c r="C1421" t="s">
        <v>31</v>
      </c>
      <c r="D1421" t="s">
        <v>56</v>
      </c>
      <c r="E1421">
        <v>25</v>
      </c>
      <c r="F1421" t="s">
        <v>8</v>
      </c>
      <c r="G1421" t="s">
        <v>51</v>
      </c>
      <c r="H1421" t="s">
        <v>397</v>
      </c>
      <c r="I1421" s="3" t="s">
        <v>71</v>
      </c>
      <c r="J1421" t="s">
        <v>54</v>
      </c>
      <c r="K1421" s="15">
        <v>820000</v>
      </c>
      <c r="L1421" s="5" t="str">
        <f t="shared" si="22"/>
        <v>15 +</v>
      </c>
    </row>
    <row r="1422" spans="3:12" hidden="1">
      <c r="C1422" t="s">
        <v>31</v>
      </c>
      <c r="D1422" t="s">
        <v>55</v>
      </c>
      <c r="E1422">
        <v>20</v>
      </c>
      <c r="F1422" t="s">
        <v>8</v>
      </c>
      <c r="G1422" t="s">
        <v>59</v>
      </c>
      <c r="H1422" t="s">
        <v>397</v>
      </c>
      <c r="I1422" s="3" t="s">
        <v>110</v>
      </c>
      <c r="J1422" t="s">
        <v>54</v>
      </c>
      <c r="K1422" s="15">
        <v>1000000</v>
      </c>
      <c r="L1422" s="5" t="str">
        <f t="shared" si="22"/>
        <v>15 +</v>
      </c>
    </row>
    <row r="1423" spans="3:12" hidden="1">
      <c r="C1423" t="s">
        <v>31</v>
      </c>
      <c r="D1423" t="s">
        <v>73</v>
      </c>
      <c r="E1423">
        <v>15</v>
      </c>
      <c r="F1423" t="s">
        <v>8</v>
      </c>
      <c r="G1423" t="s">
        <v>59</v>
      </c>
      <c r="H1423" t="s">
        <v>397</v>
      </c>
      <c r="I1423" s="3" t="s">
        <v>61</v>
      </c>
      <c r="J1423" t="s">
        <v>54</v>
      </c>
      <c r="K1423" s="15">
        <v>1200000</v>
      </c>
      <c r="L1423" s="5" t="str">
        <f t="shared" si="22"/>
        <v>15 +</v>
      </c>
    </row>
    <row r="1424" spans="3:12" hidden="1">
      <c r="C1424" t="s">
        <v>31</v>
      </c>
      <c r="D1424" t="s">
        <v>55</v>
      </c>
      <c r="E1424">
        <v>14</v>
      </c>
      <c r="F1424" t="s">
        <v>8</v>
      </c>
      <c r="G1424" t="s">
        <v>59</v>
      </c>
      <c r="H1424" t="s">
        <v>397</v>
      </c>
      <c r="I1424" s="3" t="s">
        <v>189</v>
      </c>
      <c r="J1424" t="s">
        <v>66</v>
      </c>
      <c r="K1424" s="15">
        <v>955000</v>
      </c>
      <c r="L1424" s="5" t="str">
        <f t="shared" si="22"/>
        <v>9 - 14</v>
      </c>
    </row>
    <row r="1425" spans="3:12" hidden="1">
      <c r="C1425" t="s">
        <v>31</v>
      </c>
      <c r="D1425" t="s">
        <v>67</v>
      </c>
      <c r="E1425">
        <v>13</v>
      </c>
      <c r="F1425" t="s">
        <v>8</v>
      </c>
      <c r="G1425" t="s">
        <v>59</v>
      </c>
      <c r="H1425" t="s">
        <v>397</v>
      </c>
      <c r="I1425" s="3" t="s">
        <v>148</v>
      </c>
      <c r="J1425" t="s">
        <v>54</v>
      </c>
      <c r="K1425" s="15">
        <v>1050000</v>
      </c>
      <c r="L1425" s="5" t="str">
        <f t="shared" si="22"/>
        <v>9 - 14</v>
      </c>
    </row>
    <row r="1426" spans="3:12" hidden="1">
      <c r="C1426" t="s">
        <v>31</v>
      </c>
      <c r="D1426" t="s">
        <v>77</v>
      </c>
      <c r="E1426">
        <v>12</v>
      </c>
      <c r="F1426" t="s">
        <v>8</v>
      </c>
      <c r="G1426" t="s">
        <v>51</v>
      </c>
      <c r="H1426" t="s">
        <v>397</v>
      </c>
      <c r="I1426" s="3" t="s">
        <v>72</v>
      </c>
      <c r="J1426" t="s">
        <v>54</v>
      </c>
      <c r="K1426" s="15">
        <v>850000</v>
      </c>
      <c r="L1426" s="5" t="str">
        <f t="shared" si="22"/>
        <v>9 - 14</v>
      </c>
    </row>
    <row r="1427" spans="3:12" hidden="1">
      <c r="C1427" t="s">
        <v>31</v>
      </c>
      <c r="D1427" t="s">
        <v>55</v>
      </c>
      <c r="E1427">
        <v>11</v>
      </c>
      <c r="F1427" t="s">
        <v>8</v>
      </c>
      <c r="G1427" t="s">
        <v>51</v>
      </c>
      <c r="H1427" t="s">
        <v>397</v>
      </c>
      <c r="I1427" s="3" t="s">
        <v>111</v>
      </c>
      <c r="J1427" t="s">
        <v>54</v>
      </c>
      <c r="K1427" s="15">
        <v>870000</v>
      </c>
      <c r="L1427" s="5" t="str">
        <f t="shared" si="22"/>
        <v>9 - 14</v>
      </c>
    </row>
    <row r="1428" spans="3:12" hidden="1">
      <c r="C1428" t="s">
        <v>31</v>
      </c>
      <c r="D1428" t="s">
        <v>73</v>
      </c>
      <c r="E1428">
        <v>10</v>
      </c>
      <c r="F1428" t="s">
        <v>8</v>
      </c>
      <c r="G1428" t="s">
        <v>59</v>
      </c>
      <c r="H1428" t="s">
        <v>397</v>
      </c>
      <c r="I1428" s="3" t="s">
        <v>69</v>
      </c>
      <c r="J1428" t="s">
        <v>66</v>
      </c>
      <c r="K1428" s="15">
        <v>750000</v>
      </c>
      <c r="L1428" s="5" t="str">
        <f t="shared" si="22"/>
        <v>9 - 14</v>
      </c>
    </row>
    <row r="1429" spans="3:12" hidden="1">
      <c r="C1429" t="s">
        <v>31</v>
      </c>
      <c r="D1429" t="s">
        <v>55</v>
      </c>
      <c r="E1429">
        <v>10</v>
      </c>
      <c r="F1429" t="s">
        <v>8</v>
      </c>
      <c r="G1429" t="s">
        <v>51</v>
      </c>
      <c r="H1429" t="s">
        <v>397</v>
      </c>
      <c r="I1429" s="3" t="s">
        <v>98</v>
      </c>
      <c r="J1429" t="s">
        <v>54</v>
      </c>
      <c r="K1429" s="15">
        <v>920000</v>
      </c>
      <c r="L1429" s="5" t="str">
        <f t="shared" si="22"/>
        <v>9 - 14</v>
      </c>
    </row>
    <row r="1430" spans="3:12" hidden="1">
      <c r="C1430" t="s">
        <v>31</v>
      </c>
      <c r="D1430" t="s">
        <v>73</v>
      </c>
      <c r="E1430">
        <v>8</v>
      </c>
      <c r="F1430" t="s">
        <v>8</v>
      </c>
      <c r="G1430" t="s">
        <v>59</v>
      </c>
      <c r="H1430" t="s">
        <v>397</v>
      </c>
      <c r="I1430" s="3" t="s">
        <v>122</v>
      </c>
      <c r="J1430" t="s">
        <v>66</v>
      </c>
      <c r="K1430" s="15">
        <v>930000</v>
      </c>
      <c r="L1430" s="5" t="str">
        <f t="shared" si="22"/>
        <v>5  - 8</v>
      </c>
    </row>
    <row r="1431" spans="3:12" hidden="1">
      <c r="C1431" t="s">
        <v>31</v>
      </c>
      <c r="D1431" t="s">
        <v>77</v>
      </c>
      <c r="E1431">
        <v>7</v>
      </c>
      <c r="F1431" t="s">
        <v>8</v>
      </c>
      <c r="G1431" t="s">
        <v>59</v>
      </c>
      <c r="H1431" t="s">
        <v>397</v>
      </c>
      <c r="I1431" s="3" t="s">
        <v>289</v>
      </c>
      <c r="J1431" t="s">
        <v>66</v>
      </c>
      <c r="K1431" s="15">
        <v>936000</v>
      </c>
      <c r="L1431" s="5" t="str">
        <f t="shared" si="22"/>
        <v>5  - 8</v>
      </c>
    </row>
    <row r="1432" spans="3:12" hidden="1">
      <c r="C1432" t="s">
        <v>31</v>
      </c>
      <c r="D1432" t="s">
        <v>77</v>
      </c>
      <c r="E1432">
        <v>6</v>
      </c>
      <c r="F1432" t="s">
        <v>8</v>
      </c>
      <c r="G1432" t="s">
        <v>51</v>
      </c>
      <c r="H1432" t="s">
        <v>397</v>
      </c>
      <c r="I1432" s="3" t="s">
        <v>94</v>
      </c>
      <c r="J1432" t="s">
        <v>54</v>
      </c>
      <c r="K1432" s="15">
        <v>550000</v>
      </c>
      <c r="L1432" s="5" t="str">
        <f t="shared" si="22"/>
        <v>5  - 8</v>
      </c>
    </row>
    <row r="1433" spans="3:12" hidden="1">
      <c r="C1433" t="s">
        <v>31</v>
      </c>
      <c r="D1433" t="s">
        <v>80</v>
      </c>
      <c r="E1433">
        <v>6</v>
      </c>
      <c r="F1433" t="s">
        <v>8</v>
      </c>
      <c r="G1433" t="s">
        <v>51</v>
      </c>
      <c r="H1433" t="s">
        <v>397</v>
      </c>
      <c r="I1433" s="3" t="s">
        <v>398</v>
      </c>
      <c r="J1433" t="s">
        <v>54</v>
      </c>
      <c r="K1433" s="15">
        <v>795500</v>
      </c>
      <c r="L1433" s="5" t="str">
        <f t="shared" si="22"/>
        <v>5  - 8</v>
      </c>
    </row>
    <row r="1434" spans="3:12" hidden="1">
      <c r="C1434" t="s">
        <v>31</v>
      </c>
      <c r="D1434" t="s">
        <v>77</v>
      </c>
      <c r="E1434">
        <v>5</v>
      </c>
      <c r="F1434" t="s">
        <v>8</v>
      </c>
      <c r="G1434" t="s">
        <v>51</v>
      </c>
      <c r="H1434" t="s">
        <v>397</v>
      </c>
      <c r="I1434" s="3" t="s">
        <v>399</v>
      </c>
      <c r="J1434" t="s">
        <v>54</v>
      </c>
      <c r="K1434" s="15">
        <v>557100</v>
      </c>
      <c r="L1434" s="5" t="str">
        <f t="shared" si="22"/>
        <v>5  - 8</v>
      </c>
    </row>
    <row r="1435" spans="3:12" hidden="1">
      <c r="C1435" t="s">
        <v>31</v>
      </c>
      <c r="D1435" t="s">
        <v>73</v>
      </c>
      <c r="E1435">
        <v>5</v>
      </c>
      <c r="F1435" t="s">
        <v>8</v>
      </c>
      <c r="G1435" t="s">
        <v>51</v>
      </c>
      <c r="H1435" t="s">
        <v>397</v>
      </c>
      <c r="I1435" s="3" t="s">
        <v>400</v>
      </c>
      <c r="J1435" t="s">
        <v>54</v>
      </c>
      <c r="K1435" s="15">
        <v>906000</v>
      </c>
      <c r="L1435" s="5" t="str">
        <f t="shared" si="22"/>
        <v>5  - 8</v>
      </c>
    </row>
    <row r="1436" spans="3:12" hidden="1">
      <c r="C1436" t="s">
        <v>31</v>
      </c>
      <c r="D1436" t="s">
        <v>49</v>
      </c>
      <c r="E1436">
        <v>5</v>
      </c>
      <c r="F1436" t="s">
        <v>8</v>
      </c>
      <c r="G1436" t="s">
        <v>59</v>
      </c>
      <c r="H1436" t="s">
        <v>397</v>
      </c>
      <c r="I1436" s="3" t="s">
        <v>303</v>
      </c>
      <c r="J1436" t="s">
        <v>54</v>
      </c>
      <c r="K1436" s="15">
        <v>958000</v>
      </c>
      <c r="L1436" s="5" t="str">
        <f t="shared" si="22"/>
        <v>5  - 8</v>
      </c>
    </row>
    <row r="1437" spans="3:12" hidden="1">
      <c r="C1437" t="s">
        <v>31</v>
      </c>
      <c r="D1437" t="s">
        <v>55</v>
      </c>
      <c r="E1437">
        <v>4</v>
      </c>
      <c r="F1437" t="s">
        <v>8</v>
      </c>
      <c r="G1437" t="s">
        <v>59</v>
      </c>
      <c r="H1437" t="s">
        <v>397</v>
      </c>
      <c r="I1437" s="3" t="s">
        <v>69</v>
      </c>
      <c r="J1437" t="s">
        <v>66</v>
      </c>
      <c r="K1437" s="15">
        <v>750000</v>
      </c>
      <c r="L1437" s="5" t="str">
        <f t="shared" si="22"/>
        <v>0 - 4</v>
      </c>
    </row>
    <row r="1438" spans="3:12" hidden="1">
      <c r="C1438" t="s">
        <v>31</v>
      </c>
      <c r="D1438" t="s">
        <v>55</v>
      </c>
      <c r="E1438">
        <v>4</v>
      </c>
      <c r="F1438" t="s">
        <v>8</v>
      </c>
      <c r="G1438" t="s">
        <v>59</v>
      </c>
      <c r="H1438" t="s">
        <v>397</v>
      </c>
      <c r="I1438" s="3" t="s">
        <v>116</v>
      </c>
      <c r="J1438" t="s">
        <v>66</v>
      </c>
      <c r="K1438" s="15">
        <v>800000</v>
      </c>
      <c r="L1438" s="5" t="str">
        <f t="shared" si="22"/>
        <v>0 - 4</v>
      </c>
    </row>
    <row r="1439" spans="3:12" hidden="1">
      <c r="C1439" t="s">
        <v>31</v>
      </c>
      <c r="D1439" t="s">
        <v>73</v>
      </c>
      <c r="E1439">
        <v>3</v>
      </c>
      <c r="F1439" t="s">
        <v>8</v>
      </c>
      <c r="G1439" t="s">
        <v>59</v>
      </c>
      <c r="H1439" t="s">
        <v>397</v>
      </c>
      <c r="I1439" s="3" t="s">
        <v>85</v>
      </c>
      <c r="J1439" t="s">
        <v>66</v>
      </c>
      <c r="K1439" s="15">
        <v>650000</v>
      </c>
      <c r="L1439" s="5" t="str">
        <f t="shared" si="22"/>
        <v>0 - 4</v>
      </c>
    </row>
    <row r="1440" spans="3:12" hidden="1">
      <c r="C1440" t="s">
        <v>31</v>
      </c>
      <c r="D1440" t="s">
        <v>73</v>
      </c>
      <c r="E1440">
        <v>3</v>
      </c>
      <c r="F1440" t="s">
        <v>8</v>
      </c>
      <c r="G1440" t="s">
        <v>51</v>
      </c>
      <c r="H1440" t="s">
        <v>397</v>
      </c>
      <c r="I1440" s="3" t="s">
        <v>108</v>
      </c>
      <c r="J1440" t="s">
        <v>54</v>
      </c>
      <c r="K1440" s="15">
        <v>700000</v>
      </c>
      <c r="L1440" s="5" t="str">
        <f t="shared" si="22"/>
        <v>0 - 4</v>
      </c>
    </row>
    <row r="1441" spans="3:12" hidden="1">
      <c r="C1441" t="s">
        <v>31</v>
      </c>
      <c r="D1441" t="s">
        <v>88</v>
      </c>
      <c r="E1441">
        <v>3</v>
      </c>
      <c r="F1441" t="s">
        <v>8</v>
      </c>
      <c r="G1441" t="s">
        <v>51</v>
      </c>
      <c r="H1441" t="s">
        <v>397</v>
      </c>
      <c r="I1441" s="3" t="s">
        <v>220</v>
      </c>
      <c r="J1441" t="s">
        <v>66</v>
      </c>
      <c r="K1441" s="15">
        <v>760000</v>
      </c>
      <c r="L1441" s="5" t="str">
        <f t="shared" si="22"/>
        <v>0 - 4</v>
      </c>
    </row>
    <row r="1442" spans="3:12" hidden="1">
      <c r="C1442" t="s">
        <v>31</v>
      </c>
      <c r="D1442" t="s">
        <v>73</v>
      </c>
      <c r="E1442">
        <v>3</v>
      </c>
      <c r="F1442" t="s">
        <v>8</v>
      </c>
      <c r="G1442" t="s">
        <v>51</v>
      </c>
      <c r="H1442" t="s">
        <v>397</v>
      </c>
      <c r="I1442" s="3" t="s">
        <v>96</v>
      </c>
      <c r="J1442" t="s">
        <v>66</v>
      </c>
      <c r="K1442" s="15">
        <v>780000</v>
      </c>
      <c r="L1442" s="5" t="str">
        <f t="shared" si="22"/>
        <v>0 - 4</v>
      </c>
    </row>
    <row r="1443" spans="3:12" hidden="1">
      <c r="C1443" t="s">
        <v>31</v>
      </c>
      <c r="D1443" t="s">
        <v>73</v>
      </c>
      <c r="E1443">
        <v>2</v>
      </c>
      <c r="F1443" t="s">
        <v>8</v>
      </c>
      <c r="G1443" t="s">
        <v>51</v>
      </c>
      <c r="H1443" t="s">
        <v>397</v>
      </c>
      <c r="I1443" s="3" t="s">
        <v>339</v>
      </c>
      <c r="J1443" t="s">
        <v>66</v>
      </c>
      <c r="K1443" s="15">
        <v>500000</v>
      </c>
      <c r="L1443" s="5" t="str">
        <f t="shared" si="22"/>
        <v>0 - 4</v>
      </c>
    </row>
    <row r="1444" spans="3:12" hidden="1">
      <c r="C1444" t="s">
        <v>31</v>
      </c>
      <c r="D1444" t="s">
        <v>73</v>
      </c>
      <c r="E1444">
        <v>2</v>
      </c>
      <c r="F1444" t="s">
        <v>8</v>
      </c>
      <c r="G1444" t="s">
        <v>59</v>
      </c>
      <c r="H1444" t="s">
        <v>397</v>
      </c>
      <c r="I1444" s="3" t="s">
        <v>139</v>
      </c>
      <c r="J1444" t="s">
        <v>54</v>
      </c>
      <c r="K1444" s="15">
        <v>600000</v>
      </c>
      <c r="L1444" s="5" t="str">
        <f t="shared" si="22"/>
        <v>0 - 4</v>
      </c>
    </row>
    <row r="1445" spans="3:12" hidden="1">
      <c r="C1445" t="s">
        <v>31</v>
      </c>
      <c r="D1445" t="s">
        <v>73</v>
      </c>
      <c r="E1445">
        <v>2</v>
      </c>
      <c r="F1445" t="s">
        <v>8</v>
      </c>
      <c r="G1445" t="s">
        <v>51</v>
      </c>
      <c r="H1445" t="s">
        <v>397</v>
      </c>
      <c r="I1445" s="3" t="s">
        <v>213</v>
      </c>
      <c r="J1445" t="s">
        <v>66</v>
      </c>
      <c r="K1445" s="15">
        <v>620000</v>
      </c>
      <c r="L1445" s="5" t="str">
        <f t="shared" si="22"/>
        <v>0 - 4</v>
      </c>
    </row>
    <row r="1446" spans="3:12" hidden="1">
      <c r="C1446" t="s">
        <v>31</v>
      </c>
      <c r="D1446" t="s">
        <v>73</v>
      </c>
      <c r="E1446">
        <v>2</v>
      </c>
      <c r="F1446" t="s">
        <v>8</v>
      </c>
      <c r="G1446" t="s">
        <v>59</v>
      </c>
      <c r="H1446" t="s">
        <v>397</v>
      </c>
      <c r="I1446" s="3" t="s">
        <v>119</v>
      </c>
      <c r="J1446" t="s">
        <v>54</v>
      </c>
      <c r="K1446" s="15">
        <v>630000</v>
      </c>
      <c r="L1446" s="5" t="str">
        <f t="shared" si="22"/>
        <v>0 - 4</v>
      </c>
    </row>
    <row r="1447" spans="3:12" hidden="1">
      <c r="C1447" t="s">
        <v>31</v>
      </c>
      <c r="D1447" t="s">
        <v>73</v>
      </c>
      <c r="E1447">
        <v>1</v>
      </c>
      <c r="F1447" t="s">
        <v>8</v>
      </c>
      <c r="G1447" t="s">
        <v>127</v>
      </c>
      <c r="H1447" t="s">
        <v>397</v>
      </c>
      <c r="I1447" s="3" t="s">
        <v>401</v>
      </c>
      <c r="J1447" t="s">
        <v>54</v>
      </c>
      <c r="K1447" s="15">
        <v>300000</v>
      </c>
      <c r="L1447" s="5" t="str">
        <f t="shared" si="22"/>
        <v>0 - 4</v>
      </c>
    </row>
    <row r="1448" spans="3:12" hidden="1">
      <c r="C1448" t="s">
        <v>31</v>
      </c>
      <c r="D1448" t="s">
        <v>49</v>
      </c>
      <c r="E1448">
        <v>1</v>
      </c>
      <c r="F1448" t="s">
        <v>8</v>
      </c>
      <c r="G1448" t="s">
        <v>59</v>
      </c>
      <c r="H1448" t="s">
        <v>397</v>
      </c>
      <c r="I1448" s="3" t="s">
        <v>94</v>
      </c>
      <c r="J1448" t="s">
        <v>54</v>
      </c>
      <c r="K1448" s="15">
        <v>550000</v>
      </c>
      <c r="L1448" s="5" t="str">
        <f t="shared" si="22"/>
        <v>0 - 4</v>
      </c>
    </row>
    <row r="1449" spans="3:12" hidden="1">
      <c r="C1449" t="s">
        <v>31</v>
      </c>
      <c r="D1449" t="s">
        <v>49</v>
      </c>
      <c r="E1449">
        <v>35</v>
      </c>
      <c r="F1449" t="s">
        <v>16</v>
      </c>
      <c r="G1449" t="s">
        <v>51</v>
      </c>
      <c r="H1449" t="s">
        <v>397</v>
      </c>
      <c r="I1449" s="3" t="s">
        <v>79</v>
      </c>
      <c r="J1449" t="s">
        <v>54</v>
      </c>
      <c r="K1449" s="15">
        <v>900000</v>
      </c>
      <c r="L1449" s="5" t="str">
        <f t="shared" si="22"/>
        <v>15 +</v>
      </c>
    </row>
    <row r="1450" spans="3:12" hidden="1">
      <c r="C1450" t="s">
        <v>31</v>
      </c>
      <c r="D1450" t="s">
        <v>49</v>
      </c>
      <c r="E1450">
        <v>28</v>
      </c>
      <c r="F1450" t="s">
        <v>16</v>
      </c>
      <c r="G1450" t="s">
        <v>127</v>
      </c>
      <c r="H1450" t="s">
        <v>397</v>
      </c>
      <c r="I1450" s="3" t="s">
        <v>192</v>
      </c>
      <c r="J1450" t="s">
        <v>54</v>
      </c>
      <c r="K1450" s="15">
        <v>1600000</v>
      </c>
      <c r="L1450" s="5" t="str">
        <f t="shared" si="22"/>
        <v>15 +</v>
      </c>
    </row>
    <row r="1451" spans="3:12" hidden="1">
      <c r="C1451" t="s">
        <v>31</v>
      </c>
      <c r="D1451" t="s">
        <v>55</v>
      </c>
      <c r="E1451">
        <v>21</v>
      </c>
      <c r="F1451" t="s">
        <v>16</v>
      </c>
      <c r="G1451" t="s">
        <v>51</v>
      </c>
      <c r="H1451" t="s">
        <v>397</v>
      </c>
      <c r="I1451" s="3" t="s">
        <v>110</v>
      </c>
      <c r="J1451" t="s">
        <v>54</v>
      </c>
      <c r="K1451" s="15">
        <v>1000000</v>
      </c>
      <c r="L1451" s="5" t="str">
        <f t="shared" si="22"/>
        <v>15 +</v>
      </c>
    </row>
    <row r="1452" spans="3:12" hidden="1">
      <c r="C1452" t="s">
        <v>31</v>
      </c>
      <c r="D1452" t="s">
        <v>77</v>
      </c>
      <c r="E1452">
        <v>21</v>
      </c>
      <c r="F1452" t="s">
        <v>16</v>
      </c>
      <c r="G1452" t="s">
        <v>51</v>
      </c>
      <c r="H1452" t="s">
        <v>397</v>
      </c>
      <c r="I1452" s="3" t="s">
        <v>106</v>
      </c>
      <c r="J1452" t="s">
        <v>54</v>
      </c>
      <c r="K1452" s="15">
        <v>1100000</v>
      </c>
      <c r="L1452" s="5" t="str">
        <f t="shared" si="22"/>
        <v>15 +</v>
      </c>
    </row>
    <row r="1453" spans="3:12" hidden="1">
      <c r="C1453" t="s">
        <v>31</v>
      </c>
      <c r="D1453" t="s">
        <v>169</v>
      </c>
      <c r="E1453">
        <v>20</v>
      </c>
      <c r="F1453" t="s">
        <v>16</v>
      </c>
      <c r="G1453" t="s">
        <v>51</v>
      </c>
      <c r="H1453" t="s">
        <v>397</v>
      </c>
      <c r="I1453" s="3" t="s">
        <v>402</v>
      </c>
      <c r="J1453" t="s">
        <v>54</v>
      </c>
      <c r="K1453" s="15">
        <v>1270000</v>
      </c>
      <c r="L1453" s="5" t="str">
        <f t="shared" si="22"/>
        <v>15 +</v>
      </c>
    </row>
    <row r="1454" spans="3:12" hidden="1">
      <c r="C1454" t="s">
        <v>31</v>
      </c>
      <c r="D1454" t="s">
        <v>55</v>
      </c>
      <c r="E1454">
        <v>19</v>
      </c>
      <c r="F1454" t="s">
        <v>16</v>
      </c>
      <c r="G1454" t="s">
        <v>57</v>
      </c>
      <c r="H1454" t="s">
        <v>397</v>
      </c>
      <c r="I1454" s="3" t="s">
        <v>110</v>
      </c>
      <c r="J1454" t="s">
        <v>54</v>
      </c>
      <c r="K1454" s="15">
        <v>1000000</v>
      </c>
      <c r="L1454" s="5" t="str">
        <f t="shared" si="22"/>
        <v>15 +</v>
      </c>
    </row>
    <row r="1455" spans="3:12" hidden="1">
      <c r="C1455" t="s">
        <v>31</v>
      </c>
      <c r="D1455" t="s">
        <v>55</v>
      </c>
      <c r="E1455">
        <v>18</v>
      </c>
      <c r="F1455" t="s">
        <v>16</v>
      </c>
      <c r="G1455" t="s">
        <v>59</v>
      </c>
      <c r="H1455" t="s">
        <v>397</v>
      </c>
      <c r="I1455" s="3" t="s">
        <v>110</v>
      </c>
      <c r="J1455" t="s">
        <v>66</v>
      </c>
      <c r="K1455" s="15">
        <v>1000000</v>
      </c>
      <c r="L1455" s="5" t="str">
        <f t="shared" si="22"/>
        <v>15 +</v>
      </c>
    </row>
    <row r="1456" spans="3:12" hidden="1">
      <c r="C1456" t="s">
        <v>31</v>
      </c>
      <c r="D1456" t="s">
        <v>77</v>
      </c>
      <c r="E1456">
        <v>15</v>
      </c>
      <c r="F1456" t="s">
        <v>16</v>
      </c>
      <c r="G1456" t="s">
        <v>59</v>
      </c>
      <c r="H1456" t="s">
        <v>397</v>
      </c>
      <c r="I1456" s="3" t="s">
        <v>173</v>
      </c>
      <c r="J1456" t="s">
        <v>54</v>
      </c>
      <c r="K1456" s="15">
        <v>1250000</v>
      </c>
      <c r="L1456" s="5" t="str">
        <f t="shared" si="22"/>
        <v>15 +</v>
      </c>
    </row>
    <row r="1457" spans="3:12" hidden="1">
      <c r="C1457" t="s">
        <v>31</v>
      </c>
      <c r="D1457" t="s">
        <v>56</v>
      </c>
      <c r="E1457">
        <v>11</v>
      </c>
      <c r="F1457" t="s">
        <v>16</v>
      </c>
      <c r="G1457" t="s">
        <v>51</v>
      </c>
      <c r="H1457" t="s">
        <v>397</v>
      </c>
      <c r="I1457" s="3" t="s">
        <v>79</v>
      </c>
      <c r="J1457" t="s">
        <v>54</v>
      </c>
      <c r="K1457" s="15">
        <v>900000</v>
      </c>
      <c r="L1457" s="5" t="str">
        <f t="shared" si="22"/>
        <v>9 - 14</v>
      </c>
    </row>
    <row r="1458" spans="3:12" hidden="1">
      <c r="C1458" t="s">
        <v>30</v>
      </c>
      <c r="D1458" t="s">
        <v>55</v>
      </c>
      <c r="E1458">
        <v>10</v>
      </c>
      <c r="F1458" t="s">
        <v>16</v>
      </c>
      <c r="G1458" t="s">
        <v>51</v>
      </c>
      <c r="H1458" t="s">
        <v>397</v>
      </c>
      <c r="I1458" s="3" t="s">
        <v>403</v>
      </c>
      <c r="J1458" t="s">
        <v>66</v>
      </c>
      <c r="K1458" s="15">
        <v>879000</v>
      </c>
      <c r="L1458" s="5" t="str">
        <f t="shared" si="22"/>
        <v>9 - 14</v>
      </c>
    </row>
    <row r="1459" spans="3:12" hidden="1">
      <c r="C1459" t="s">
        <v>31</v>
      </c>
      <c r="D1459" t="s">
        <v>73</v>
      </c>
      <c r="E1459">
        <v>10</v>
      </c>
      <c r="F1459" t="s">
        <v>16</v>
      </c>
      <c r="G1459" t="s">
        <v>127</v>
      </c>
      <c r="H1459" t="s">
        <v>397</v>
      </c>
      <c r="I1459" s="3" t="s">
        <v>289</v>
      </c>
      <c r="J1459" t="s">
        <v>54</v>
      </c>
      <c r="K1459" s="15">
        <v>936000</v>
      </c>
      <c r="L1459" s="5" t="str">
        <f t="shared" si="22"/>
        <v>9 - 14</v>
      </c>
    </row>
    <row r="1460" spans="3:12" hidden="1">
      <c r="C1460" t="s">
        <v>31</v>
      </c>
      <c r="D1460" t="s">
        <v>77</v>
      </c>
      <c r="E1460">
        <v>6</v>
      </c>
      <c r="F1460" t="s">
        <v>16</v>
      </c>
      <c r="G1460" t="s">
        <v>127</v>
      </c>
      <c r="H1460" t="s">
        <v>397</v>
      </c>
      <c r="I1460" s="3" t="s">
        <v>341</v>
      </c>
      <c r="J1460" t="s">
        <v>54</v>
      </c>
      <c r="K1460" s="15">
        <v>450000</v>
      </c>
      <c r="L1460" s="5" t="str">
        <f t="shared" si="22"/>
        <v>5  - 8</v>
      </c>
    </row>
    <row r="1461" spans="3:12" hidden="1">
      <c r="C1461" t="s">
        <v>31</v>
      </c>
      <c r="D1461" t="s">
        <v>73</v>
      </c>
      <c r="E1461">
        <v>5</v>
      </c>
      <c r="F1461" t="s">
        <v>16</v>
      </c>
      <c r="G1461" t="s">
        <v>51</v>
      </c>
      <c r="H1461" t="s">
        <v>397</v>
      </c>
      <c r="I1461" s="3" t="s">
        <v>119</v>
      </c>
      <c r="J1461" t="s">
        <v>54</v>
      </c>
      <c r="K1461" s="15">
        <v>630000</v>
      </c>
      <c r="L1461" s="5" t="str">
        <f t="shared" si="22"/>
        <v>5  - 8</v>
      </c>
    </row>
    <row r="1462" spans="3:12" hidden="1">
      <c r="C1462" t="s">
        <v>31</v>
      </c>
      <c r="D1462" t="s">
        <v>55</v>
      </c>
      <c r="E1462">
        <v>5</v>
      </c>
      <c r="F1462" t="s">
        <v>16</v>
      </c>
      <c r="G1462" t="s">
        <v>51</v>
      </c>
      <c r="H1462" t="s">
        <v>397</v>
      </c>
      <c r="I1462" s="3" t="s">
        <v>159</v>
      </c>
      <c r="J1462" t="s">
        <v>54</v>
      </c>
      <c r="K1462" s="15">
        <v>680000</v>
      </c>
      <c r="L1462" s="5" t="str">
        <f t="shared" si="22"/>
        <v>5  - 8</v>
      </c>
    </row>
    <row r="1463" spans="3:12" hidden="1">
      <c r="C1463" t="s">
        <v>31</v>
      </c>
      <c r="D1463" t="s">
        <v>49</v>
      </c>
      <c r="E1463">
        <v>5</v>
      </c>
      <c r="F1463" t="s">
        <v>16</v>
      </c>
      <c r="G1463" t="s">
        <v>59</v>
      </c>
      <c r="H1463" t="s">
        <v>397</v>
      </c>
      <c r="I1463" s="3" t="s">
        <v>165</v>
      </c>
      <c r="J1463" t="s">
        <v>54</v>
      </c>
      <c r="K1463" s="15">
        <v>720000</v>
      </c>
      <c r="L1463" s="5" t="str">
        <f t="shared" si="22"/>
        <v>5  - 8</v>
      </c>
    </row>
    <row r="1464" spans="3:12" hidden="1">
      <c r="C1464" t="s">
        <v>31</v>
      </c>
      <c r="D1464" t="s">
        <v>73</v>
      </c>
      <c r="E1464">
        <v>4</v>
      </c>
      <c r="F1464" t="s">
        <v>16</v>
      </c>
      <c r="G1464" t="s">
        <v>59</v>
      </c>
      <c r="H1464" t="s">
        <v>397</v>
      </c>
      <c r="I1464" s="3" t="s">
        <v>122</v>
      </c>
      <c r="J1464" t="s">
        <v>66</v>
      </c>
      <c r="K1464" s="15">
        <v>930000</v>
      </c>
      <c r="L1464" s="5" t="str">
        <f t="shared" si="22"/>
        <v>0 - 4</v>
      </c>
    </row>
    <row r="1465" spans="3:12" hidden="1">
      <c r="C1465" t="s">
        <v>31</v>
      </c>
      <c r="D1465" t="s">
        <v>77</v>
      </c>
      <c r="E1465">
        <v>4</v>
      </c>
      <c r="F1465" t="s">
        <v>16</v>
      </c>
      <c r="G1465" t="s">
        <v>127</v>
      </c>
      <c r="H1465" t="s">
        <v>397</v>
      </c>
      <c r="I1465" s="3" t="s">
        <v>211</v>
      </c>
      <c r="J1465" t="s">
        <v>54</v>
      </c>
      <c r="K1465" s="15">
        <v>1060000</v>
      </c>
      <c r="L1465" s="5" t="str">
        <f t="shared" si="22"/>
        <v>0 - 4</v>
      </c>
    </row>
    <row r="1466" spans="3:12" hidden="1">
      <c r="C1466" t="s">
        <v>31</v>
      </c>
      <c r="D1466" t="s">
        <v>73</v>
      </c>
      <c r="E1466">
        <v>3</v>
      </c>
      <c r="F1466" t="s">
        <v>16</v>
      </c>
      <c r="G1466" t="s">
        <v>59</v>
      </c>
      <c r="H1466" t="s">
        <v>397</v>
      </c>
      <c r="I1466" s="3" t="s">
        <v>404</v>
      </c>
      <c r="J1466" t="s">
        <v>66</v>
      </c>
      <c r="K1466" s="15">
        <v>647500</v>
      </c>
      <c r="L1466" s="5" t="str">
        <f t="shared" si="22"/>
        <v>0 - 4</v>
      </c>
    </row>
    <row r="1467" spans="3:12" hidden="1">
      <c r="C1467" t="s">
        <v>30</v>
      </c>
      <c r="D1467" t="s">
        <v>67</v>
      </c>
      <c r="E1467">
        <v>1</v>
      </c>
      <c r="F1467" t="s">
        <v>16</v>
      </c>
      <c r="G1467" t="s">
        <v>51</v>
      </c>
      <c r="H1467" t="s">
        <v>397</v>
      </c>
      <c r="I1467" s="3" t="s">
        <v>405</v>
      </c>
      <c r="J1467" t="s">
        <v>54</v>
      </c>
      <c r="K1467" s="15">
        <v>581000</v>
      </c>
      <c r="L1467" s="5" t="str">
        <f t="shared" si="22"/>
        <v>0 - 4</v>
      </c>
    </row>
    <row r="1468" spans="3:12" hidden="1">
      <c r="C1468" t="s">
        <v>31</v>
      </c>
      <c r="D1468" t="s">
        <v>73</v>
      </c>
      <c r="E1468">
        <v>1</v>
      </c>
      <c r="F1468" t="s">
        <v>16</v>
      </c>
      <c r="G1468" t="s">
        <v>57</v>
      </c>
      <c r="H1468" t="s">
        <v>397</v>
      </c>
      <c r="I1468" s="3" t="s">
        <v>139</v>
      </c>
      <c r="J1468" t="s">
        <v>54</v>
      </c>
      <c r="K1468" s="15">
        <v>600000</v>
      </c>
      <c r="L1468" s="5" t="str">
        <f t="shared" si="22"/>
        <v>0 - 4</v>
      </c>
    </row>
    <row r="1469" spans="3:12" hidden="1">
      <c r="C1469" t="s">
        <v>31</v>
      </c>
      <c r="D1469" t="s">
        <v>77</v>
      </c>
      <c r="E1469">
        <v>0</v>
      </c>
      <c r="F1469" t="s">
        <v>16</v>
      </c>
      <c r="G1469" t="s">
        <v>59</v>
      </c>
      <c r="H1469" t="s">
        <v>397</v>
      </c>
      <c r="I1469" s="3" t="s">
        <v>354</v>
      </c>
      <c r="J1469" t="s">
        <v>66</v>
      </c>
      <c r="K1469" s="15">
        <v>520000</v>
      </c>
      <c r="L1469" s="5" t="str">
        <f t="shared" si="22"/>
        <v>0 - 4</v>
      </c>
    </row>
    <row r="1470" spans="3:12" hidden="1">
      <c r="C1470" t="s">
        <v>31</v>
      </c>
      <c r="D1470" t="s">
        <v>55</v>
      </c>
      <c r="E1470">
        <v>20</v>
      </c>
      <c r="F1470" t="s">
        <v>19</v>
      </c>
      <c r="G1470" t="s">
        <v>59</v>
      </c>
      <c r="H1470" t="s">
        <v>397</v>
      </c>
      <c r="I1470" s="3" t="s">
        <v>69</v>
      </c>
      <c r="J1470" t="s">
        <v>54</v>
      </c>
      <c r="K1470" s="15">
        <v>750000</v>
      </c>
      <c r="L1470" s="5" t="str">
        <f t="shared" si="22"/>
        <v>15 +</v>
      </c>
    </row>
    <row r="1471" spans="3:12" hidden="1">
      <c r="C1471" t="s">
        <v>31</v>
      </c>
      <c r="D1471" t="s">
        <v>55</v>
      </c>
      <c r="E1471">
        <v>20</v>
      </c>
      <c r="F1471" t="s">
        <v>19</v>
      </c>
      <c r="G1471" t="s">
        <v>59</v>
      </c>
      <c r="H1471" t="s">
        <v>397</v>
      </c>
      <c r="I1471" s="3" t="s">
        <v>220</v>
      </c>
      <c r="J1471" t="s">
        <v>66</v>
      </c>
      <c r="K1471" s="15">
        <v>760000</v>
      </c>
      <c r="L1471" s="5" t="str">
        <f t="shared" si="22"/>
        <v>15 +</v>
      </c>
    </row>
    <row r="1472" spans="3:12" hidden="1">
      <c r="C1472" t="s">
        <v>31</v>
      </c>
      <c r="D1472" t="s">
        <v>56</v>
      </c>
      <c r="E1472">
        <v>20</v>
      </c>
      <c r="F1472" t="s">
        <v>19</v>
      </c>
      <c r="G1472" t="s">
        <v>51</v>
      </c>
      <c r="H1472" t="s">
        <v>397</v>
      </c>
      <c r="I1472" s="3" t="s">
        <v>61</v>
      </c>
      <c r="J1472" t="s">
        <v>54</v>
      </c>
      <c r="K1472" s="15">
        <v>1200000</v>
      </c>
      <c r="L1472" s="5" t="str">
        <f t="shared" si="22"/>
        <v>15 +</v>
      </c>
    </row>
    <row r="1473" spans="3:12" hidden="1">
      <c r="C1473" t="s">
        <v>31</v>
      </c>
      <c r="D1473" t="s">
        <v>91</v>
      </c>
      <c r="E1473">
        <v>16</v>
      </c>
      <c r="F1473" t="s">
        <v>19</v>
      </c>
      <c r="G1473" t="s">
        <v>51</v>
      </c>
      <c r="H1473" t="s">
        <v>397</v>
      </c>
      <c r="I1473" s="3" t="s">
        <v>79</v>
      </c>
      <c r="J1473" t="s">
        <v>66</v>
      </c>
      <c r="K1473" s="15">
        <v>900000</v>
      </c>
      <c r="L1473" s="5" t="str">
        <f t="shared" si="22"/>
        <v>15 +</v>
      </c>
    </row>
    <row r="1474" spans="3:12" hidden="1">
      <c r="C1474" t="s">
        <v>31</v>
      </c>
      <c r="D1474" t="s">
        <v>80</v>
      </c>
      <c r="E1474">
        <v>15</v>
      </c>
      <c r="F1474" t="s">
        <v>19</v>
      </c>
      <c r="G1474" t="s">
        <v>51</v>
      </c>
      <c r="H1474" t="s">
        <v>397</v>
      </c>
      <c r="I1474" s="3" t="s">
        <v>116</v>
      </c>
      <c r="J1474" t="s">
        <v>54</v>
      </c>
      <c r="K1474" s="15">
        <v>800000</v>
      </c>
      <c r="L1474" s="5" t="str">
        <f t="shared" si="22"/>
        <v>15 +</v>
      </c>
    </row>
    <row r="1475" spans="3:12" hidden="1">
      <c r="C1475" t="s">
        <v>31</v>
      </c>
      <c r="D1475" t="s">
        <v>73</v>
      </c>
      <c r="E1475">
        <v>11</v>
      </c>
      <c r="F1475" t="s">
        <v>19</v>
      </c>
      <c r="G1475" t="s">
        <v>51</v>
      </c>
      <c r="H1475" t="s">
        <v>397</v>
      </c>
      <c r="I1475" s="3" t="s">
        <v>233</v>
      </c>
      <c r="J1475" t="s">
        <v>66</v>
      </c>
      <c r="K1475" s="15">
        <v>830000</v>
      </c>
      <c r="L1475" s="5" t="str">
        <f t="shared" ref="L1475:L1538" si="23">_xlfn.XLOOKUP(E1475,$P$2:$P$5,$O$2:$O$5,,1)</f>
        <v>9 - 14</v>
      </c>
    </row>
    <row r="1476" spans="3:12" hidden="1">
      <c r="C1476" t="s">
        <v>31</v>
      </c>
      <c r="D1476" t="s">
        <v>73</v>
      </c>
      <c r="E1476">
        <v>11</v>
      </c>
      <c r="F1476" t="s">
        <v>19</v>
      </c>
      <c r="G1476" t="s">
        <v>51</v>
      </c>
      <c r="H1476" t="s">
        <v>397</v>
      </c>
      <c r="I1476" s="3" t="s">
        <v>110</v>
      </c>
      <c r="J1476" t="s">
        <v>54</v>
      </c>
      <c r="K1476" s="15">
        <v>1000000</v>
      </c>
      <c r="L1476" s="5" t="str">
        <f t="shared" si="23"/>
        <v>9 - 14</v>
      </c>
    </row>
    <row r="1477" spans="3:12" hidden="1">
      <c r="C1477" t="s">
        <v>31</v>
      </c>
      <c r="D1477" t="s">
        <v>50</v>
      </c>
      <c r="E1477">
        <v>10</v>
      </c>
      <c r="F1477" t="s">
        <v>19</v>
      </c>
      <c r="G1477" t="s">
        <v>51</v>
      </c>
      <c r="H1477" t="s">
        <v>397</v>
      </c>
      <c r="I1477" s="3" t="s">
        <v>339</v>
      </c>
      <c r="J1477" t="s">
        <v>66</v>
      </c>
      <c r="K1477" s="15">
        <v>500000</v>
      </c>
      <c r="L1477" s="5" t="str">
        <f t="shared" si="23"/>
        <v>9 - 14</v>
      </c>
    </row>
    <row r="1478" spans="3:12" hidden="1">
      <c r="C1478" t="s">
        <v>31</v>
      </c>
      <c r="D1478" t="s">
        <v>55</v>
      </c>
      <c r="E1478">
        <v>9</v>
      </c>
      <c r="F1478" t="s">
        <v>19</v>
      </c>
      <c r="G1478" t="s">
        <v>59</v>
      </c>
      <c r="H1478" t="s">
        <v>397</v>
      </c>
      <c r="I1478" s="3" t="s">
        <v>200</v>
      </c>
      <c r="J1478" t="s">
        <v>66</v>
      </c>
      <c r="K1478" s="15">
        <v>845000</v>
      </c>
      <c r="L1478" s="5" t="str">
        <f t="shared" si="23"/>
        <v>9 - 14</v>
      </c>
    </row>
    <row r="1479" spans="3:12" hidden="1">
      <c r="C1479" t="s">
        <v>31</v>
      </c>
      <c r="D1479" t="s">
        <v>55</v>
      </c>
      <c r="E1479">
        <v>9</v>
      </c>
      <c r="F1479" t="s">
        <v>19</v>
      </c>
      <c r="G1479" t="s">
        <v>51</v>
      </c>
      <c r="H1479" t="s">
        <v>397</v>
      </c>
      <c r="I1479" s="3" t="s">
        <v>106</v>
      </c>
      <c r="J1479" t="s">
        <v>54</v>
      </c>
      <c r="K1479" s="15">
        <v>1100000</v>
      </c>
      <c r="L1479" s="5" t="str">
        <f t="shared" si="23"/>
        <v>9 - 14</v>
      </c>
    </row>
    <row r="1480" spans="3:12" hidden="1">
      <c r="C1480" t="s">
        <v>31</v>
      </c>
      <c r="D1480" t="s">
        <v>73</v>
      </c>
      <c r="E1480">
        <v>8</v>
      </c>
      <c r="F1480" t="s">
        <v>19</v>
      </c>
      <c r="G1480" t="s">
        <v>51</v>
      </c>
      <c r="H1480" t="s">
        <v>397</v>
      </c>
      <c r="I1480" s="3" t="s">
        <v>159</v>
      </c>
      <c r="J1480" t="s">
        <v>54</v>
      </c>
      <c r="K1480" s="15">
        <v>680000</v>
      </c>
      <c r="L1480" s="5" t="str">
        <f t="shared" si="23"/>
        <v>5  - 8</v>
      </c>
    </row>
    <row r="1481" spans="3:12" hidden="1">
      <c r="C1481" t="s">
        <v>31</v>
      </c>
      <c r="D1481" t="s">
        <v>73</v>
      </c>
      <c r="E1481">
        <v>8</v>
      </c>
      <c r="F1481" t="s">
        <v>19</v>
      </c>
      <c r="G1481" t="s">
        <v>59</v>
      </c>
      <c r="H1481" t="s">
        <v>397</v>
      </c>
      <c r="I1481" s="3" t="s">
        <v>156</v>
      </c>
      <c r="J1481" t="s">
        <v>66</v>
      </c>
      <c r="K1481" s="15">
        <v>770000</v>
      </c>
      <c r="L1481" s="5" t="str">
        <f t="shared" si="23"/>
        <v>5  - 8</v>
      </c>
    </row>
    <row r="1482" spans="3:12" hidden="1">
      <c r="C1482" t="s">
        <v>31</v>
      </c>
      <c r="D1482" t="s">
        <v>49</v>
      </c>
      <c r="E1482">
        <v>7</v>
      </c>
      <c r="F1482" t="s">
        <v>19</v>
      </c>
      <c r="G1482" t="s">
        <v>59</v>
      </c>
      <c r="H1482" t="s">
        <v>397</v>
      </c>
      <c r="I1482" s="3" t="s">
        <v>166</v>
      </c>
      <c r="J1482" t="s">
        <v>66</v>
      </c>
      <c r="K1482" s="15">
        <v>890000</v>
      </c>
      <c r="L1482" s="5" t="str">
        <f t="shared" si="23"/>
        <v>5  - 8</v>
      </c>
    </row>
    <row r="1483" spans="3:12" hidden="1">
      <c r="C1483" t="s">
        <v>31</v>
      </c>
      <c r="D1483" t="s">
        <v>56</v>
      </c>
      <c r="E1483">
        <v>6</v>
      </c>
      <c r="F1483" t="s">
        <v>19</v>
      </c>
      <c r="G1483" t="s">
        <v>51</v>
      </c>
      <c r="H1483" t="s">
        <v>397</v>
      </c>
      <c r="I1483" s="3" t="s">
        <v>69</v>
      </c>
      <c r="J1483" t="s">
        <v>54</v>
      </c>
      <c r="K1483" s="15">
        <v>750000</v>
      </c>
      <c r="L1483" s="5" t="str">
        <f t="shared" si="23"/>
        <v>5  - 8</v>
      </c>
    </row>
    <row r="1484" spans="3:12" hidden="1">
      <c r="C1484" t="s">
        <v>30</v>
      </c>
      <c r="D1484" t="s">
        <v>55</v>
      </c>
      <c r="E1484">
        <v>5</v>
      </c>
      <c r="F1484" t="s">
        <v>19</v>
      </c>
      <c r="G1484" t="s">
        <v>51</v>
      </c>
      <c r="H1484" t="s">
        <v>397</v>
      </c>
      <c r="I1484" s="3" t="s">
        <v>115</v>
      </c>
      <c r="J1484" t="s">
        <v>54</v>
      </c>
      <c r="K1484" s="15">
        <v>715000</v>
      </c>
      <c r="L1484" s="5" t="str">
        <f t="shared" si="23"/>
        <v>5  - 8</v>
      </c>
    </row>
    <row r="1485" spans="3:12" hidden="1">
      <c r="C1485" t="s">
        <v>31</v>
      </c>
      <c r="D1485" t="s">
        <v>49</v>
      </c>
      <c r="E1485">
        <v>5</v>
      </c>
      <c r="F1485" t="s">
        <v>19</v>
      </c>
      <c r="G1485" t="s">
        <v>51</v>
      </c>
      <c r="H1485" t="s">
        <v>397</v>
      </c>
      <c r="I1485" s="3" t="s">
        <v>69</v>
      </c>
      <c r="J1485" t="s">
        <v>54</v>
      </c>
      <c r="K1485" s="15">
        <v>750000</v>
      </c>
      <c r="L1485" s="5" t="str">
        <f t="shared" si="23"/>
        <v>5  - 8</v>
      </c>
    </row>
    <row r="1486" spans="3:12" hidden="1">
      <c r="C1486" t="s">
        <v>30</v>
      </c>
      <c r="D1486" t="s">
        <v>73</v>
      </c>
      <c r="E1486">
        <v>4</v>
      </c>
      <c r="F1486" t="s">
        <v>19</v>
      </c>
      <c r="G1486" t="s">
        <v>51</v>
      </c>
      <c r="H1486" t="s">
        <v>397</v>
      </c>
      <c r="I1486" s="3" t="s">
        <v>85</v>
      </c>
      <c r="J1486" t="s">
        <v>54</v>
      </c>
      <c r="K1486" s="15">
        <v>650000</v>
      </c>
      <c r="L1486" s="5" t="str">
        <f t="shared" si="23"/>
        <v>0 - 4</v>
      </c>
    </row>
    <row r="1487" spans="3:12" hidden="1">
      <c r="C1487" t="s">
        <v>31</v>
      </c>
      <c r="D1487" t="s">
        <v>77</v>
      </c>
      <c r="E1487">
        <v>4</v>
      </c>
      <c r="F1487" t="s">
        <v>19</v>
      </c>
      <c r="G1487" t="s">
        <v>51</v>
      </c>
      <c r="H1487" t="s">
        <v>397</v>
      </c>
      <c r="I1487" s="3" t="s">
        <v>139</v>
      </c>
      <c r="J1487" t="s">
        <v>66</v>
      </c>
      <c r="K1487" s="15">
        <v>600000</v>
      </c>
      <c r="L1487" s="5" t="str">
        <f t="shared" si="23"/>
        <v>0 - 4</v>
      </c>
    </row>
    <row r="1488" spans="3:12" hidden="1">
      <c r="C1488" t="s">
        <v>31</v>
      </c>
      <c r="D1488" t="s">
        <v>67</v>
      </c>
      <c r="E1488">
        <v>4</v>
      </c>
      <c r="F1488" t="s">
        <v>19</v>
      </c>
      <c r="G1488" t="s">
        <v>51</v>
      </c>
      <c r="H1488" t="s">
        <v>397</v>
      </c>
      <c r="I1488" s="3" t="s">
        <v>159</v>
      </c>
      <c r="J1488" t="s">
        <v>54</v>
      </c>
      <c r="K1488" s="15">
        <v>680000</v>
      </c>
      <c r="L1488" s="5" t="str">
        <f t="shared" si="23"/>
        <v>0 - 4</v>
      </c>
    </row>
    <row r="1489" spans="3:12" hidden="1">
      <c r="C1489" t="s">
        <v>31</v>
      </c>
      <c r="D1489" t="s">
        <v>73</v>
      </c>
      <c r="E1489">
        <v>4</v>
      </c>
      <c r="F1489" t="s">
        <v>19</v>
      </c>
      <c r="G1489" t="s">
        <v>59</v>
      </c>
      <c r="H1489" t="s">
        <v>397</v>
      </c>
      <c r="I1489" s="3" t="s">
        <v>110</v>
      </c>
      <c r="J1489" t="s">
        <v>54</v>
      </c>
      <c r="K1489" s="15">
        <v>1000000</v>
      </c>
      <c r="L1489" s="5" t="str">
        <f t="shared" si="23"/>
        <v>0 - 4</v>
      </c>
    </row>
    <row r="1490" spans="3:12" hidden="1">
      <c r="C1490" t="s">
        <v>31</v>
      </c>
      <c r="D1490" t="s">
        <v>73</v>
      </c>
      <c r="E1490">
        <v>3</v>
      </c>
      <c r="F1490" t="s">
        <v>19</v>
      </c>
      <c r="G1490" t="s">
        <v>51</v>
      </c>
      <c r="H1490" t="s">
        <v>397</v>
      </c>
      <c r="I1490" s="3" t="s">
        <v>367</v>
      </c>
      <c r="J1490" t="s">
        <v>54</v>
      </c>
      <c r="K1490" s="15">
        <v>574000</v>
      </c>
      <c r="L1490" s="5" t="str">
        <f t="shared" si="23"/>
        <v>0 - 4</v>
      </c>
    </row>
    <row r="1491" spans="3:12" hidden="1">
      <c r="C1491" t="s">
        <v>31</v>
      </c>
      <c r="D1491" t="s">
        <v>73</v>
      </c>
      <c r="E1491">
        <v>3</v>
      </c>
      <c r="F1491" t="s">
        <v>19</v>
      </c>
      <c r="G1491" t="s">
        <v>51</v>
      </c>
      <c r="H1491" t="s">
        <v>397</v>
      </c>
      <c r="I1491" s="3" t="s">
        <v>406</v>
      </c>
      <c r="J1491" t="s">
        <v>66</v>
      </c>
      <c r="K1491" s="15">
        <v>579000</v>
      </c>
      <c r="L1491" s="5" t="str">
        <f t="shared" si="23"/>
        <v>0 - 4</v>
      </c>
    </row>
    <row r="1492" spans="3:12" hidden="1">
      <c r="C1492" t="s">
        <v>31</v>
      </c>
      <c r="D1492" t="s">
        <v>56</v>
      </c>
      <c r="E1492">
        <v>3</v>
      </c>
      <c r="F1492" t="s">
        <v>19</v>
      </c>
      <c r="G1492" t="s">
        <v>51</v>
      </c>
      <c r="H1492" t="s">
        <v>397</v>
      </c>
      <c r="I1492" s="3" t="s">
        <v>139</v>
      </c>
      <c r="J1492" t="s">
        <v>54</v>
      </c>
      <c r="K1492" s="15">
        <v>600000</v>
      </c>
      <c r="L1492" s="5" t="str">
        <f t="shared" si="23"/>
        <v>0 - 4</v>
      </c>
    </row>
    <row r="1493" spans="3:12" hidden="1">
      <c r="C1493" t="s">
        <v>31</v>
      </c>
      <c r="D1493" t="s">
        <v>77</v>
      </c>
      <c r="E1493">
        <v>3</v>
      </c>
      <c r="F1493" t="s">
        <v>19</v>
      </c>
      <c r="G1493" t="s">
        <v>51</v>
      </c>
      <c r="H1493" t="s">
        <v>397</v>
      </c>
      <c r="I1493" s="3" t="s">
        <v>79</v>
      </c>
      <c r="J1493" t="s">
        <v>54</v>
      </c>
      <c r="K1493" s="15">
        <v>900000</v>
      </c>
      <c r="L1493" s="5" t="str">
        <f t="shared" si="23"/>
        <v>0 - 4</v>
      </c>
    </row>
    <row r="1494" spans="3:12" hidden="1">
      <c r="C1494" t="s">
        <v>31</v>
      </c>
      <c r="D1494" t="s">
        <v>73</v>
      </c>
      <c r="E1494">
        <v>2</v>
      </c>
      <c r="F1494" t="s">
        <v>19</v>
      </c>
      <c r="G1494" t="s">
        <v>51</v>
      </c>
      <c r="H1494" t="s">
        <v>397</v>
      </c>
      <c r="I1494" s="3" t="s">
        <v>407</v>
      </c>
      <c r="J1494" t="s">
        <v>54</v>
      </c>
      <c r="K1494" s="15">
        <v>528000</v>
      </c>
      <c r="L1494" s="5" t="str">
        <f t="shared" si="23"/>
        <v>0 - 4</v>
      </c>
    </row>
    <row r="1495" spans="3:12" hidden="1">
      <c r="C1495" t="s">
        <v>31</v>
      </c>
      <c r="D1495" t="s">
        <v>55</v>
      </c>
      <c r="E1495">
        <v>1</v>
      </c>
      <c r="F1495" t="s">
        <v>19</v>
      </c>
      <c r="G1495" t="s">
        <v>59</v>
      </c>
      <c r="H1495" t="s">
        <v>397</v>
      </c>
      <c r="I1495" s="3" t="s">
        <v>81</v>
      </c>
      <c r="J1495" t="s">
        <v>54</v>
      </c>
      <c r="K1495" s="15">
        <v>640000</v>
      </c>
      <c r="L1495" s="5" t="str">
        <f t="shared" si="23"/>
        <v>0 - 4</v>
      </c>
    </row>
    <row r="1496" spans="3:12" hidden="1">
      <c r="C1496" t="s">
        <v>31</v>
      </c>
      <c r="D1496" t="s">
        <v>67</v>
      </c>
      <c r="E1496">
        <v>38</v>
      </c>
      <c r="F1496" t="s">
        <v>9</v>
      </c>
      <c r="G1496" t="s">
        <v>51</v>
      </c>
      <c r="H1496" t="s">
        <v>397</v>
      </c>
      <c r="I1496" s="3" t="s">
        <v>130</v>
      </c>
      <c r="J1496" t="s">
        <v>54</v>
      </c>
      <c r="K1496" s="15">
        <v>950000</v>
      </c>
      <c r="L1496" s="5" t="str">
        <f t="shared" si="23"/>
        <v>15 +</v>
      </c>
    </row>
    <row r="1497" spans="3:12" hidden="1">
      <c r="C1497" t="s">
        <v>31</v>
      </c>
      <c r="D1497" t="s">
        <v>55</v>
      </c>
      <c r="E1497">
        <v>15</v>
      </c>
      <c r="F1497" t="s">
        <v>9</v>
      </c>
      <c r="G1497" t="s">
        <v>51</v>
      </c>
      <c r="H1497" t="s">
        <v>397</v>
      </c>
      <c r="I1497" s="3" t="s">
        <v>111</v>
      </c>
      <c r="J1497" t="s">
        <v>54</v>
      </c>
      <c r="K1497" s="15">
        <v>870000</v>
      </c>
      <c r="L1497" s="5" t="str">
        <f t="shared" si="23"/>
        <v>15 +</v>
      </c>
    </row>
    <row r="1498" spans="3:12" hidden="1">
      <c r="C1498" t="s">
        <v>31</v>
      </c>
      <c r="D1498" t="s">
        <v>73</v>
      </c>
      <c r="E1498">
        <v>12</v>
      </c>
      <c r="F1498" t="s">
        <v>9</v>
      </c>
      <c r="G1498" t="s">
        <v>51</v>
      </c>
      <c r="H1498" t="s">
        <v>397</v>
      </c>
      <c r="I1498" s="3" t="s">
        <v>79</v>
      </c>
      <c r="J1498" t="s">
        <v>54</v>
      </c>
      <c r="K1498" s="15">
        <v>900000</v>
      </c>
      <c r="L1498" s="5" t="str">
        <f t="shared" si="23"/>
        <v>9 - 14</v>
      </c>
    </row>
    <row r="1499" spans="3:12" hidden="1">
      <c r="C1499" t="s">
        <v>31</v>
      </c>
      <c r="D1499" t="s">
        <v>55</v>
      </c>
      <c r="E1499">
        <v>12</v>
      </c>
      <c r="F1499" t="s">
        <v>9</v>
      </c>
      <c r="G1499" t="s">
        <v>51</v>
      </c>
      <c r="H1499" t="s">
        <v>397</v>
      </c>
      <c r="I1499" s="3" t="s">
        <v>106</v>
      </c>
      <c r="J1499" t="s">
        <v>54</v>
      </c>
      <c r="K1499" s="15">
        <v>1100000</v>
      </c>
      <c r="L1499" s="5" t="str">
        <f t="shared" si="23"/>
        <v>9 - 14</v>
      </c>
    </row>
    <row r="1500" spans="3:12" hidden="1">
      <c r="C1500" t="s">
        <v>31</v>
      </c>
      <c r="D1500" t="s">
        <v>67</v>
      </c>
      <c r="E1500">
        <v>11</v>
      </c>
      <c r="F1500" t="s">
        <v>9</v>
      </c>
      <c r="G1500" t="s">
        <v>51</v>
      </c>
      <c r="H1500" t="s">
        <v>397</v>
      </c>
      <c r="I1500" s="3" t="s">
        <v>182</v>
      </c>
      <c r="J1500" t="s">
        <v>66</v>
      </c>
      <c r="K1500" s="15">
        <v>1450000</v>
      </c>
      <c r="L1500" s="5" t="str">
        <f t="shared" si="23"/>
        <v>9 - 14</v>
      </c>
    </row>
    <row r="1501" spans="3:12" hidden="1">
      <c r="C1501" t="s">
        <v>31</v>
      </c>
      <c r="D1501" t="s">
        <v>55</v>
      </c>
      <c r="E1501">
        <v>10</v>
      </c>
      <c r="F1501" t="s">
        <v>9</v>
      </c>
      <c r="G1501" t="s">
        <v>127</v>
      </c>
      <c r="H1501" t="s">
        <v>397</v>
      </c>
      <c r="I1501" s="3" t="s">
        <v>117</v>
      </c>
      <c r="J1501" t="s">
        <v>54</v>
      </c>
      <c r="K1501" s="15">
        <v>2400000</v>
      </c>
      <c r="L1501" s="5" t="str">
        <f t="shared" si="23"/>
        <v>9 - 14</v>
      </c>
    </row>
    <row r="1502" spans="3:12" hidden="1">
      <c r="C1502" t="s">
        <v>31</v>
      </c>
      <c r="D1502" t="s">
        <v>73</v>
      </c>
      <c r="E1502">
        <v>9</v>
      </c>
      <c r="F1502" t="s">
        <v>9</v>
      </c>
      <c r="G1502" t="s">
        <v>51</v>
      </c>
      <c r="H1502" t="s">
        <v>397</v>
      </c>
      <c r="I1502" s="3" t="s">
        <v>272</v>
      </c>
      <c r="J1502" t="s">
        <v>54</v>
      </c>
      <c r="K1502" s="15">
        <v>705000</v>
      </c>
      <c r="L1502" s="5" t="str">
        <f t="shared" si="23"/>
        <v>9 - 14</v>
      </c>
    </row>
    <row r="1503" spans="3:12" hidden="1">
      <c r="C1503" t="s">
        <v>31</v>
      </c>
      <c r="D1503" t="s">
        <v>73</v>
      </c>
      <c r="E1503">
        <v>9</v>
      </c>
      <c r="F1503" t="s">
        <v>9</v>
      </c>
      <c r="G1503" t="s">
        <v>51</v>
      </c>
      <c r="H1503" t="s">
        <v>397</v>
      </c>
      <c r="I1503" s="3" t="s">
        <v>96</v>
      </c>
      <c r="J1503" t="s">
        <v>66</v>
      </c>
      <c r="K1503" s="15">
        <v>780000</v>
      </c>
      <c r="L1503" s="5" t="str">
        <f t="shared" si="23"/>
        <v>9 - 14</v>
      </c>
    </row>
    <row r="1504" spans="3:12" hidden="1">
      <c r="C1504" t="s">
        <v>31</v>
      </c>
      <c r="D1504" t="s">
        <v>77</v>
      </c>
      <c r="E1504">
        <v>9</v>
      </c>
      <c r="F1504" t="s">
        <v>9</v>
      </c>
      <c r="G1504" t="s">
        <v>51</v>
      </c>
      <c r="H1504" t="s">
        <v>397</v>
      </c>
      <c r="I1504" s="3" t="s">
        <v>116</v>
      </c>
      <c r="J1504" t="s">
        <v>66</v>
      </c>
      <c r="K1504" s="15">
        <v>800000</v>
      </c>
      <c r="L1504" s="5" t="str">
        <f t="shared" si="23"/>
        <v>9 - 14</v>
      </c>
    </row>
    <row r="1505" spans="3:12" hidden="1">
      <c r="C1505" t="s">
        <v>31</v>
      </c>
      <c r="D1505" t="s">
        <v>101</v>
      </c>
      <c r="E1505">
        <v>9</v>
      </c>
      <c r="F1505" t="s">
        <v>9</v>
      </c>
      <c r="G1505" t="s">
        <v>51</v>
      </c>
      <c r="H1505" t="s">
        <v>397</v>
      </c>
      <c r="I1505" s="3" t="s">
        <v>184</v>
      </c>
      <c r="J1505" t="s">
        <v>66</v>
      </c>
      <c r="K1505" s="15">
        <v>1350000</v>
      </c>
      <c r="L1505" s="5" t="str">
        <f t="shared" si="23"/>
        <v>9 - 14</v>
      </c>
    </row>
    <row r="1506" spans="3:12" hidden="1">
      <c r="C1506" t="s">
        <v>30</v>
      </c>
      <c r="D1506" t="s">
        <v>73</v>
      </c>
      <c r="E1506">
        <v>7</v>
      </c>
      <c r="F1506" t="s">
        <v>9</v>
      </c>
      <c r="G1506" t="s">
        <v>51</v>
      </c>
      <c r="H1506" t="s">
        <v>397</v>
      </c>
      <c r="I1506" s="3" t="s">
        <v>131</v>
      </c>
      <c r="J1506" t="s">
        <v>54</v>
      </c>
      <c r="K1506" s="15">
        <v>485000</v>
      </c>
      <c r="L1506" s="5" t="str">
        <f t="shared" si="23"/>
        <v>5  - 8</v>
      </c>
    </row>
    <row r="1507" spans="3:12" hidden="1">
      <c r="C1507" t="s">
        <v>31</v>
      </c>
      <c r="D1507" t="s">
        <v>73</v>
      </c>
      <c r="E1507">
        <v>5</v>
      </c>
      <c r="F1507" t="s">
        <v>9</v>
      </c>
      <c r="G1507" t="s">
        <v>57</v>
      </c>
      <c r="H1507" t="s">
        <v>397</v>
      </c>
      <c r="I1507" s="3" t="s">
        <v>108</v>
      </c>
      <c r="J1507" t="s">
        <v>54</v>
      </c>
      <c r="K1507" s="15">
        <v>700000</v>
      </c>
      <c r="L1507" s="5" t="str">
        <f t="shared" si="23"/>
        <v>5  - 8</v>
      </c>
    </row>
    <row r="1508" spans="3:12" hidden="1">
      <c r="C1508" t="s">
        <v>31</v>
      </c>
      <c r="D1508" t="s">
        <v>73</v>
      </c>
      <c r="E1508">
        <v>5</v>
      </c>
      <c r="F1508" t="s">
        <v>9</v>
      </c>
      <c r="G1508" t="s">
        <v>59</v>
      </c>
      <c r="H1508" t="s">
        <v>397</v>
      </c>
      <c r="I1508" s="3" t="s">
        <v>108</v>
      </c>
      <c r="J1508" t="s">
        <v>54</v>
      </c>
      <c r="K1508" s="15">
        <v>700000</v>
      </c>
      <c r="L1508" s="5" t="str">
        <f t="shared" si="23"/>
        <v>5  - 8</v>
      </c>
    </row>
    <row r="1509" spans="3:12" hidden="1">
      <c r="C1509" t="s">
        <v>31</v>
      </c>
      <c r="D1509" t="s">
        <v>80</v>
      </c>
      <c r="E1509">
        <v>4</v>
      </c>
      <c r="F1509" t="s">
        <v>9</v>
      </c>
      <c r="G1509" t="s">
        <v>51</v>
      </c>
      <c r="H1509" t="s">
        <v>397</v>
      </c>
      <c r="I1509" s="3" t="s">
        <v>139</v>
      </c>
      <c r="J1509" t="s">
        <v>66</v>
      </c>
      <c r="K1509" s="15">
        <v>600000</v>
      </c>
      <c r="L1509" s="5" t="str">
        <f t="shared" si="23"/>
        <v>0 - 4</v>
      </c>
    </row>
    <row r="1510" spans="3:12" hidden="1">
      <c r="C1510" t="s">
        <v>31</v>
      </c>
      <c r="D1510" t="s">
        <v>73</v>
      </c>
      <c r="E1510">
        <v>4</v>
      </c>
      <c r="F1510" t="s">
        <v>9</v>
      </c>
      <c r="G1510" t="s">
        <v>57</v>
      </c>
      <c r="H1510" t="s">
        <v>397</v>
      </c>
      <c r="I1510" s="3" t="s">
        <v>220</v>
      </c>
      <c r="J1510" t="s">
        <v>54</v>
      </c>
      <c r="K1510" s="15">
        <v>760000</v>
      </c>
      <c r="L1510" s="5" t="str">
        <f t="shared" si="23"/>
        <v>0 - 4</v>
      </c>
    </row>
    <row r="1511" spans="3:12" hidden="1">
      <c r="C1511" t="s">
        <v>31</v>
      </c>
      <c r="D1511" t="s">
        <v>73</v>
      </c>
      <c r="E1511">
        <v>3</v>
      </c>
      <c r="F1511" t="s">
        <v>9</v>
      </c>
      <c r="G1511" t="s">
        <v>57</v>
      </c>
      <c r="H1511" t="s">
        <v>397</v>
      </c>
      <c r="I1511" s="3" t="s">
        <v>85</v>
      </c>
      <c r="J1511" t="s">
        <v>66</v>
      </c>
      <c r="K1511" s="15">
        <v>650000</v>
      </c>
      <c r="L1511" s="5" t="str">
        <f t="shared" si="23"/>
        <v>0 - 4</v>
      </c>
    </row>
    <row r="1512" spans="3:12" hidden="1">
      <c r="C1512" t="s">
        <v>31</v>
      </c>
      <c r="D1512" t="s">
        <v>49</v>
      </c>
      <c r="E1512">
        <v>3</v>
      </c>
      <c r="F1512" t="s">
        <v>9</v>
      </c>
      <c r="G1512" t="s">
        <v>51</v>
      </c>
      <c r="H1512" t="s">
        <v>397</v>
      </c>
      <c r="I1512" s="3" t="s">
        <v>85</v>
      </c>
      <c r="J1512" t="s">
        <v>54</v>
      </c>
      <c r="K1512" s="15">
        <v>650000</v>
      </c>
      <c r="L1512" s="5" t="str">
        <f t="shared" si="23"/>
        <v>0 - 4</v>
      </c>
    </row>
    <row r="1513" spans="3:12" hidden="1">
      <c r="C1513" t="s">
        <v>31</v>
      </c>
      <c r="D1513" t="s">
        <v>55</v>
      </c>
      <c r="E1513">
        <v>3</v>
      </c>
      <c r="F1513" t="s">
        <v>9</v>
      </c>
      <c r="G1513" t="s">
        <v>51</v>
      </c>
      <c r="H1513" t="s">
        <v>397</v>
      </c>
      <c r="I1513" s="3" t="s">
        <v>75</v>
      </c>
      <c r="J1513" t="s">
        <v>66</v>
      </c>
      <c r="K1513" s="15">
        <v>710000</v>
      </c>
      <c r="L1513" s="5" t="str">
        <f t="shared" si="23"/>
        <v>0 - 4</v>
      </c>
    </row>
    <row r="1514" spans="3:12" hidden="1">
      <c r="C1514" t="s">
        <v>31</v>
      </c>
      <c r="D1514" t="s">
        <v>73</v>
      </c>
      <c r="E1514">
        <v>2</v>
      </c>
      <c r="F1514" t="s">
        <v>9</v>
      </c>
      <c r="G1514" t="s">
        <v>57</v>
      </c>
      <c r="H1514" t="s">
        <v>397</v>
      </c>
      <c r="I1514" s="3" t="s">
        <v>113</v>
      </c>
      <c r="J1514" t="s">
        <v>54</v>
      </c>
      <c r="K1514" s="15">
        <v>590000</v>
      </c>
      <c r="L1514" s="5" t="str">
        <f t="shared" si="23"/>
        <v>0 - 4</v>
      </c>
    </row>
    <row r="1515" spans="3:12" hidden="1">
      <c r="C1515" t="s">
        <v>31</v>
      </c>
      <c r="D1515" t="s">
        <v>73</v>
      </c>
      <c r="E1515">
        <v>0</v>
      </c>
      <c r="F1515" t="s">
        <v>9</v>
      </c>
      <c r="G1515" t="s">
        <v>57</v>
      </c>
      <c r="H1515" t="s">
        <v>397</v>
      </c>
      <c r="I1515" s="3" t="s">
        <v>94</v>
      </c>
      <c r="J1515" t="s">
        <v>54</v>
      </c>
      <c r="K1515" s="15">
        <v>550000</v>
      </c>
      <c r="L1515" s="5" t="str">
        <f t="shared" si="23"/>
        <v>0 - 4</v>
      </c>
    </row>
    <row r="1516" spans="3:12" hidden="1">
      <c r="C1516" t="s">
        <v>31</v>
      </c>
      <c r="D1516" t="s">
        <v>56</v>
      </c>
      <c r="E1516">
        <v>40</v>
      </c>
      <c r="F1516" t="s">
        <v>10</v>
      </c>
      <c r="G1516" t="s">
        <v>51</v>
      </c>
      <c r="H1516" t="s">
        <v>397</v>
      </c>
      <c r="I1516" s="36" t="s">
        <v>202</v>
      </c>
      <c r="J1516" t="s">
        <v>54</v>
      </c>
      <c r="K1516" s="15">
        <v>1040000</v>
      </c>
      <c r="L1516" s="5" t="str">
        <f t="shared" si="23"/>
        <v>15 +</v>
      </c>
    </row>
    <row r="1517" spans="3:12" hidden="1">
      <c r="C1517" t="s">
        <v>31</v>
      </c>
      <c r="D1517" t="s">
        <v>55</v>
      </c>
      <c r="E1517">
        <v>31</v>
      </c>
      <c r="F1517" t="s">
        <v>10</v>
      </c>
      <c r="G1517" t="s">
        <v>51</v>
      </c>
      <c r="H1517" t="s">
        <v>397</v>
      </c>
      <c r="I1517" s="36" t="s">
        <v>110</v>
      </c>
      <c r="J1517" t="s">
        <v>54</v>
      </c>
      <c r="K1517" s="15">
        <v>1000000</v>
      </c>
      <c r="L1517" s="5" t="str">
        <f t="shared" si="23"/>
        <v>15 +</v>
      </c>
    </row>
    <row r="1518" spans="3:12" hidden="1">
      <c r="C1518" t="s">
        <v>31</v>
      </c>
      <c r="D1518" t="s">
        <v>73</v>
      </c>
      <c r="E1518">
        <v>30</v>
      </c>
      <c r="F1518" t="s">
        <v>10</v>
      </c>
      <c r="G1518" t="s">
        <v>59</v>
      </c>
      <c r="H1518" t="s">
        <v>397</v>
      </c>
      <c r="I1518" s="36" t="s">
        <v>329</v>
      </c>
      <c r="J1518" t="s">
        <v>66</v>
      </c>
      <c r="K1518" s="15">
        <v>2200000</v>
      </c>
      <c r="L1518" s="5" t="str">
        <f t="shared" si="23"/>
        <v>15 +</v>
      </c>
    </row>
    <row r="1519" spans="3:12" hidden="1">
      <c r="C1519" t="s">
        <v>31</v>
      </c>
      <c r="D1519" t="s">
        <v>56</v>
      </c>
      <c r="E1519">
        <v>26</v>
      </c>
      <c r="F1519" t="s">
        <v>10</v>
      </c>
      <c r="G1519" t="s">
        <v>51</v>
      </c>
      <c r="H1519" t="s">
        <v>397</v>
      </c>
      <c r="I1519" s="36" t="s">
        <v>193</v>
      </c>
      <c r="J1519" t="s">
        <v>54</v>
      </c>
      <c r="K1519" s="15">
        <v>990000</v>
      </c>
      <c r="L1519" s="5" t="str">
        <f t="shared" si="23"/>
        <v>15 +</v>
      </c>
    </row>
    <row r="1520" spans="3:12" hidden="1">
      <c r="C1520" t="s">
        <v>31</v>
      </c>
      <c r="D1520" t="s">
        <v>73</v>
      </c>
      <c r="E1520">
        <v>26</v>
      </c>
      <c r="F1520" t="s">
        <v>10</v>
      </c>
      <c r="G1520" t="s">
        <v>59</v>
      </c>
      <c r="H1520" t="s">
        <v>397</v>
      </c>
      <c r="I1520" s="36" t="s">
        <v>173</v>
      </c>
      <c r="J1520" t="s">
        <v>54</v>
      </c>
      <c r="K1520" s="15">
        <v>1250000</v>
      </c>
      <c r="L1520" s="5" t="str">
        <f t="shared" si="23"/>
        <v>15 +</v>
      </c>
    </row>
    <row r="1521" spans="3:12" hidden="1">
      <c r="C1521" t="s">
        <v>30</v>
      </c>
      <c r="D1521" t="s">
        <v>55</v>
      </c>
      <c r="E1521">
        <v>25</v>
      </c>
      <c r="F1521" t="s">
        <v>10</v>
      </c>
      <c r="G1521" t="s">
        <v>59</v>
      </c>
      <c r="H1521" t="s">
        <v>397</v>
      </c>
      <c r="I1521" s="36" t="s">
        <v>96</v>
      </c>
      <c r="J1521" t="s">
        <v>66</v>
      </c>
      <c r="K1521" s="15">
        <v>780000</v>
      </c>
      <c r="L1521" s="5" t="str">
        <f t="shared" si="23"/>
        <v>15 +</v>
      </c>
    </row>
    <row r="1522" spans="3:12" hidden="1">
      <c r="C1522" t="s">
        <v>31</v>
      </c>
      <c r="D1522" t="s">
        <v>73</v>
      </c>
      <c r="E1522">
        <v>25</v>
      </c>
      <c r="F1522" t="s">
        <v>10</v>
      </c>
      <c r="G1522" t="s">
        <v>51</v>
      </c>
      <c r="H1522" t="s">
        <v>397</v>
      </c>
      <c r="I1522" s="36" t="s">
        <v>85</v>
      </c>
      <c r="J1522" t="s">
        <v>54</v>
      </c>
      <c r="K1522" s="15">
        <v>650000</v>
      </c>
      <c r="L1522" s="5" t="str">
        <f t="shared" si="23"/>
        <v>15 +</v>
      </c>
    </row>
    <row r="1523" spans="3:12" hidden="1">
      <c r="C1523" t="s">
        <v>31</v>
      </c>
      <c r="D1523" t="s">
        <v>73</v>
      </c>
      <c r="E1523">
        <v>25</v>
      </c>
      <c r="F1523" t="s">
        <v>10</v>
      </c>
      <c r="G1523" t="s">
        <v>51</v>
      </c>
      <c r="H1523" t="s">
        <v>397</v>
      </c>
      <c r="I1523" s="36" t="s">
        <v>159</v>
      </c>
      <c r="J1523" t="s">
        <v>54</v>
      </c>
      <c r="K1523" s="15">
        <v>680000</v>
      </c>
      <c r="L1523" s="5" t="str">
        <f t="shared" si="23"/>
        <v>15 +</v>
      </c>
    </row>
    <row r="1524" spans="3:12" hidden="1">
      <c r="C1524" t="s">
        <v>31</v>
      </c>
      <c r="D1524" t="s">
        <v>73</v>
      </c>
      <c r="E1524">
        <v>25</v>
      </c>
      <c r="F1524" t="s">
        <v>10</v>
      </c>
      <c r="G1524" t="s">
        <v>51</v>
      </c>
      <c r="H1524" t="s">
        <v>397</v>
      </c>
      <c r="I1524" s="36" t="s">
        <v>72</v>
      </c>
      <c r="J1524" t="s">
        <v>54</v>
      </c>
      <c r="K1524" s="15">
        <v>850000</v>
      </c>
      <c r="L1524" s="5" t="str">
        <f t="shared" si="23"/>
        <v>15 +</v>
      </c>
    </row>
    <row r="1525" spans="3:12" hidden="1">
      <c r="C1525" t="s">
        <v>31</v>
      </c>
      <c r="D1525" t="s">
        <v>56</v>
      </c>
      <c r="E1525">
        <v>25</v>
      </c>
      <c r="F1525" t="s">
        <v>10</v>
      </c>
      <c r="G1525" t="s">
        <v>51</v>
      </c>
      <c r="H1525" t="s">
        <v>397</v>
      </c>
      <c r="I1525" s="36" t="s">
        <v>235</v>
      </c>
      <c r="J1525" t="s">
        <v>54</v>
      </c>
      <c r="K1525" s="15">
        <v>1020000</v>
      </c>
      <c r="L1525" s="5" t="str">
        <f t="shared" si="23"/>
        <v>15 +</v>
      </c>
    </row>
    <row r="1526" spans="3:12" hidden="1">
      <c r="C1526" t="s">
        <v>31</v>
      </c>
      <c r="D1526" t="s">
        <v>55</v>
      </c>
      <c r="E1526">
        <v>25</v>
      </c>
      <c r="F1526" t="s">
        <v>10</v>
      </c>
      <c r="G1526" t="s">
        <v>51</v>
      </c>
      <c r="H1526" t="s">
        <v>397</v>
      </c>
      <c r="I1526" s="36" t="s">
        <v>106</v>
      </c>
      <c r="J1526" t="s">
        <v>54</v>
      </c>
      <c r="K1526" s="15">
        <v>1100000</v>
      </c>
      <c r="L1526" s="5" t="str">
        <f t="shared" si="23"/>
        <v>15 +</v>
      </c>
    </row>
    <row r="1527" spans="3:12" hidden="1">
      <c r="C1527" t="s">
        <v>31</v>
      </c>
      <c r="D1527" t="s">
        <v>73</v>
      </c>
      <c r="E1527">
        <v>25</v>
      </c>
      <c r="F1527" t="s">
        <v>10</v>
      </c>
      <c r="G1527" t="s">
        <v>59</v>
      </c>
      <c r="H1527" t="s">
        <v>397</v>
      </c>
      <c r="I1527" s="36" t="s">
        <v>196</v>
      </c>
      <c r="J1527" t="s">
        <v>66</v>
      </c>
      <c r="K1527" s="15">
        <v>1700000</v>
      </c>
      <c r="L1527" s="5" t="str">
        <f t="shared" si="23"/>
        <v>15 +</v>
      </c>
    </row>
    <row r="1528" spans="3:12" hidden="1">
      <c r="C1528" t="s">
        <v>30</v>
      </c>
      <c r="D1528" t="s">
        <v>55</v>
      </c>
      <c r="E1528">
        <v>24</v>
      </c>
      <c r="F1528" t="s">
        <v>10</v>
      </c>
      <c r="G1528" t="s">
        <v>51</v>
      </c>
      <c r="H1528" t="s">
        <v>397</v>
      </c>
      <c r="I1528" s="36" t="s">
        <v>225</v>
      </c>
      <c r="J1528" t="s">
        <v>54</v>
      </c>
      <c r="K1528" s="15">
        <v>766000</v>
      </c>
      <c r="L1528" s="5" t="str">
        <f t="shared" si="23"/>
        <v>15 +</v>
      </c>
    </row>
    <row r="1529" spans="3:12" hidden="1">
      <c r="C1529" t="s">
        <v>31</v>
      </c>
      <c r="D1529" t="s">
        <v>73</v>
      </c>
      <c r="E1529">
        <v>24</v>
      </c>
      <c r="F1529" t="s">
        <v>10</v>
      </c>
      <c r="G1529" t="s">
        <v>59</v>
      </c>
      <c r="H1529" t="s">
        <v>397</v>
      </c>
      <c r="I1529" s="36" t="s">
        <v>110</v>
      </c>
      <c r="J1529" t="s">
        <v>54</v>
      </c>
      <c r="K1529" s="15">
        <v>1000000</v>
      </c>
      <c r="L1529" s="5" t="str">
        <f t="shared" si="23"/>
        <v>15 +</v>
      </c>
    </row>
    <row r="1530" spans="3:12" hidden="1">
      <c r="C1530" t="s">
        <v>31</v>
      </c>
      <c r="D1530" t="s">
        <v>49</v>
      </c>
      <c r="E1530">
        <v>24</v>
      </c>
      <c r="F1530" t="s">
        <v>10</v>
      </c>
      <c r="G1530" t="s">
        <v>57</v>
      </c>
      <c r="H1530" t="s">
        <v>397</v>
      </c>
      <c r="I1530" s="36" t="s">
        <v>110</v>
      </c>
      <c r="J1530" t="s">
        <v>54</v>
      </c>
      <c r="K1530" s="15">
        <v>1000000</v>
      </c>
      <c r="L1530" s="5" t="str">
        <f t="shared" si="23"/>
        <v>15 +</v>
      </c>
    </row>
    <row r="1531" spans="3:12" hidden="1">
      <c r="C1531" t="s">
        <v>31</v>
      </c>
      <c r="D1531" t="s">
        <v>67</v>
      </c>
      <c r="E1531">
        <v>24</v>
      </c>
      <c r="F1531" t="s">
        <v>10</v>
      </c>
      <c r="G1531" t="s">
        <v>59</v>
      </c>
      <c r="H1531" t="s">
        <v>397</v>
      </c>
      <c r="I1531" s="36" t="s">
        <v>104</v>
      </c>
      <c r="J1531" t="s">
        <v>54</v>
      </c>
      <c r="K1531" s="15">
        <v>1300000</v>
      </c>
      <c r="L1531" s="5" t="str">
        <f t="shared" si="23"/>
        <v>15 +</v>
      </c>
    </row>
    <row r="1532" spans="3:12" hidden="1">
      <c r="C1532" t="s">
        <v>31</v>
      </c>
      <c r="D1532" t="s">
        <v>73</v>
      </c>
      <c r="E1532">
        <v>24</v>
      </c>
      <c r="F1532" t="s">
        <v>10</v>
      </c>
      <c r="G1532" t="s">
        <v>127</v>
      </c>
      <c r="H1532" t="s">
        <v>397</v>
      </c>
      <c r="I1532" s="36" t="s">
        <v>97</v>
      </c>
      <c r="J1532" t="s">
        <v>66</v>
      </c>
      <c r="K1532" s="15">
        <v>1800000</v>
      </c>
      <c r="L1532" s="5" t="str">
        <f t="shared" si="23"/>
        <v>15 +</v>
      </c>
    </row>
    <row r="1533" spans="3:12" hidden="1">
      <c r="C1533" t="s">
        <v>31</v>
      </c>
      <c r="D1533" t="s">
        <v>55</v>
      </c>
      <c r="E1533">
        <v>24</v>
      </c>
      <c r="F1533" t="s">
        <v>10</v>
      </c>
      <c r="G1533" t="s">
        <v>127</v>
      </c>
      <c r="H1533" t="s">
        <v>397</v>
      </c>
      <c r="I1533" s="36" t="s">
        <v>187</v>
      </c>
      <c r="J1533" t="s">
        <v>54</v>
      </c>
      <c r="K1533" s="15">
        <v>1900000</v>
      </c>
      <c r="L1533" s="5" t="str">
        <f t="shared" si="23"/>
        <v>15 +</v>
      </c>
    </row>
    <row r="1534" spans="3:12" hidden="1">
      <c r="C1534" t="s">
        <v>31</v>
      </c>
      <c r="D1534" t="s">
        <v>67</v>
      </c>
      <c r="E1534">
        <v>24</v>
      </c>
      <c r="F1534" t="s">
        <v>10</v>
      </c>
      <c r="G1534" t="s">
        <v>59</v>
      </c>
      <c r="H1534" t="s">
        <v>397</v>
      </c>
      <c r="I1534" s="36" t="s">
        <v>408</v>
      </c>
      <c r="J1534" t="s">
        <v>66</v>
      </c>
      <c r="K1534" s="15">
        <v>2300000</v>
      </c>
      <c r="L1534" s="5" t="str">
        <f t="shared" si="23"/>
        <v>15 +</v>
      </c>
    </row>
    <row r="1535" spans="3:12" hidden="1">
      <c r="C1535" t="s">
        <v>30</v>
      </c>
      <c r="D1535" t="s">
        <v>73</v>
      </c>
      <c r="E1535">
        <v>22</v>
      </c>
      <c r="F1535" t="s">
        <v>10</v>
      </c>
      <c r="G1535" t="s">
        <v>57</v>
      </c>
      <c r="H1535" t="s">
        <v>397</v>
      </c>
      <c r="I1535" s="36" t="s">
        <v>409</v>
      </c>
      <c r="J1535" t="s">
        <v>54</v>
      </c>
      <c r="K1535" s="15">
        <v>1021000</v>
      </c>
      <c r="L1535" s="5" t="str">
        <f t="shared" si="23"/>
        <v>15 +</v>
      </c>
    </row>
    <row r="1536" spans="3:12" hidden="1">
      <c r="C1536" t="s">
        <v>31</v>
      </c>
      <c r="D1536" t="s">
        <v>55</v>
      </c>
      <c r="E1536">
        <v>21</v>
      </c>
      <c r="F1536" t="s">
        <v>10</v>
      </c>
      <c r="G1536" t="s">
        <v>59</v>
      </c>
      <c r="H1536" t="s">
        <v>397</v>
      </c>
      <c r="I1536" s="36" t="s">
        <v>184</v>
      </c>
      <c r="J1536" t="s">
        <v>66</v>
      </c>
      <c r="K1536" s="15">
        <v>1350000</v>
      </c>
      <c r="L1536" s="5" t="str">
        <f t="shared" si="23"/>
        <v>15 +</v>
      </c>
    </row>
    <row r="1537" spans="3:12" hidden="1">
      <c r="C1537" t="s">
        <v>31</v>
      </c>
      <c r="D1537" t="s">
        <v>55</v>
      </c>
      <c r="E1537">
        <v>20</v>
      </c>
      <c r="F1537" t="s">
        <v>10</v>
      </c>
      <c r="G1537" t="s">
        <v>51</v>
      </c>
      <c r="H1537" t="s">
        <v>397</v>
      </c>
      <c r="I1537" s="36" t="s">
        <v>70</v>
      </c>
      <c r="J1537" t="s">
        <v>54</v>
      </c>
      <c r="K1537" s="15">
        <v>910000</v>
      </c>
      <c r="L1537" s="5" t="str">
        <f t="shared" si="23"/>
        <v>15 +</v>
      </c>
    </row>
    <row r="1538" spans="3:12" hidden="1">
      <c r="C1538" t="s">
        <v>31</v>
      </c>
      <c r="D1538" t="s">
        <v>73</v>
      </c>
      <c r="E1538">
        <v>20</v>
      </c>
      <c r="F1538" t="s">
        <v>10</v>
      </c>
      <c r="G1538" t="s">
        <v>51</v>
      </c>
      <c r="H1538" t="s">
        <v>397</v>
      </c>
      <c r="I1538" s="36" t="s">
        <v>130</v>
      </c>
      <c r="J1538" t="s">
        <v>54</v>
      </c>
      <c r="K1538" s="15">
        <v>950000</v>
      </c>
      <c r="L1538" s="5" t="str">
        <f t="shared" si="23"/>
        <v>15 +</v>
      </c>
    </row>
    <row r="1539" spans="3:12" hidden="1">
      <c r="C1539" t="s">
        <v>31</v>
      </c>
      <c r="D1539" t="s">
        <v>67</v>
      </c>
      <c r="E1539">
        <v>20</v>
      </c>
      <c r="F1539" t="s">
        <v>10</v>
      </c>
      <c r="G1539" t="s">
        <v>57</v>
      </c>
      <c r="H1539" t="s">
        <v>397</v>
      </c>
      <c r="I1539" s="36" t="s">
        <v>298</v>
      </c>
      <c r="J1539" t="s">
        <v>54</v>
      </c>
      <c r="K1539" s="15">
        <v>975000</v>
      </c>
      <c r="L1539" s="5" t="str">
        <f t="shared" ref="L1539:L1602" si="24">_xlfn.XLOOKUP(E1539,$P$2:$P$5,$O$2:$O$5,,1)</f>
        <v>15 +</v>
      </c>
    </row>
    <row r="1540" spans="3:12" hidden="1">
      <c r="C1540" t="s">
        <v>31</v>
      </c>
      <c r="D1540" t="s">
        <v>67</v>
      </c>
      <c r="E1540">
        <v>20</v>
      </c>
      <c r="F1540" t="s">
        <v>10</v>
      </c>
      <c r="G1540" t="s">
        <v>51</v>
      </c>
      <c r="H1540" t="s">
        <v>397</v>
      </c>
      <c r="I1540" s="36" t="s">
        <v>148</v>
      </c>
      <c r="J1540" t="s">
        <v>54</v>
      </c>
      <c r="K1540" s="15">
        <v>1050000</v>
      </c>
      <c r="L1540" s="5" t="str">
        <f t="shared" si="24"/>
        <v>15 +</v>
      </c>
    </row>
    <row r="1541" spans="3:12" hidden="1">
      <c r="C1541" t="s">
        <v>31</v>
      </c>
      <c r="D1541" t="s">
        <v>55</v>
      </c>
      <c r="E1541">
        <v>20</v>
      </c>
      <c r="F1541" t="s">
        <v>10</v>
      </c>
      <c r="G1541" t="s">
        <v>59</v>
      </c>
      <c r="H1541" t="s">
        <v>397</v>
      </c>
      <c r="I1541" s="36" t="s">
        <v>129</v>
      </c>
      <c r="J1541" t="s">
        <v>54</v>
      </c>
      <c r="K1541" s="15">
        <v>1150000</v>
      </c>
      <c r="L1541" s="5" t="str">
        <f t="shared" si="24"/>
        <v>15 +</v>
      </c>
    </row>
    <row r="1542" spans="3:12" hidden="1">
      <c r="C1542" t="s">
        <v>31</v>
      </c>
      <c r="D1542" t="s">
        <v>77</v>
      </c>
      <c r="E1542">
        <v>20</v>
      </c>
      <c r="F1542" t="s">
        <v>10</v>
      </c>
      <c r="G1542" t="s">
        <v>127</v>
      </c>
      <c r="H1542" t="s">
        <v>397</v>
      </c>
      <c r="I1542" s="36" t="s">
        <v>61</v>
      </c>
      <c r="J1542" t="s">
        <v>54</v>
      </c>
      <c r="K1542" s="15">
        <v>1200000</v>
      </c>
      <c r="L1542" s="5" t="str">
        <f t="shared" si="24"/>
        <v>15 +</v>
      </c>
    </row>
    <row r="1543" spans="3:12" hidden="1">
      <c r="C1543" t="s">
        <v>31</v>
      </c>
      <c r="D1543" t="s">
        <v>49</v>
      </c>
      <c r="E1543">
        <v>20</v>
      </c>
      <c r="F1543" t="s">
        <v>10</v>
      </c>
      <c r="G1543" t="s">
        <v>59</v>
      </c>
      <c r="H1543" t="s">
        <v>397</v>
      </c>
      <c r="I1543" s="36" t="s">
        <v>175</v>
      </c>
      <c r="J1543" t="s">
        <v>54</v>
      </c>
      <c r="K1543" s="15">
        <v>1400000</v>
      </c>
      <c r="L1543" s="5" t="str">
        <f t="shared" si="24"/>
        <v>15 +</v>
      </c>
    </row>
    <row r="1544" spans="3:12" hidden="1">
      <c r="C1544" t="s">
        <v>31</v>
      </c>
      <c r="D1544" t="s">
        <v>55</v>
      </c>
      <c r="E1544">
        <v>20</v>
      </c>
      <c r="F1544" t="s">
        <v>10</v>
      </c>
      <c r="G1544" t="s">
        <v>59</v>
      </c>
      <c r="H1544" t="s">
        <v>397</v>
      </c>
      <c r="I1544" s="36" t="s">
        <v>182</v>
      </c>
      <c r="J1544" t="s">
        <v>66</v>
      </c>
      <c r="K1544" s="15">
        <v>1450000</v>
      </c>
      <c r="L1544" s="5" t="str">
        <f t="shared" si="24"/>
        <v>15 +</v>
      </c>
    </row>
    <row r="1545" spans="3:12" hidden="1">
      <c r="C1545" t="s">
        <v>31</v>
      </c>
      <c r="D1545" t="s">
        <v>91</v>
      </c>
      <c r="E1545">
        <v>19</v>
      </c>
      <c r="F1545" t="s">
        <v>10</v>
      </c>
      <c r="G1545" t="s">
        <v>59</v>
      </c>
      <c r="H1545" t="s">
        <v>397</v>
      </c>
      <c r="I1545" s="36" t="s">
        <v>181</v>
      </c>
      <c r="J1545" t="s">
        <v>66</v>
      </c>
      <c r="K1545" s="15">
        <v>1030000</v>
      </c>
      <c r="L1545" s="5" t="str">
        <f t="shared" si="24"/>
        <v>15 +</v>
      </c>
    </row>
    <row r="1546" spans="3:12" hidden="1">
      <c r="C1546" t="s">
        <v>31</v>
      </c>
      <c r="D1546" t="s">
        <v>55</v>
      </c>
      <c r="E1546">
        <v>19</v>
      </c>
      <c r="F1546" t="s">
        <v>10</v>
      </c>
      <c r="G1546" t="s">
        <v>51</v>
      </c>
      <c r="H1546" t="s">
        <v>397</v>
      </c>
      <c r="I1546" s="36" t="s">
        <v>175</v>
      </c>
      <c r="J1546" t="s">
        <v>54</v>
      </c>
      <c r="K1546" s="15">
        <v>1400000</v>
      </c>
      <c r="L1546" s="5" t="str">
        <f t="shared" si="24"/>
        <v>15 +</v>
      </c>
    </row>
    <row r="1547" spans="3:12" hidden="1">
      <c r="C1547" t="s">
        <v>31</v>
      </c>
      <c r="D1547" t="s">
        <v>55</v>
      </c>
      <c r="E1547">
        <v>19</v>
      </c>
      <c r="F1547" t="s">
        <v>10</v>
      </c>
      <c r="G1547" t="s">
        <v>59</v>
      </c>
      <c r="H1547" t="s">
        <v>397</v>
      </c>
      <c r="I1547" s="36" t="s">
        <v>205</v>
      </c>
      <c r="J1547" t="s">
        <v>66</v>
      </c>
      <c r="K1547" s="15">
        <v>2500000</v>
      </c>
      <c r="L1547" s="5" t="str">
        <f t="shared" si="24"/>
        <v>15 +</v>
      </c>
    </row>
    <row r="1548" spans="3:12" hidden="1">
      <c r="C1548" t="s">
        <v>32</v>
      </c>
      <c r="D1548" t="s">
        <v>73</v>
      </c>
      <c r="E1548">
        <v>18</v>
      </c>
      <c r="F1548" t="s">
        <v>10</v>
      </c>
      <c r="G1548" t="s">
        <v>57</v>
      </c>
      <c r="H1548" t="s">
        <v>397</v>
      </c>
      <c r="I1548" s="36" t="s">
        <v>298</v>
      </c>
      <c r="J1548" t="s">
        <v>54</v>
      </c>
      <c r="K1548" s="15">
        <v>975000</v>
      </c>
      <c r="L1548" s="5" t="str">
        <f t="shared" si="24"/>
        <v>15 +</v>
      </c>
    </row>
    <row r="1549" spans="3:12" hidden="1">
      <c r="C1549" t="s">
        <v>30</v>
      </c>
      <c r="D1549" t="s">
        <v>55</v>
      </c>
      <c r="E1549">
        <v>18</v>
      </c>
      <c r="F1549" t="s">
        <v>10</v>
      </c>
      <c r="G1549" t="s">
        <v>59</v>
      </c>
      <c r="H1549" t="s">
        <v>397</v>
      </c>
      <c r="I1549" s="36" t="s">
        <v>106</v>
      </c>
      <c r="J1549" t="s">
        <v>66</v>
      </c>
      <c r="K1549" s="15">
        <v>1100000</v>
      </c>
      <c r="L1549" s="5" t="str">
        <f t="shared" si="24"/>
        <v>15 +</v>
      </c>
    </row>
    <row r="1550" spans="3:12" hidden="1">
      <c r="C1550" t="s">
        <v>30</v>
      </c>
      <c r="D1550" t="s">
        <v>55</v>
      </c>
      <c r="E1550">
        <v>18</v>
      </c>
      <c r="F1550" t="s">
        <v>10</v>
      </c>
      <c r="G1550" t="s">
        <v>59</v>
      </c>
      <c r="H1550" t="s">
        <v>397</v>
      </c>
      <c r="I1550" s="36" t="s">
        <v>175</v>
      </c>
      <c r="J1550" t="s">
        <v>54</v>
      </c>
      <c r="K1550" s="15">
        <v>1400000</v>
      </c>
      <c r="L1550" s="5" t="str">
        <f t="shared" si="24"/>
        <v>15 +</v>
      </c>
    </row>
    <row r="1551" spans="3:12" hidden="1">
      <c r="C1551" t="s">
        <v>31</v>
      </c>
      <c r="D1551" t="s">
        <v>121</v>
      </c>
      <c r="E1551">
        <v>18</v>
      </c>
      <c r="F1551" t="s">
        <v>10</v>
      </c>
      <c r="G1551" t="s">
        <v>51</v>
      </c>
      <c r="H1551" t="s">
        <v>397</v>
      </c>
      <c r="I1551" s="36" t="s">
        <v>410</v>
      </c>
      <c r="J1551" t="s">
        <v>54</v>
      </c>
      <c r="K1551" s="15">
        <v>928000</v>
      </c>
      <c r="L1551" s="5" t="str">
        <f t="shared" si="24"/>
        <v>15 +</v>
      </c>
    </row>
    <row r="1552" spans="3:12" hidden="1">
      <c r="C1552" t="s">
        <v>31</v>
      </c>
      <c r="D1552" t="s">
        <v>73</v>
      </c>
      <c r="E1552">
        <v>18</v>
      </c>
      <c r="F1552" t="s">
        <v>10</v>
      </c>
      <c r="G1552" t="s">
        <v>51</v>
      </c>
      <c r="H1552" t="s">
        <v>397</v>
      </c>
      <c r="I1552" s="36" t="s">
        <v>106</v>
      </c>
      <c r="J1552" t="s">
        <v>54</v>
      </c>
      <c r="K1552" s="15">
        <v>1100000</v>
      </c>
      <c r="L1552" s="5" t="str">
        <f t="shared" si="24"/>
        <v>15 +</v>
      </c>
    </row>
    <row r="1553" spans="3:12" hidden="1">
      <c r="C1553" t="s">
        <v>31</v>
      </c>
      <c r="D1553" t="s">
        <v>49</v>
      </c>
      <c r="E1553">
        <v>18</v>
      </c>
      <c r="F1553" t="s">
        <v>10</v>
      </c>
      <c r="G1553" t="s">
        <v>51</v>
      </c>
      <c r="H1553" t="s">
        <v>397</v>
      </c>
      <c r="I1553" s="36" t="s">
        <v>106</v>
      </c>
      <c r="J1553" t="s">
        <v>54</v>
      </c>
      <c r="K1553" s="15">
        <v>1100000</v>
      </c>
      <c r="L1553" s="5" t="str">
        <f t="shared" si="24"/>
        <v>15 +</v>
      </c>
    </row>
    <row r="1554" spans="3:12" hidden="1">
      <c r="C1554" t="s">
        <v>31</v>
      </c>
      <c r="D1554" t="s">
        <v>55</v>
      </c>
      <c r="E1554">
        <v>18</v>
      </c>
      <c r="F1554" t="s">
        <v>10</v>
      </c>
      <c r="G1554" t="s">
        <v>51</v>
      </c>
      <c r="H1554" t="s">
        <v>397</v>
      </c>
      <c r="I1554" s="36" t="s">
        <v>411</v>
      </c>
      <c r="J1554" t="s">
        <v>66</v>
      </c>
      <c r="K1554" s="15">
        <v>1380000</v>
      </c>
      <c r="L1554" s="5" t="str">
        <f t="shared" si="24"/>
        <v>15 +</v>
      </c>
    </row>
    <row r="1555" spans="3:12" hidden="1">
      <c r="C1555" t="s">
        <v>31</v>
      </c>
      <c r="D1555" t="s">
        <v>62</v>
      </c>
      <c r="E1555">
        <v>18</v>
      </c>
      <c r="F1555" t="s">
        <v>10</v>
      </c>
      <c r="G1555" t="s">
        <v>51</v>
      </c>
      <c r="H1555" t="s">
        <v>397</v>
      </c>
      <c r="I1555" s="36" t="s">
        <v>182</v>
      </c>
      <c r="J1555" t="s">
        <v>66</v>
      </c>
      <c r="K1555" s="15">
        <v>1450000</v>
      </c>
      <c r="L1555" s="5" t="str">
        <f t="shared" si="24"/>
        <v>15 +</v>
      </c>
    </row>
    <row r="1556" spans="3:12" hidden="1">
      <c r="C1556" t="s">
        <v>31</v>
      </c>
      <c r="D1556" t="s">
        <v>73</v>
      </c>
      <c r="E1556">
        <v>18</v>
      </c>
      <c r="F1556" t="s">
        <v>10</v>
      </c>
      <c r="G1556" t="s">
        <v>51</v>
      </c>
      <c r="H1556" t="s">
        <v>397</v>
      </c>
      <c r="I1556" s="36" t="s">
        <v>196</v>
      </c>
      <c r="J1556" t="s">
        <v>66</v>
      </c>
      <c r="K1556" s="15">
        <v>1700000</v>
      </c>
      <c r="L1556" s="5" t="str">
        <f t="shared" si="24"/>
        <v>15 +</v>
      </c>
    </row>
    <row r="1557" spans="3:12" hidden="1">
      <c r="C1557" t="s">
        <v>31</v>
      </c>
      <c r="D1557" t="s">
        <v>55</v>
      </c>
      <c r="E1557">
        <v>18</v>
      </c>
      <c r="F1557" t="s">
        <v>10</v>
      </c>
      <c r="G1557" t="s">
        <v>59</v>
      </c>
      <c r="H1557" t="s">
        <v>397</v>
      </c>
      <c r="I1557" s="36" t="s">
        <v>195</v>
      </c>
      <c r="J1557" t="s">
        <v>54</v>
      </c>
      <c r="K1557" s="15">
        <v>2000000</v>
      </c>
      <c r="L1557" s="5" t="str">
        <f t="shared" si="24"/>
        <v>15 +</v>
      </c>
    </row>
    <row r="1558" spans="3:12" hidden="1">
      <c r="C1558" t="s">
        <v>30</v>
      </c>
      <c r="D1558" t="s">
        <v>55</v>
      </c>
      <c r="E1558">
        <v>17</v>
      </c>
      <c r="F1558" t="s">
        <v>10</v>
      </c>
      <c r="G1558" t="s">
        <v>59</v>
      </c>
      <c r="H1558" t="s">
        <v>397</v>
      </c>
      <c r="I1558" s="36" t="s">
        <v>110</v>
      </c>
      <c r="J1558" t="s">
        <v>66</v>
      </c>
      <c r="K1558" s="15">
        <v>1000000</v>
      </c>
      <c r="L1558" s="5" t="str">
        <f t="shared" si="24"/>
        <v>15 +</v>
      </c>
    </row>
    <row r="1559" spans="3:12" hidden="1">
      <c r="C1559" t="s">
        <v>31</v>
      </c>
      <c r="D1559" t="s">
        <v>73</v>
      </c>
      <c r="E1559">
        <v>17</v>
      </c>
      <c r="F1559" t="s">
        <v>10</v>
      </c>
      <c r="G1559" t="s">
        <v>51</v>
      </c>
      <c r="H1559" t="s">
        <v>397</v>
      </c>
      <c r="I1559" s="36" t="s">
        <v>116</v>
      </c>
      <c r="J1559" t="s">
        <v>54</v>
      </c>
      <c r="K1559" s="15">
        <v>800000</v>
      </c>
      <c r="L1559" s="5" t="str">
        <f t="shared" si="24"/>
        <v>15 +</v>
      </c>
    </row>
    <row r="1560" spans="3:12" hidden="1">
      <c r="C1560" t="s">
        <v>31</v>
      </c>
      <c r="D1560" t="s">
        <v>55</v>
      </c>
      <c r="E1560">
        <v>17</v>
      </c>
      <c r="F1560" t="s">
        <v>10</v>
      </c>
      <c r="G1560" t="s">
        <v>51</v>
      </c>
      <c r="H1560" t="s">
        <v>397</v>
      </c>
      <c r="I1560" s="36" t="s">
        <v>72</v>
      </c>
      <c r="J1560" t="s">
        <v>54</v>
      </c>
      <c r="K1560" s="15">
        <v>850000</v>
      </c>
      <c r="L1560" s="5" t="str">
        <f t="shared" si="24"/>
        <v>15 +</v>
      </c>
    </row>
    <row r="1561" spans="3:12" hidden="1">
      <c r="C1561" t="s">
        <v>31</v>
      </c>
      <c r="D1561" t="s">
        <v>73</v>
      </c>
      <c r="E1561">
        <v>17</v>
      </c>
      <c r="F1561" t="s">
        <v>10</v>
      </c>
      <c r="G1561" t="s">
        <v>57</v>
      </c>
      <c r="H1561" t="s">
        <v>397</v>
      </c>
      <c r="I1561" s="36" t="s">
        <v>412</v>
      </c>
      <c r="J1561" t="s">
        <v>66</v>
      </c>
      <c r="K1561" s="15">
        <v>890700</v>
      </c>
      <c r="L1561" s="5" t="str">
        <f t="shared" si="24"/>
        <v>15 +</v>
      </c>
    </row>
    <row r="1562" spans="3:12" hidden="1">
      <c r="C1562" t="s">
        <v>31</v>
      </c>
      <c r="D1562" t="s">
        <v>73</v>
      </c>
      <c r="E1562">
        <v>17</v>
      </c>
      <c r="F1562" t="s">
        <v>10</v>
      </c>
      <c r="G1562" t="s">
        <v>51</v>
      </c>
      <c r="H1562" t="s">
        <v>397</v>
      </c>
      <c r="I1562" s="36" t="s">
        <v>189</v>
      </c>
      <c r="J1562" t="s">
        <v>54</v>
      </c>
      <c r="K1562" s="15">
        <v>955000</v>
      </c>
      <c r="L1562" s="5" t="str">
        <f t="shared" si="24"/>
        <v>15 +</v>
      </c>
    </row>
    <row r="1563" spans="3:12" hidden="1">
      <c r="C1563" t="s">
        <v>31</v>
      </c>
      <c r="D1563" t="s">
        <v>67</v>
      </c>
      <c r="E1563">
        <v>17</v>
      </c>
      <c r="F1563" t="s">
        <v>10</v>
      </c>
      <c r="G1563" t="s">
        <v>57</v>
      </c>
      <c r="H1563" t="s">
        <v>397</v>
      </c>
      <c r="I1563" s="36" t="s">
        <v>110</v>
      </c>
      <c r="J1563" t="s">
        <v>54</v>
      </c>
      <c r="K1563" s="15">
        <v>1000000</v>
      </c>
      <c r="L1563" s="5" t="str">
        <f t="shared" si="24"/>
        <v>15 +</v>
      </c>
    </row>
    <row r="1564" spans="3:12" hidden="1">
      <c r="C1564" t="s">
        <v>31</v>
      </c>
      <c r="D1564" t="s">
        <v>73</v>
      </c>
      <c r="E1564">
        <v>17</v>
      </c>
      <c r="F1564" t="s">
        <v>10</v>
      </c>
      <c r="G1564" t="s">
        <v>51</v>
      </c>
      <c r="H1564" t="s">
        <v>397</v>
      </c>
      <c r="I1564" s="36" t="s">
        <v>176</v>
      </c>
      <c r="J1564" t="s">
        <v>66</v>
      </c>
      <c r="K1564" s="15">
        <v>1005000</v>
      </c>
      <c r="L1564" s="5" t="str">
        <f t="shared" si="24"/>
        <v>15 +</v>
      </c>
    </row>
    <row r="1565" spans="3:12" hidden="1">
      <c r="C1565" t="s">
        <v>31</v>
      </c>
      <c r="D1565" t="s">
        <v>77</v>
      </c>
      <c r="E1565">
        <v>17</v>
      </c>
      <c r="F1565" t="s">
        <v>10</v>
      </c>
      <c r="G1565" t="s">
        <v>59</v>
      </c>
      <c r="H1565" t="s">
        <v>397</v>
      </c>
      <c r="I1565" s="36" t="s">
        <v>61</v>
      </c>
      <c r="J1565" t="s">
        <v>54</v>
      </c>
      <c r="K1565" s="15">
        <v>1200000</v>
      </c>
      <c r="L1565" s="5" t="str">
        <f t="shared" si="24"/>
        <v>15 +</v>
      </c>
    </row>
    <row r="1566" spans="3:12" hidden="1">
      <c r="C1566" t="s">
        <v>31</v>
      </c>
      <c r="D1566" t="s">
        <v>55</v>
      </c>
      <c r="E1566">
        <v>17</v>
      </c>
      <c r="F1566" t="s">
        <v>10</v>
      </c>
      <c r="G1566" t="s">
        <v>59</v>
      </c>
      <c r="H1566" t="s">
        <v>397</v>
      </c>
      <c r="I1566" s="36" t="s">
        <v>175</v>
      </c>
      <c r="J1566" t="s">
        <v>54</v>
      </c>
      <c r="K1566" s="15">
        <v>1400000</v>
      </c>
      <c r="L1566" s="5" t="str">
        <f t="shared" si="24"/>
        <v>15 +</v>
      </c>
    </row>
    <row r="1567" spans="3:12" hidden="1">
      <c r="C1567" t="s">
        <v>31</v>
      </c>
      <c r="D1567" t="s">
        <v>73</v>
      </c>
      <c r="E1567">
        <v>16</v>
      </c>
      <c r="F1567" t="s">
        <v>10</v>
      </c>
      <c r="G1567" t="s">
        <v>59</v>
      </c>
      <c r="H1567" t="s">
        <v>397</v>
      </c>
      <c r="I1567" s="36" t="s">
        <v>370</v>
      </c>
      <c r="J1567" t="s">
        <v>54</v>
      </c>
      <c r="K1567" s="15">
        <v>849000</v>
      </c>
      <c r="L1567" s="5" t="str">
        <f t="shared" si="24"/>
        <v>15 +</v>
      </c>
    </row>
    <row r="1568" spans="3:12" hidden="1">
      <c r="C1568" t="s">
        <v>31</v>
      </c>
      <c r="D1568" t="s">
        <v>77</v>
      </c>
      <c r="E1568">
        <v>16</v>
      </c>
      <c r="F1568" t="s">
        <v>10</v>
      </c>
      <c r="G1568" t="s">
        <v>51</v>
      </c>
      <c r="H1568" t="s">
        <v>397</v>
      </c>
      <c r="I1568" s="36" t="s">
        <v>106</v>
      </c>
      <c r="J1568" t="s">
        <v>66</v>
      </c>
      <c r="K1568" s="15">
        <v>1100000</v>
      </c>
      <c r="L1568" s="5" t="str">
        <f t="shared" si="24"/>
        <v>15 +</v>
      </c>
    </row>
    <row r="1569" spans="3:12" hidden="1">
      <c r="C1569" t="s">
        <v>31</v>
      </c>
      <c r="D1569" t="s">
        <v>121</v>
      </c>
      <c r="E1569">
        <v>16</v>
      </c>
      <c r="F1569" t="s">
        <v>10</v>
      </c>
      <c r="G1569" t="s">
        <v>59</v>
      </c>
      <c r="H1569" t="s">
        <v>397</v>
      </c>
      <c r="I1569" s="36" t="s">
        <v>106</v>
      </c>
      <c r="J1569" t="s">
        <v>54</v>
      </c>
      <c r="K1569" s="15">
        <v>1100000</v>
      </c>
      <c r="L1569" s="5" t="str">
        <f t="shared" si="24"/>
        <v>15 +</v>
      </c>
    </row>
    <row r="1570" spans="3:12" hidden="1">
      <c r="C1570" t="s">
        <v>31</v>
      </c>
      <c r="D1570" t="s">
        <v>73</v>
      </c>
      <c r="E1570">
        <v>16</v>
      </c>
      <c r="F1570" t="s">
        <v>10</v>
      </c>
      <c r="G1570" t="s">
        <v>59</v>
      </c>
      <c r="H1570" t="s">
        <v>397</v>
      </c>
      <c r="I1570" s="36" t="s">
        <v>236</v>
      </c>
      <c r="J1570" t="s">
        <v>54</v>
      </c>
      <c r="K1570" s="15">
        <v>1190000</v>
      </c>
      <c r="L1570" s="5" t="str">
        <f t="shared" si="24"/>
        <v>15 +</v>
      </c>
    </row>
    <row r="1571" spans="3:12" hidden="1">
      <c r="C1571" t="s">
        <v>31</v>
      </c>
      <c r="D1571" t="s">
        <v>55</v>
      </c>
      <c r="E1571">
        <v>15</v>
      </c>
      <c r="F1571" t="s">
        <v>10</v>
      </c>
      <c r="G1571" t="s">
        <v>59</v>
      </c>
      <c r="H1571" t="s">
        <v>397</v>
      </c>
      <c r="I1571" s="36" t="s">
        <v>139</v>
      </c>
      <c r="J1571" t="s">
        <v>66</v>
      </c>
      <c r="K1571" s="15">
        <v>600000</v>
      </c>
      <c r="L1571" s="5" t="str">
        <f t="shared" si="24"/>
        <v>15 +</v>
      </c>
    </row>
    <row r="1572" spans="3:12" hidden="1">
      <c r="C1572" t="s">
        <v>31</v>
      </c>
      <c r="D1572" t="s">
        <v>55</v>
      </c>
      <c r="E1572">
        <v>15</v>
      </c>
      <c r="F1572" t="s">
        <v>10</v>
      </c>
      <c r="G1572" t="s">
        <v>59</v>
      </c>
      <c r="H1572" t="s">
        <v>397</v>
      </c>
      <c r="I1572" s="36" t="s">
        <v>90</v>
      </c>
      <c r="J1572" t="s">
        <v>66</v>
      </c>
      <c r="K1572" s="15">
        <v>660000</v>
      </c>
      <c r="L1572" s="5" t="str">
        <f t="shared" si="24"/>
        <v>15 +</v>
      </c>
    </row>
    <row r="1573" spans="3:12" hidden="1">
      <c r="C1573" t="s">
        <v>31</v>
      </c>
      <c r="D1573" t="s">
        <v>77</v>
      </c>
      <c r="E1573">
        <v>15</v>
      </c>
      <c r="F1573" t="s">
        <v>10</v>
      </c>
      <c r="G1573" t="s">
        <v>51</v>
      </c>
      <c r="H1573" t="s">
        <v>397</v>
      </c>
      <c r="I1573" s="36" t="s">
        <v>159</v>
      </c>
      <c r="J1573" t="s">
        <v>66</v>
      </c>
      <c r="K1573" s="15">
        <v>680000</v>
      </c>
      <c r="L1573" s="5" t="str">
        <f t="shared" si="24"/>
        <v>15 +</v>
      </c>
    </row>
    <row r="1574" spans="3:12" hidden="1">
      <c r="C1574" t="s">
        <v>31</v>
      </c>
      <c r="D1574" t="s">
        <v>73</v>
      </c>
      <c r="E1574">
        <v>15</v>
      </c>
      <c r="F1574" t="s">
        <v>10</v>
      </c>
      <c r="G1574" t="s">
        <v>51</v>
      </c>
      <c r="H1574" t="s">
        <v>397</v>
      </c>
      <c r="I1574" s="36" t="s">
        <v>108</v>
      </c>
      <c r="J1574" t="s">
        <v>54</v>
      </c>
      <c r="K1574" s="15">
        <v>700000</v>
      </c>
      <c r="L1574" s="5" t="str">
        <f t="shared" si="24"/>
        <v>15 +</v>
      </c>
    </row>
    <row r="1575" spans="3:12" hidden="1">
      <c r="C1575" t="s">
        <v>31</v>
      </c>
      <c r="D1575" t="s">
        <v>56</v>
      </c>
      <c r="E1575">
        <v>15</v>
      </c>
      <c r="F1575" t="s">
        <v>10</v>
      </c>
      <c r="G1575" t="s">
        <v>57</v>
      </c>
      <c r="H1575" t="s">
        <v>397</v>
      </c>
      <c r="I1575" s="36" t="s">
        <v>116</v>
      </c>
      <c r="J1575" t="s">
        <v>54</v>
      </c>
      <c r="K1575" s="15">
        <v>800000</v>
      </c>
      <c r="L1575" s="5" t="str">
        <f t="shared" si="24"/>
        <v>15 +</v>
      </c>
    </row>
    <row r="1576" spans="3:12" hidden="1">
      <c r="C1576" t="s">
        <v>31</v>
      </c>
      <c r="D1576" t="s">
        <v>55</v>
      </c>
      <c r="E1576">
        <v>15</v>
      </c>
      <c r="F1576" t="s">
        <v>10</v>
      </c>
      <c r="G1576" t="s">
        <v>51</v>
      </c>
      <c r="H1576" t="s">
        <v>397</v>
      </c>
      <c r="I1576" s="36" t="s">
        <v>110</v>
      </c>
      <c r="J1576" t="s">
        <v>54</v>
      </c>
      <c r="K1576" s="15">
        <v>1000000</v>
      </c>
      <c r="L1576" s="5" t="str">
        <f t="shared" si="24"/>
        <v>15 +</v>
      </c>
    </row>
    <row r="1577" spans="3:12" hidden="1">
      <c r="C1577" t="s">
        <v>31</v>
      </c>
      <c r="D1577" t="s">
        <v>50</v>
      </c>
      <c r="E1577">
        <v>15</v>
      </c>
      <c r="F1577" t="s">
        <v>10</v>
      </c>
      <c r="G1577" t="s">
        <v>57</v>
      </c>
      <c r="H1577" t="s">
        <v>397</v>
      </c>
      <c r="I1577" s="36" t="s">
        <v>110</v>
      </c>
      <c r="J1577" t="s">
        <v>54</v>
      </c>
      <c r="K1577" s="15">
        <v>1000000</v>
      </c>
      <c r="L1577" s="5" t="str">
        <f t="shared" si="24"/>
        <v>15 +</v>
      </c>
    </row>
    <row r="1578" spans="3:12" hidden="1">
      <c r="C1578" t="s">
        <v>31</v>
      </c>
      <c r="D1578" t="s">
        <v>55</v>
      </c>
      <c r="E1578">
        <v>15</v>
      </c>
      <c r="F1578" t="s">
        <v>10</v>
      </c>
      <c r="G1578" t="s">
        <v>59</v>
      </c>
      <c r="H1578" t="s">
        <v>397</v>
      </c>
      <c r="I1578" s="36" t="s">
        <v>129</v>
      </c>
      <c r="J1578" t="s">
        <v>54</v>
      </c>
      <c r="K1578" s="15">
        <v>1150000</v>
      </c>
      <c r="L1578" s="5" t="str">
        <f t="shared" si="24"/>
        <v>15 +</v>
      </c>
    </row>
    <row r="1579" spans="3:12" hidden="1">
      <c r="C1579" t="s">
        <v>31</v>
      </c>
      <c r="D1579" t="s">
        <v>55</v>
      </c>
      <c r="E1579">
        <v>15</v>
      </c>
      <c r="F1579" t="s">
        <v>10</v>
      </c>
      <c r="G1579" t="s">
        <v>59</v>
      </c>
      <c r="H1579" t="s">
        <v>397</v>
      </c>
      <c r="I1579" s="36" t="s">
        <v>61</v>
      </c>
      <c r="J1579" t="s">
        <v>54</v>
      </c>
      <c r="K1579" s="15">
        <v>1200000</v>
      </c>
      <c r="L1579" s="5" t="str">
        <f t="shared" si="24"/>
        <v>15 +</v>
      </c>
    </row>
    <row r="1580" spans="3:12" hidden="1">
      <c r="C1580" t="s">
        <v>31</v>
      </c>
      <c r="D1580" t="s">
        <v>73</v>
      </c>
      <c r="E1580">
        <v>15</v>
      </c>
      <c r="F1580" t="s">
        <v>10</v>
      </c>
      <c r="G1580" t="s">
        <v>51</v>
      </c>
      <c r="H1580" t="s">
        <v>397</v>
      </c>
      <c r="I1580" s="36" t="s">
        <v>182</v>
      </c>
      <c r="J1580" t="s">
        <v>54</v>
      </c>
      <c r="K1580" s="15">
        <v>1450000</v>
      </c>
      <c r="L1580" s="5" t="str">
        <f t="shared" si="24"/>
        <v>15 +</v>
      </c>
    </row>
    <row r="1581" spans="3:12" hidden="1">
      <c r="C1581" t="s">
        <v>31</v>
      </c>
      <c r="D1581" t="s">
        <v>77</v>
      </c>
      <c r="E1581">
        <v>15</v>
      </c>
      <c r="F1581" t="s">
        <v>10</v>
      </c>
      <c r="G1581" t="s">
        <v>127</v>
      </c>
      <c r="H1581" t="s">
        <v>397</v>
      </c>
      <c r="I1581" s="36" t="s">
        <v>408</v>
      </c>
      <c r="J1581" t="s">
        <v>54</v>
      </c>
      <c r="K1581" s="15">
        <v>2300000</v>
      </c>
      <c r="L1581" s="5" t="str">
        <f t="shared" si="24"/>
        <v>15 +</v>
      </c>
    </row>
    <row r="1582" spans="3:12" hidden="1">
      <c r="C1582" t="s">
        <v>32</v>
      </c>
      <c r="D1582" t="s">
        <v>49</v>
      </c>
      <c r="E1582">
        <v>14</v>
      </c>
      <c r="F1582" t="s">
        <v>10</v>
      </c>
      <c r="G1582" t="s">
        <v>51</v>
      </c>
      <c r="H1582" t="s">
        <v>397</v>
      </c>
      <c r="I1582" s="3" t="s">
        <v>148</v>
      </c>
      <c r="J1582" t="s">
        <v>66</v>
      </c>
      <c r="K1582" s="15">
        <v>1050000</v>
      </c>
      <c r="L1582" s="5" t="str">
        <f t="shared" si="24"/>
        <v>9 - 14</v>
      </c>
    </row>
    <row r="1583" spans="3:12" hidden="1">
      <c r="C1583" t="s">
        <v>30</v>
      </c>
      <c r="D1583" t="s">
        <v>55</v>
      </c>
      <c r="E1583">
        <v>14</v>
      </c>
      <c r="F1583" t="s">
        <v>10</v>
      </c>
      <c r="G1583" t="s">
        <v>59</v>
      </c>
      <c r="H1583" t="s">
        <v>397</v>
      </c>
      <c r="I1583" s="3" t="s">
        <v>413</v>
      </c>
      <c r="J1583" t="s">
        <v>54</v>
      </c>
      <c r="K1583" s="15">
        <v>1145000</v>
      </c>
      <c r="L1583" s="5" t="str">
        <f t="shared" si="24"/>
        <v>9 - 14</v>
      </c>
    </row>
    <row r="1584" spans="3:12" hidden="1">
      <c r="C1584" t="s">
        <v>31</v>
      </c>
      <c r="D1584" t="s">
        <v>55</v>
      </c>
      <c r="E1584">
        <v>14</v>
      </c>
      <c r="F1584" t="s">
        <v>10</v>
      </c>
      <c r="G1584" t="s">
        <v>57</v>
      </c>
      <c r="H1584" t="s">
        <v>397</v>
      </c>
      <c r="I1584" s="3" t="s">
        <v>343</v>
      </c>
      <c r="J1584" t="s">
        <v>54</v>
      </c>
      <c r="K1584" s="15">
        <v>972000</v>
      </c>
      <c r="L1584" s="5" t="str">
        <f t="shared" si="24"/>
        <v>9 - 14</v>
      </c>
    </row>
    <row r="1585" spans="3:12" hidden="1">
      <c r="C1585" t="s">
        <v>31</v>
      </c>
      <c r="D1585" t="s">
        <v>73</v>
      </c>
      <c r="E1585">
        <v>14</v>
      </c>
      <c r="F1585" t="s">
        <v>10</v>
      </c>
      <c r="G1585" t="s">
        <v>57</v>
      </c>
      <c r="H1585" t="s">
        <v>397</v>
      </c>
      <c r="I1585" s="3" t="s">
        <v>209</v>
      </c>
      <c r="J1585" t="s">
        <v>54</v>
      </c>
      <c r="K1585" s="15">
        <v>1010000</v>
      </c>
      <c r="L1585" s="5" t="str">
        <f t="shared" si="24"/>
        <v>9 - 14</v>
      </c>
    </row>
    <row r="1586" spans="3:12" hidden="1">
      <c r="C1586" t="s">
        <v>31</v>
      </c>
      <c r="D1586" t="s">
        <v>73</v>
      </c>
      <c r="E1586">
        <v>14</v>
      </c>
      <c r="F1586" t="s">
        <v>10</v>
      </c>
      <c r="G1586" t="s">
        <v>59</v>
      </c>
      <c r="H1586" t="s">
        <v>397</v>
      </c>
      <c r="I1586" s="3" t="s">
        <v>346</v>
      </c>
      <c r="J1586" t="s">
        <v>66</v>
      </c>
      <c r="K1586" s="15">
        <v>1075000</v>
      </c>
      <c r="L1586" s="5" t="str">
        <f t="shared" si="24"/>
        <v>9 - 14</v>
      </c>
    </row>
    <row r="1587" spans="3:12" hidden="1">
      <c r="C1587" t="s">
        <v>31</v>
      </c>
      <c r="D1587" t="s">
        <v>50</v>
      </c>
      <c r="E1587">
        <v>14</v>
      </c>
      <c r="F1587" t="s">
        <v>10</v>
      </c>
      <c r="G1587" t="s">
        <v>59</v>
      </c>
      <c r="H1587" t="s">
        <v>397</v>
      </c>
      <c r="I1587" s="3" t="s">
        <v>61</v>
      </c>
      <c r="J1587" t="s">
        <v>54</v>
      </c>
      <c r="K1587" s="15">
        <v>1200000</v>
      </c>
      <c r="L1587" s="5" t="str">
        <f t="shared" si="24"/>
        <v>9 - 14</v>
      </c>
    </row>
    <row r="1588" spans="3:12" hidden="1">
      <c r="C1588" t="s">
        <v>31</v>
      </c>
      <c r="D1588" t="s">
        <v>73</v>
      </c>
      <c r="E1588">
        <v>14</v>
      </c>
      <c r="F1588" t="s">
        <v>10</v>
      </c>
      <c r="G1588" t="s">
        <v>51</v>
      </c>
      <c r="H1588" t="s">
        <v>397</v>
      </c>
      <c r="I1588" s="3" t="s">
        <v>184</v>
      </c>
      <c r="J1588" t="s">
        <v>54</v>
      </c>
      <c r="K1588" s="15">
        <v>1350000</v>
      </c>
      <c r="L1588" s="5" t="str">
        <f t="shared" si="24"/>
        <v>9 - 14</v>
      </c>
    </row>
    <row r="1589" spans="3:12" hidden="1">
      <c r="C1589" t="s">
        <v>31</v>
      </c>
      <c r="D1589" t="s">
        <v>55</v>
      </c>
      <c r="E1589">
        <v>14</v>
      </c>
      <c r="F1589" t="s">
        <v>10</v>
      </c>
      <c r="G1589" t="s">
        <v>59</v>
      </c>
      <c r="H1589" t="s">
        <v>397</v>
      </c>
      <c r="I1589" s="3" t="s">
        <v>175</v>
      </c>
      <c r="J1589" t="s">
        <v>54</v>
      </c>
      <c r="K1589" s="15">
        <v>1400000</v>
      </c>
      <c r="L1589" s="5" t="str">
        <f t="shared" si="24"/>
        <v>9 - 14</v>
      </c>
    </row>
    <row r="1590" spans="3:12" hidden="1">
      <c r="C1590" t="s">
        <v>30</v>
      </c>
      <c r="D1590" t="s">
        <v>55</v>
      </c>
      <c r="E1590">
        <v>13</v>
      </c>
      <c r="F1590" t="s">
        <v>10</v>
      </c>
      <c r="G1590" t="s">
        <v>59</v>
      </c>
      <c r="H1590" t="s">
        <v>397</v>
      </c>
      <c r="I1590" s="3" t="s">
        <v>414</v>
      </c>
      <c r="J1590" t="s">
        <v>54</v>
      </c>
      <c r="K1590" s="15">
        <v>1165000</v>
      </c>
      <c r="L1590" s="5" t="str">
        <f t="shared" si="24"/>
        <v>9 - 14</v>
      </c>
    </row>
    <row r="1591" spans="3:12" hidden="1">
      <c r="C1591" t="s">
        <v>31</v>
      </c>
      <c r="D1591" t="s">
        <v>73</v>
      </c>
      <c r="E1591">
        <v>13</v>
      </c>
      <c r="F1591" t="s">
        <v>10</v>
      </c>
      <c r="G1591" t="s">
        <v>51</v>
      </c>
      <c r="H1591" t="s">
        <v>397</v>
      </c>
      <c r="I1591" s="3" t="s">
        <v>135</v>
      </c>
      <c r="J1591" t="s">
        <v>54</v>
      </c>
      <c r="K1591" s="15">
        <v>840000</v>
      </c>
      <c r="L1591" s="5" t="str">
        <f t="shared" si="24"/>
        <v>9 - 14</v>
      </c>
    </row>
    <row r="1592" spans="3:12" hidden="1">
      <c r="C1592" t="s">
        <v>31</v>
      </c>
      <c r="D1592" t="s">
        <v>73</v>
      </c>
      <c r="E1592">
        <v>13</v>
      </c>
      <c r="F1592" t="s">
        <v>10</v>
      </c>
      <c r="G1592" t="s">
        <v>51</v>
      </c>
      <c r="H1592" t="s">
        <v>397</v>
      </c>
      <c r="I1592" s="3" t="s">
        <v>110</v>
      </c>
      <c r="J1592" t="s">
        <v>54</v>
      </c>
      <c r="K1592" s="15">
        <v>1000000</v>
      </c>
      <c r="L1592" s="5" t="str">
        <f t="shared" si="24"/>
        <v>9 - 14</v>
      </c>
    </row>
    <row r="1593" spans="3:12" hidden="1">
      <c r="C1593" t="s">
        <v>31</v>
      </c>
      <c r="D1593" t="s">
        <v>49</v>
      </c>
      <c r="E1593">
        <v>13</v>
      </c>
      <c r="F1593" t="s">
        <v>10</v>
      </c>
      <c r="G1593" t="s">
        <v>51</v>
      </c>
      <c r="H1593" t="s">
        <v>397</v>
      </c>
      <c r="I1593" s="3" t="s">
        <v>415</v>
      </c>
      <c r="J1593" t="s">
        <v>54</v>
      </c>
      <c r="K1593" s="15">
        <v>1180000</v>
      </c>
      <c r="L1593" s="5" t="str">
        <f t="shared" si="24"/>
        <v>9 - 14</v>
      </c>
    </row>
    <row r="1594" spans="3:12" hidden="1">
      <c r="C1594" t="s">
        <v>31</v>
      </c>
      <c r="D1594" t="s">
        <v>55</v>
      </c>
      <c r="E1594">
        <v>13</v>
      </c>
      <c r="F1594" t="s">
        <v>10</v>
      </c>
      <c r="G1594" t="s">
        <v>59</v>
      </c>
      <c r="H1594" t="s">
        <v>397</v>
      </c>
      <c r="I1594" s="3" t="s">
        <v>415</v>
      </c>
      <c r="J1594" t="s">
        <v>54</v>
      </c>
      <c r="K1594" s="15">
        <v>1180000</v>
      </c>
      <c r="L1594" s="5" t="str">
        <f t="shared" si="24"/>
        <v>9 - 14</v>
      </c>
    </row>
    <row r="1595" spans="3:12" hidden="1">
      <c r="C1595" t="s">
        <v>31</v>
      </c>
      <c r="D1595" t="s">
        <v>73</v>
      </c>
      <c r="E1595">
        <v>13</v>
      </c>
      <c r="F1595" t="s">
        <v>10</v>
      </c>
      <c r="G1595" t="s">
        <v>59</v>
      </c>
      <c r="H1595" t="s">
        <v>397</v>
      </c>
      <c r="I1595" s="3" t="s">
        <v>175</v>
      </c>
      <c r="J1595" t="s">
        <v>66</v>
      </c>
      <c r="K1595" s="15">
        <v>1400000</v>
      </c>
      <c r="L1595" s="5" t="str">
        <f t="shared" si="24"/>
        <v>9 - 14</v>
      </c>
    </row>
    <row r="1596" spans="3:12" hidden="1">
      <c r="C1596" t="s">
        <v>31</v>
      </c>
      <c r="D1596" t="s">
        <v>77</v>
      </c>
      <c r="E1596">
        <v>13</v>
      </c>
      <c r="F1596" t="s">
        <v>10</v>
      </c>
      <c r="G1596" t="s">
        <v>59</v>
      </c>
      <c r="H1596" t="s">
        <v>397</v>
      </c>
      <c r="I1596" s="3" t="s">
        <v>416</v>
      </c>
      <c r="J1596" t="s">
        <v>66</v>
      </c>
      <c r="K1596" s="15">
        <v>2700000</v>
      </c>
      <c r="L1596" s="5" t="str">
        <f t="shared" si="24"/>
        <v>9 - 14</v>
      </c>
    </row>
    <row r="1597" spans="3:12" hidden="1">
      <c r="C1597" t="s">
        <v>30</v>
      </c>
      <c r="D1597" t="s">
        <v>55</v>
      </c>
      <c r="E1597">
        <v>12</v>
      </c>
      <c r="F1597" t="s">
        <v>10</v>
      </c>
      <c r="G1597" t="s">
        <v>59</v>
      </c>
      <c r="H1597" t="s">
        <v>397</v>
      </c>
      <c r="I1597" s="3" t="s">
        <v>239</v>
      </c>
      <c r="J1597" t="s">
        <v>54</v>
      </c>
      <c r="K1597" s="15">
        <v>1080000</v>
      </c>
      <c r="L1597" s="5" t="str">
        <f t="shared" si="24"/>
        <v>9 - 14</v>
      </c>
    </row>
    <row r="1598" spans="3:12" hidden="1">
      <c r="C1598" t="s">
        <v>31</v>
      </c>
      <c r="D1598" t="s">
        <v>77</v>
      </c>
      <c r="E1598">
        <v>12</v>
      </c>
      <c r="F1598" t="s">
        <v>10</v>
      </c>
      <c r="G1598" t="s">
        <v>51</v>
      </c>
      <c r="H1598" t="s">
        <v>397</v>
      </c>
      <c r="I1598" s="3" t="s">
        <v>72</v>
      </c>
      <c r="J1598" t="s">
        <v>54</v>
      </c>
      <c r="K1598" s="15">
        <v>850000</v>
      </c>
      <c r="L1598" s="5" t="str">
        <f t="shared" si="24"/>
        <v>9 - 14</v>
      </c>
    </row>
    <row r="1599" spans="3:12" hidden="1">
      <c r="C1599" t="s">
        <v>31</v>
      </c>
      <c r="D1599" t="s">
        <v>55</v>
      </c>
      <c r="E1599">
        <v>12</v>
      </c>
      <c r="F1599" t="s">
        <v>10</v>
      </c>
      <c r="G1599" t="s">
        <v>57</v>
      </c>
      <c r="H1599" t="s">
        <v>397</v>
      </c>
      <c r="I1599" s="3" t="s">
        <v>72</v>
      </c>
      <c r="J1599" t="s">
        <v>54</v>
      </c>
      <c r="K1599" s="15">
        <v>850000</v>
      </c>
      <c r="L1599" s="5" t="str">
        <f t="shared" si="24"/>
        <v>9 - 14</v>
      </c>
    </row>
    <row r="1600" spans="3:12" hidden="1">
      <c r="C1600" t="s">
        <v>31</v>
      </c>
      <c r="D1600" t="s">
        <v>55</v>
      </c>
      <c r="E1600">
        <v>12</v>
      </c>
      <c r="F1600" t="s">
        <v>10</v>
      </c>
      <c r="G1600" t="s">
        <v>57</v>
      </c>
      <c r="H1600" t="s">
        <v>397</v>
      </c>
      <c r="I1600" s="3" t="s">
        <v>154</v>
      </c>
      <c r="J1600" t="s">
        <v>54</v>
      </c>
      <c r="K1600" s="15">
        <v>875000</v>
      </c>
      <c r="L1600" s="5" t="str">
        <f t="shared" si="24"/>
        <v>9 - 14</v>
      </c>
    </row>
    <row r="1601" spans="3:12" hidden="1">
      <c r="C1601" t="s">
        <v>31</v>
      </c>
      <c r="D1601" t="s">
        <v>77</v>
      </c>
      <c r="E1601">
        <v>12</v>
      </c>
      <c r="F1601" t="s">
        <v>10</v>
      </c>
      <c r="G1601" t="s">
        <v>59</v>
      </c>
      <c r="H1601" t="s">
        <v>397</v>
      </c>
      <c r="I1601" s="3" t="s">
        <v>130</v>
      </c>
      <c r="J1601" t="s">
        <v>66</v>
      </c>
      <c r="K1601" s="15">
        <v>950000</v>
      </c>
      <c r="L1601" s="5" t="str">
        <f t="shared" si="24"/>
        <v>9 - 14</v>
      </c>
    </row>
    <row r="1602" spans="3:12" hidden="1">
      <c r="C1602" t="s">
        <v>31</v>
      </c>
      <c r="D1602" t="s">
        <v>132</v>
      </c>
      <c r="E1602">
        <v>12</v>
      </c>
      <c r="F1602" t="s">
        <v>10</v>
      </c>
      <c r="G1602" t="s">
        <v>127</v>
      </c>
      <c r="H1602" t="s">
        <v>397</v>
      </c>
      <c r="I1602" s="3" t="s">
        <v>110</v>
      </c>
      <c r="J1602" t="s">
        <v>54</v>
      </c>
      <c r="K1602" s="15">
        <v>1000000</v>
      </c>
      <c r="L1602" s="5" t="str">
        <f t="shared" si="24"/>
        <v>9 - 14</v>
      </c>
    </row>
    <row r="1603" spans="3:12" hidden="1">
      <c r="C1603" t="s">
        <v>31</v>
      </c>
      <c r="D1603" t="s">
        <v>73</v>
      </c>
      <c r="E1603">
        <v>12</v>
      </c>
      <c r="F1603" t="s">
        <v>10</v>
      </c>
      <c r="G1603" t="s">
        <v>59</v>
      </c>
      <c r="H1603" t="s">
        <v>397</v>
      </c>
      <c r="I1603" s="3" t="s">
        <v>106</v>
      </c>
      <c r="J1603" t="s">
        <v>54</v>
      </c>
      <c r="K1603" s="15">
        <v>1100000</v>
      </c>
      <c r="L1603" s="5" t="str">
        <f t="shared" ref="L1603:L1666" si="25">_xlfn.XLOOKUP(E1603,$P$2:$P$5,$O$2:$O$5,,1)</f>
        <v>9 - 14</v>
      </c>
    </row>
    <row r="1604" spans="3:12" hidden="1">
      <c r="C1604" t="s">
        <v>31</v>
      </c>
      <c r="D1604" t="s">
        <v>55</v>
      </c>
      <c r="E1604">
        <v>12</v>
      </c>
      <c r="F1604" t="s">
        <v>10</v>
      </c>
      <c r="G1604" t="s">
        <v>59</v>
      </c>
      <c r="H1604" t="s">
        <v>397</v>
      </c>
      <c r="I1604" s="3" t="s">
        <v>417</v>
      </c>
      <c r="J1604" t="s">
        <v>54</v>
      </c>
      <c r="K1604" s="15">
        <v>1120000</v>
      </c>
      <c r="L1604" s="5" t="str">
        <f t="shared" si="25"/>
        <v>9 - 14</v>
      </c>
    </row>
    <row r="1605" spans="3:12" hidden="1">
      <c r="C1605" t="s">
        <v>31</v>
      </c>
      <c r="D1605" t="s">
        <v>77</v>
      </c>
      <c r="E1605">
        <v>12</v>
      </c>
      <c r="F1605" t="s">
        <v>10</v>
      </c>
      <c r="G1605" t="s">
        <v>59</v>
      </c>
      <c r="H1605" t="s">
        <v>397</v>
      </c>
      <c r="I1605" s="3" t="s">
        <v>129</v>
      </c>
      <c r="J1605" t="s">
        <v>54</v>
      </c>
      <c r="K1605" s="15">
        <v>1150000</v>
      </c>
      <c r="L1605" s="5" t="str">
        <f t="shared" si="25"/>
        <v>9 - 14</v>
      </c>
    </row>
    <row r="1606" spans="3:12" hidden="1">
      <c r="C1606" t="s">
        <v>31</v>
      </c>
      <c r="D1606" t="s">
        <v>77</v>
      </c>
      <c r="E1606">
        <v>12</v>
      </c>
      <c r="F1606" t="s">
        <v>10</v>
      </c>
      <c r="G1606" t="s">
        <v>51</v>
      </c>
      <c r="H1606" t="s">
        <v>397</v>
      </c>
      <c r="I1606" s="3" t="s">
        <v>418</v>
      </c>
      <c r="J1606" t="s">
        <v>66</v>
      </c>
      <c r="K1606" s="15">
        <v>1220000</v>
      </c>
      <c r="L1606" s="5" t="str">
        <f t="shared" si="25"/>
        <v>9 - 14</v>
      </c>
    </row>
    <row r="1607" spans="3:12" hidden="1">
      <c r="C1607" t="s">
        <v>31</v>
      </c>
      <c r="D1607" t="s">
        <v>49</v>
      </c>
      <c r="E1607">
        <v>12</v>
      </c>
      <c r="F1607" t="s">
        <v>10</v>
      </c>
      <c r="G1607" t="s">
        <v>51</v>
      </c>
      <c r="H1607" t="s">
        <v>397</v>
      </c>
      <c r="I1607" s="3" t="s">
        <v>419</v>
      </c>
      <c r="J1607" t="s">
        <v>54</v>
      </c>
      <c r="K1607" s="15">
        <v>1264650</v>
      </c>
      <c r="L1607" s="5" t="str">
        <f t="shared" si="25"/>
        <v>9 - 14</v>
      </c>
    </row>
    <row r="1608" spans="3:12" hidden="1">
      <c r="C1608" t="s">
        <v>31</v>
      </c>
      <c r="D1608" t="s">
        <v>63</v>
      </c>
      <c r="E1608">
        <v>12</v>
      </c>
      <c r="F1608" t="s">
        <v>10</v>
      </c>
      <c r="G1608" t="s">
        <v>59</v>
      </c>
      <c r="H1608" t="s">
        <v>397</v>
      </c>
      <c r="I1608" s="3" t="s">
        <v>104</v>
      </c>
      <c r="J1608" t="s">
        <v>66</v>
      </c>
      <c r="K1608" s="15">
        <v>1300000</v>
      </c>
      <c r="L1608" s="5" t="str">
        <f t="shared" si="25"/>
        <v>9 - 14</v>
      </c>
    </row>
    <row r="1609" spans="3:12" hidden="1">
      <c r="C1609" t="s">
        <v>31</v>
      </c>
      <c r="D1609" t="s">
        <v>55</v>
      </c>
      <c r="E1609">
        <v>12</v>
      </c>
      <c r="F1609" t="s">
        <v>10</v>
      </c>
      <c r="G1609" t="s">
        <v>59</v>
      </c>
      <c r="H1609" t="s">
        <v>397</v>
      </c>
      <c r="I1609" s="3" t="s">
        <v>175</v>
      </c>
      <c r="J1609" t="s">
        <v>54</v>
      </c>
      <c r="K1609" s="15">
        <v>1400000</v>
      </c>
      <c r="L1609" s="5" t="str">
        <f t="shared" si="25"/>
        <v>9 - 14</v>
      </c>
    </row>
    <row r="1610" spans="3:12" hidden="1">
      <c r="C1610" t="s">
        <v>31</v>
      </c>
      <c r="D1610" t="s">
        <v>73</v>
      </c>
      <c r="E1610">
        <v>12</v>
      </c>
      <c r="F1610" t="s">
        <v>10</v>
      </c>
      <c r="G1610" t="s">
        <v>127</v>
      </c>
      <c r="H1610" t="s">
        <v>397</v>
      </c>
      <c r="I1610" s="3" t="s">
        <v>329</v>
      </c>
      <c r="J1610" t="s">
        <v>54</v>
      </c>
      <c r="K1610" s="15">
        <v>2200000</v>
      </c>
      <c r="L1610" s="5" t="str">
        <f t="shared" si="25"/>
        <v>9 - 14</v>
      </c>
    </row>
    <row r="1611" spans="3:12" hidden="1">
      <c r="C1611" t="s">
        <v>31</v>
      </c>
      <c r="D1611" t="s">
        <v>55</v>
      </c>
      <c r="E1611">
        <v>11</v>
      </c>
      <c r="F1611" t="s">
        <v>10</v>
      </c>
      <c r="G1611" t="s">
        <v>57</v>
      </c>
      <c r="H1611" t="s">
        <v>397</v>
      </c>
      <c r="I1611" s="3" t="s">
        <v>209</v>
      </c>
      <c r="J1611" t="s">
        <v>54</v>
      </c>
      <c r="K1611" s="15">
        <v>1010000</v>
      </c>
      <c r="L1611" s="5" t="str">
        <f t="shared" si="25"/>
        <v>9 - 14</v>
      </c>
    </row>
    <row r="1612" spans="3:12" hidden="1">
      <c r="C1612" t="s">
        <v>31</v>
      </c>
      <c r="D1612" t="s">
        <v>73</v>
      </c>
      <c r="E1612">
        <v>11</v>
      </c>
      <c r="F1612" t="s">
        <v>10</v>
      </c>
      <c r="G1612" t="s">
        <v>51</v>
      </c>
      <c r="H1612" t="s">
        <v>397</v>
      </c>
      <c r="I1612" s="3" t="s">
        <v>148</v>
      </c>
      <c r="J1612" t="s">
        <v>54</v>
      </c>
      <c r="K1612" s="15">
        <v>1050000</v>
      </c>
      <c r="L1612" s="5" t="str">
        <f t="shared" si="25"/>
        <v>9 - 14</v>
      </c>
    </row>
    <row r="1613" spans="3:12" hidden="1">
      <c r="C1613" t="s">
        <v>31</v>
      </c>
      <c r="D1613" t="s">
        <v>55</v>
      </c>
      <c r="E1613">
        <v>11</v>
      </c>
      <c r="F1613" t="s">
        <v>10</v>
      </c>
      <c r="G1613" t="s">
        <v>59</v>
      </c>
      <c r="H1613" t="s">
        <v>397</v>
      </c>
      <c r="I1613" s="3" t="s">
        <v>148</v>
      </c>
      <c r="J1613" t="s">
        <v>54</v>
      </c>
      <c r="K1613" s="15">
        <v>1050000</v>
      </c>
      <c r="L1613" s="5" t="str">
        <f t="shared" si="25"/>
        <v>9 - 14</v>
      </c>
    </row>
    <row r="1614" spans="3:12" hidden="1">
      <c r="C1614" t="s">
        <v>31</v>
      </c>
      <c r="D1614" t="s">
        <v>73</v>
      </c>
      <c r="E1614">
        <v>11</v>
      </c>
      <c r="F1614" t="s">
        <v>10</v>
      </c>
      <c r="G1614" t="s">
        <v>59</v>
      </c>
      <c r="H1614" t="s">
        <v>397</v>
      </c>
      <c r="I1614" s="3" t="s">
        <v>106</v>
      </c>
      <c r="J1614" t="s">
        <v>66</v>
      </c>
      <c r="K1614" s="15">
        <v>1100000</v>
      </c>
      <c r="L1614" s="5" t="str">
        <f t="shared" si="25"/>
        <v>9 - 14</v>
      </c>
    </row>
    <row r="1615" spans="3:12" hidden="1">
      <c r="C1615" t="s">
        <v>31</v>
      </c>
      <c r="D1615" t="s">
        <v>50</v>
      </c>
      <c r="E1615">
        <v>11</v>
      </c>
      <c r="F1615" t="s">
        <v>10</v>
      </c>
      <c r="G1615" t="s">
        <v>59</v>
      </c>
      <c r="H1615" t="s">
        <v>397</v>
      </c>
      <c r="I1615" s="3" t="s">
        <v>106</v>
      </c>
      <c r="J1615" t="s">
        <v>66</v>
      </c>
      <c r="K1615" s="15">
        <v>1100000</v>
      </c>
      <c r="L1615" s="5" t="str">
        <f t="shared" si="25"/>
        <v>9 - 14</v>
      </c>
    </row>
    <row r="1616" spans="3:12" hidden="1">
      <c r="C1616" t="s">
        <v>31</v>
      </c>
      <c r="D1616" t="s">
        <v>55</v>
      </c>
      <c r="E1616">
        <v>11</v>
      </c>
      <c r="F1616" t="s">
        <v>10</v>
      </c>
      <c r="G1616" t="s">
        <v>59</v>
      </c>
      <c r="H1616" t="s">
        <v>397</v>
      </c>
      <c r="I1616" s="3" t="s">
        <v>106</v>
      </c>
      <c r="J1616" t="s">
        <v>54</v>
      </c>
      <c r="K1616" s="15">
        <v>1100000</v>
      </c>
      <c r="L1616" s="5" t="str">
        <f t="shared" si="25"/>
        <v>9 - 14</v>
      </c>
    </row>
    <row r="1617" spans="3:12" hidden="1">
      <c r="C1617" t="s">
        <v>31</v>
      </c>
      <c r="D1617" t="s">
        <v>55</v>
      </c>
      <c r="E1617">
        <v>11</v>
      </c>
      <c r="F1617" t="s">
        <v>10</v>
      </c>
      <c r="G1617" t="s">
        <v>59</v>
      </c>
      <c r="H1617" t="s">
        <v>397</v>
      </c>
      <c r="I1617" s="3" t="s">
        <v>104</v>
      </c>
      <c r="J1617" t="s">
        <v>66</v>
      </c>
      <c r="K1617" s="15">
        <v>1300000</v>
      </c>
      <c r="L1617" s="5" t="str">
        <f t="shared" si="25"/>
        <v>9 - 14</v>
      </c>
    </row>
    <row r="1618" spans="3:12" hidden="1">
      <c r="C1618" t="s">
        <v>31</v>
      </c>
      <c r="D1618" t="s">
        <v>49</v>
      </c>
      <c r="E1618">
        <v>11</v>
      </c>
      <c r="F1618" t="s">
        <v>10</v>
      </c>
      <c r="G1618" t="s">
        <v>59</v>
      </c>
      <c r="H1618" t="s">
        <v>397</v>
      </c>
      <c r="I1618" s="3" t="s">
        <v>60</v>
      </c>
      <c r="J1618" t="s">
        <v>66</v>
      </c>
      <c r="K1618" s="15">
        <v>1500000</v>
      </c>
      <c r="L1618" s="5" t="str">
        <f t="shared" si="25"/>
        <v>9 - 14</v>
      </c>
    </row>
    <row r="1619" spans="3:12" hidden="1">
      <c r="C1619" t="s">
        <v>31</v>
      </c>
      <c r="D1619" t="s">
        <v>55</v>
      </c>
      <c r="E1619">
        <v>11</v>
      </c>
      <c r="F1619" t="s">
        <v>10</v>
      </c>
      <c r="G1619" t="s">
        <v>127</v>
      </c>
      <c r="H1619" t="s">
        <v>397</v>
      </c>
      <c r="I1619" s="3" t="s">
        <v>117</v>
      </c>
      <c r="J1619" t="s">
        <v>54</v>
      </c>
      <c r="K1619" s="15">
        <v>2400000</v>
      </c>
      <c r="L1619" s="5" t="str">
        <f t="shared" si="25"/>
        <v>9 - 14</v>
      </c>
    </row>
    <row r="1620" spans="3:12" hidden="1">
      <c r="C1620" t="s">
        <v>32</v>
      </c>
      <c r="D1620" t="s">
        <v>63</v>
      </c>
      <c r="E1620">
        <v>10</v>
      </c>
      <c r="F1620" t="s">
        <v>10</v>
      </c>
      <c r="G1620" t="s">
        <v>59</v>
      </c>
      <c r="H1620" t="s">
        <v>397</v>
      </c>
      <c r="I1620" s="3" t="s">
        <v>106</v>
      </c>
      <c r="J1620" t="s">
        <v>66</v>
      </c>
      <c r="K1620" s="15">
        <v>1100000</v>
      </c>
      <c r="L1620" s="5" t="str">
        <f t="shared" si="25"/>
        <v>9 - 14</v>
      </c>
    </row>
    <row r="1621" spans="3:12" hidden="1">
      <c r="C1621" t="s">
        <v>30</v>
      </c>
      <c r="D1621" t="s">
        <v>73</v>
      </c>
      <c r="E1621">
        <v>10</v>
      </c>
      <c r="F1621" t="s">
        <v>10</v>
      </c>
      <c r="G1621" t="s">
        <v>59</v>
      </c>
      <c r="H1621" t="s">
        <v>397</v>
      </c>
      <c r="I1621" s="3" t="s">
        <v>96</v>
      </c>
      <c r="J1621" t="s">
        <v>54</v>
      </c>
      <c r="K1621" s="15">
        <v>780000</v>
      </c>
      <c r="L1621" s="5" t="str">
        <f t="shared" si="25"/>
        <v>9 - 14</v>
      </c>
    </row>
    <row r="1622" spans="3:12" hidden="1">
      <c r="C1622" t="s">
        <v>30</v>
      </c>
      <c r="D1622" t="s">
        <v>55</v>
      </c>
      <c r="E1622">
        <v>10</v>
      </c>
      <c r="F1622" t="s">
        <v>10</v>
      </c>
      <c r="G1622" t="s">
        <v>59</v>
      </c>
      <c r="H1622" t="s">
        <v>397</v>
      </c>
      <c r="I1622" s="3" t="s">
        <v>209</v>
      </c>
      <c r="J1622" t="s">
        <v>66</v>
      </c>
      <c r="K1622" s="15">
        <v>1010000</v>
      </c>
      <c r="L1622" s="5" t="str">
        <f t="shared" si="25"/>
        <v>9 - 14</v>
      </c>
    </row>
    <row r="1623" spans="3:12" hidden="1">
      <c r="C1623" t="s">
        <v>31</v>
      </c>
      <c r="D1623" t="s">
        <v>77</v>
      </c>
      <c r="E1623">
        <v>10</v>
      </c>
      <c r="F1623" t="s">
        <v>10</v>
      </c>
      <c r="G1623" t="s">
        <v>51</v>
      </c>
      <c r="H1623" t="s">
        <v>397</v>
      </c>
      <c r="I1623" s="3" t="s">
        <v>108</v>
      </c>
      <c r="J1623" t="s">
        <v>54</v>
      </c>
      <c r="K1623" s="15">
        <v>700000</v>
      </c>
      <c r="L1623" s="5" t="str">
        <f t="shared" si="25"/>
        <v>9 - 14</v>
      </c>
    </row>
    <row r="1624" spans="3:12" hidden="1">
      <c r="C1624" t="s">
        <v>31</v>
      </c>
      <c r="D1624" t="s">
        <v>56</v>
      </c>
      <c r="E1624">
        <v>10</v>
      </c>
      <c r="F1624" t="s">
        <v>10</v>
      </c>
      <c r="G1624" t="s">
        <v>51</v>
      </c>
      <c r="H1624" t="s">
        <v>397</v>
      </c>
      <c r="I1624" s="3" t="s">
        <v>130</v>
      </c>
      <c r="J1624" t="s">
        <v>54</v>
      </c>
      <c r="K1624" s="15">
        <v>950000</v>
      </c>
      <c r="L1624" s="5" t="str">
        <f t="shared" si="25"/>
        <v>9 - 14</v>
      </c>
    </row>
    <row r="1625" spans="3:12" hidden="1">
      <c r="C1625" t="s">
        <v>31</v>
      </c>
      <c r="D1625" t="s">
        <v>55</v>
      </c>
      <c r="E1625">
        <v>10</v>
      </c>
      <c r="F1625" t="s">
        <v>10</v>
      </c>
      <c r="G1625" t="s">
        <v>59</v>
      </c>
      <c r="H1625" t="s">
        <v>397</v>
      </c>
      <c r="I1625" s="3" t="s">
        <v>110</v>
      </c>
      <c r="J1625" t="s">
        <v>54</v>
      </c>
      <c r="K1625" s="15">
        <v>1000000</v>
      </c>
      <c r="L1625" s="5" t="str">
        <f t="shared" si="25"/>
        <v>9 - 14</v>
      </c>
    </row>
    <row r="1626" spans="3:12" hidden="1">
      <c r="C1626" t="s">
        <v>31</v>
      </c>
      <c r="D1626" t="s">
        <v>55</v>
      </c>
      <c r="E1626">
        <v>10</v>
      </c>
      <c r="F1626" t="s">
        <v>10</v>
      </c>
      <c r="G1626" t="s">
        <v>51</v>
      </c>
      <c r="H1626" t="s">
        <v>397</v>
      </c>
      <c r="I1626" s="3" t="s">
        <v>181</v>
      </c>
      <c r="J1626" t="s">
        <v>54</v>
      </c>
      <c r="K1626" s="15">
        <v>1030000</v>
      </c>
      <c r="L1626" s="5" t="str">
        <f t="shared" si="25"/>
        <v>9 - 14</v>
      </c>
    </row>
    <row r="1627" spans="3:12" hidden="1">
      <c r="C1627" t="s">
        <v>31</v>
      </c>
      <c r="D1627" t="s">
        <v>55</v>
      </c>
      <c r="E1627">
        <v>10</v>
      </c>
      <c r="F1627" t="s">
        <v>10</v>
      </c>
      <c r="G1627" t="s">
        <v>59</v>
      </c>
      <c r="H1627" t="s">
        <v>397</v>
      </c>
      <c r="I1627" s="3" t="s">
        <v>148</v>
      </c>
      <c r="J1627" t="s">
        <v>66</v>
      </c>
      <c r="K1627" s="15">
        <v>1050000</v>
      </c>
      <c r="L1627" s="5" t="str">
        <f t="shared" si="25"/>
        <v>9 - 14</v>
      </c>
    </row>
    <row r="1628" spans="3:12" hidden="1">
      <c r="C1628" t="s">
        <v>31</v>
      </c>
      <c r="D1628" t="s">
        <v>55</v>
      </c>
      <c r="E1628">
        <v>10</v>
      </c>
      <c r="F1628" t="s">
        <v>10</v>
      </c>
      <c r="G1628" t="s">
        <v>59</v>
      </c>
      <c r="H1628" t="s">
        <v>397</v>
      </c>
      <c r="I1628" s="3" t="s">
        <v>239</v>
      </c>
      <c r="J1628" t="s">
        <v>54</v>
      </c>
      <c r="K1628" s="15">
        <v>1080000</v>
      </c>
      <c r="L1628" s="5" t="str">
        <f t="shared" si="25"/>
        <v>9 - 14</v>
      </c>
    </row>
    <row r="1629" spans="3:12" hidden="1">
      <c r="C1629" t="s">
        <v>31</v>
      </c>
      <c r="D1629" t="s">
        <v>55</v>
      </c>
      <c r="E1629">
        <v>10</v>
      </c>
      <c r="F1629" t="s">
        <v>10</v>
      </c>
      <c r="G1629" t="s">
        <v>59</v>
      </c>
      <c r="H1629" t="s">
        <v>397</v>
      </c>
      <c r="I1629" s="3" t="s">
        <v>106</v>
      </c>
      <c r="J1629" t="s">
        <v>54</v>
      </c>
      <c r="K1629" s="15">
        <v>1100000</v>
      </c>
      <c r="L1629" s="5" t="str">
        <f t="shared" si="25"/>
        <v>9 - 14</v>
      </c>
    </row>
    <row r="1630" spans="3:12" hidden="1">
      <c r="C1630" t="s">
        <v>31</v>
      </c>
      <c r="D1630" t="s">
        <v>73</v>
      </c>
      <c r="E1630">
        <v>10</v>
      </c>
      <c r="F1630" t="s">
        <v>10</v>
      </c>
      <c r="G1630" t="s">
        <v>51</v>
      </c>
      <c r="H1630" t="s">
        <v>397</v>
      </c>
      <c r="I1630" s="3" t="s">
        <v>420</v>
      </c>
      <c r="J1630" t="s">
        <v>54</v>
      </c>
      <c r="K1630" s="15">
        <v>1130000</v>
      </c>
      <c r="L1630" s="5" t="str">
        <f t="shared" si="25"/>
        <v>9 - 14</v>
      </c>
    </row>
    <row r="1631" spans="3:12" hidden="1">
      <c r="C1631" t="s">
        <v>31</v>
      </c>
      <c r="D1631" t="s">
        <v>77</v>
      </c>
      <c r="E1631">
        <v>10</v>
      </c>
      <c r="F1631" t="s">
        <v>10</v>
      </c>
      <c r="G1631" t="s">
        <v>51</v>
      </c>
      <c r="H1631" t="s">
        <v>397</v>
      </c>
      <c r="I1631" s="3" t="s">
        <v>61</v>
      </c>
      <c r="J1631" t="s">
        <v>66</v>
      </c>
      <c r="K1631" s="15">
        <v>1200000</v>
      </c>
      <c r="L1631" s="5" t="str">
        <f t="shared" si="25"/>
        <v>9 - 14</v>
      </c>
    </row>
    <row r="1632" spans="3:12" hidden="1">
      <c r="C1632" t="s">
        <v>31</v>
      </c>
      <c r="D1632" t="s">
        <v>73</v>
      </c>
      <c r="E1632">
        <v>10</v>
      </c>
      <c r="F1632" t="s">
        <v>10</v>
      </c>
      <c r="G1632" t="s">
        <v>59</v>
      </c>
      <c r="H1632" t="s">
        <v>397</v>
      </c>
      <c r="I1632" s="3" t="s">
        <v>104</v>
      </c>
      <c r="J1632" t="s">
        <v>66</v>
      </c>
      <c r="K1632" s="15">
        <v>1300000</v>
      </c>
      <c r="L1632" s="5" t="str">
        <f t="shared" si="25"/>
        <v>9 - 14</v>
      </c>
    </row>
    <row r="1633" spans="3:12" hidden="1">
      <c r="C1633" t="s">
        <v>31</v>
      </c>
      <c r="D1633" t="s">
        <v>55</v>
      </c>
      <c r="E1633">
        <v>10</v>
      </c>
      <c r="F1633" t="s">
        <v>10</v>
      </c>
      <c r="G1633" t="s">
        <v>127</v>
      </c>
      <c r="H1633" t="s">
        <v>397</v>
      </c>
      <c r="I1633" s="3" t="s">
        <v>60</v>
      </c>
      <c r="J1633" t="s">
        <v>66</v>
      </c>
      <c r="K1633" s="15">
        <v>1500000</v>
      </c>
      <c r="L1633" s="5" t="str">
        <f t="shared" si="25"/>
        <v>9 - 14</v>
      </c>
    </row>
    <row r="1634" spans="3:12" hidden="1">
      <c r="C1634" t="s">
        <v>30</v>
      </c>
      <c r="D1634" t="s">
        <v>73</v>
      </c>
      <c r="E1634">
        <v>9</v>
      </c>
      <c r="F1634" t="s">
        <v>10</v>
      </c>
      <c r="G1634" t="s">
        <v>59</v>
      </c>
      <c r="H1634" t="s">
        <v>397</v>
      </c>
      <c r="I1634" s="3" t="s">
        <v>110</v>
      </c>
      <c r="J1634" t="s">
        <v>54</v>
      </c>
      <c r="K1634" s="15">
        <v>1000000</v>
      </c>
      <c r="L1634" s="5" t="str">
        <f t="shared" si="25"/>
        <v>9 - 14</v>
      </c>
    </row>
    <row r="1635" spans="3:12" hidden="1">
      <c r="C1635" t="s">
        <v>30</v>
      </c>
      <c r="D1635" t="s">
        <v>55</v>
      </c>
      <c r="E1635">
        <v>9</v>
      </c>
      <c r="F1635" t="s">
        <v>10</v>
      </c>
      <c r="G1635" t="s">
        <v>59</v>
      </c>
      <c r="H1635" t="s">
        <v>397</v>
      </c>
      <c r="I1635" s="3" t="s">
        <v>148</v>
      </c>
      <c r="J1635" t="s">
        <v>54</v>
      </c>
      <c r="K1635" s="15">
        <v>1050000</v>
      </c>
      <c r="L1635" s="5" t="str">
        <f t="shared" si="25"/>
        <v>9 - 14</v>
      </c>
    </row>
    <row r="1636" spans="3:12" hidden="1">
      <c r="C1636" t="s">
        <v>31</v>
      </c>
      <c r="D1636" t="s">
        <v>73</v>
      </c>
      <c r="E1636">
        <v>9</v>
      </c>
      <c r="F1636" t="s">
        <v>10</v>
      </c>
      <c r="G1636" t="s">
        <v>57</v>
      </c>
      <c r="H1636" t="s">
        <v>397</v>
      </c>
      <c r="I1636" s="3" t="s">
        <v>222</v>
      </c>
      <c r="J1636" t="s">
        <v>54</v>
      </c>
      <c r="K1636" s="15">
        <v>670000</v>
      </c>
      <c r="L1636" s="5" t="str">
        <f t="shared" si="25"/>
        <v>9 - 14</v>
      </c>
    </row>
    <row r="1637" spans="3:12" hidden="1">
      <c r="C1637" t="s">
        <v>31</v>
      </c>
      <c r="D1637" t="s">
        <v>77</v>
      </c>
      <c r="E1637">
        <v>9</v>
      </c>
      <c r="F1637" t="s">
        <v>10</v>
      </c>
      <c r="G1637" t="s">
        <v>51</v>
      </c>
      <c r="H1637" t="s">
        <v>397</v>
      </c>
      <c r="I1637" s="3" t="s">
        <v>72</v>
      </c>
      <c r="J1637" t="s">
        <v>54</v>
      </c>
      <c r="K1637" s="15">
        <v>850000</v>
      </c>
      <c r="L1637" s="5" t="str">
        <f t="shared" si="25"/>
        <v>9 - 14</v>
      </c>
    </row>
    <row r="1638" spans="3:12" hidden="1">
      <c r="C1638" t="s">
        <v>31</v>
      </c>
      <c r="D1638" t="s">
        <v>73</v>
      </c>
      <c r="E1638">
        <v>9</v>
      </c>
      <c r="F1638" t="s">
        <v>10</v>
      </c>
      <c r="G1638" t="s">
        <v>51</v>
      </c>
      <c r="H1638" t="s">
        <v>397</v>
      </c>
      <c r="I1638" s="3" t="s">
        <v>72</v>
      </c>
      <c r="J1638" t="s">
        <v>66</v>
      </c>
      <c r="K1638" s="15">
        <v>850000</v>
      </c>
      <c r="L1638" s="5" t="str">
        <f t="shared" si="25"/>
        <v>9 - 14</v>
      </c>
    </row>
    <row r="1639" spans="3:12" hidden="1">
      <c r="C1639" t="s">
        <v>31</v>
      </c>
      <c r="D1639" t="s">
        <v>73</v>
      </c>
      <c r="E1639">
        <v>9</v>
      </c>
      <c r="F1639" t="s">
        <v>10</v>
      </c>
      <c r="G1639" t="s">
        <v>59</v>
      </c>
      <c r="H1639" t="s">
        <v>397</v>
      </c>
      <c r="I1639" s="3" t="s">
        <v>79</v>
      </c>
      <c r="J1639" t="s">
        <v>66</v>
      </c>
      <c r="K1639" s="15">
        <v>900000</v>
      </c>
      <c r="L1639" s="5" t="str">
        <f t="shared" si="25"/>
        <v>9 - 14</v>
      </c>
    </row>
    <row r="1640" spans="3:12" hidden="1">
      <c r="C1640" t="s">
        <v>31</v>
      </c>
      <c r="D1640" t="s">
        <v>77</v>
      </c>
      <c r="E1640">
        <v>9</v>
      </c>
      <c r="F1640" t="s">
        <v>10</v>
      </c>
      <c r="G1640" t="s">
        <v>59</v>
      </c>
      <c r="H1640" t="s">
        <v>397</v>
      </c>
      <c r="I1640" s="3" t="s">
        <v>98</v>
      </c>
      <c r="J1640" t="s">
        <v>54</v>
      </c>
      <c r="K1640" s="15">
        <v>920000</v>
      </c>
      <c r="L1640" s="5" t="str">
        <f t="shared" si="25"/>
        <v>9 - 14</v>
      </c>
    </row>
    <row r="1641" spans="3:12" hidden="1">
      <c r="C1641" t="s">
        <v>31</v>
      </c>
      <c r="D1641" t="s">
        <v>73</v>
      </c>
      <c r="E1641">
        <v>9</v>
      </c>
      <c r="F1641" t="s">
        <v>10</v>
      </c>
      <c r="G1641" t="s">
        <v>51</v>
      </c>
      <c r="H1641" t="s">
        <v>397</v>
      </c>
      <c r="I1641" s="3" t="s">
        <v>98</v>
      </c>
      <c r="J1641" t="s">
        <v>66</v>
      </c>
      <c r="K1641" s="15">
        <v>920000</v>
      </c>
      <c r="L1641" s="5" t="str">
        <f t="shared" si="25"/>
        <v>9 - 14</v>
      </c>
    </row>
    <row r="1642" spans="3:12" hidden="1">
      <c r="C1642" t="s">
        <v>31</v>
      </c>
      <c r="D1642" t="s">
        <v>55</v>
      </c>
      <c r="E1642">
        <v>9</v>
      </c>
      <c r="F1642" t="s">
        <v>10</v>
      </c>
      <c r="G1642" t="s">
        <v>51</v>
      </c>
      <c r="H1642" t="s">
        <v>397</v>
      </c>
      <c r="I1642" s="3" t="s">
        <v>181</v>
      </c>
      <c r="J1642" t="s">
        <v>54</v>
      </c>
      <c r="K1642" s="15">
        <v>1030000</v>
      </c>
      <c r="L1642" s="5" t="str">
        <f t="shared" si="25"/>
        <v>9 - 14</v>
      </c>
    </row>
    <row r="1643" spans="3:12" hidden="1">
      <c r="C1643" t="s">
        <v>31</v>
      </c>
      <c r="D1643" t="s">
        <v>55</v>
      </c>
      <c r="E1643">
        <v>9</v>
      </c>
      <c r="F1643" t="s">
        <v>10</v>
      </c>
      <c r="G1643" t="s">
        <v>59</v>
      </c>
      <c r="H1643" t="s">
        <v>397</v>
      </c>
      <c r="I1643" s="3" t="s">
        <v>148</v>
      </c>
      <c r="J1643" t="s">
        <v>54</v>
      </c>
      <c r="K1643" s="15">
        <v>1050000</v>
      </c>
      <c r="L1643" s="5" t="str">
        <f t="shared" si="25"/>
        <v>9 - 14</v>
      </c>
    </row>
    <row r="1644" spans="3:12" hidden="1">
      <c r="C1644" t="s">
        <v>31</v>
      </c>
      <c r="D1644" t="s">
        <v>67</v>
      </c>
      <c r="E1644">
        <v>9</v>
      </c>
      <c r="F1644" t="s">
        <v>10</v>
      </c>
      <c r="G1644" t="s">
        <v>59</v>
      </c>
      <c r="H1644" t="s">
        <v>397</v>
      </c>
      <c r="I1644" s="3" t="s">
        <v>148</v>
      </c>
      <c r="J1644" t="s">
        <v>54</v>
      </c>
      <c r="K1644" s="15">
        <v>1050000</v>
      </c>
      <c r="L1644" s="5" t="str">
        <f t="shared" si="25"/>
        <v>9 - 14</v>
      </c>
    </row>
    <row r="1645" spans="3:12">
      <c r="C1645" t="s">
        <v>31</v>
      </c>
      <c r="D1645" t="s">
        <v>62</v>
      </c>
      <c r="E1645">
        <v>8</v>
      </c>
      <c r="F1645" t="s">
        <v>10</v>
      </c>
      <c r="G1645" t="s">
        <v>59</v>
      </c>
      <c r="H1645" t="s">
        <v>397</v>
      </c>
      <c r="I1645" s="3" t="s">
        <v>165</v>
      </c>
      <c r="J1645" t="s">
        <v>54</v>
      </c>
      <c r="K1645" s="15">
        <v>720000</v>
      </c>
      <c r="L1645" s="5" t="str">
        <f t="shared" si="25"/>
        <v>5  - 8</v>
      </c>
    </row>
    <row r="1646" spans="3:12">
      <c r="C1646" t="s">
        <v>31</v>
      </c>
      <c r="D1646" t="s">
        <v>63</v>
      </c>
      <c r="E1646">
        <v>8</v>
      </c>
      <c r="F1646" t="s">
        <v>10</v>
      </c>
      <c r="G1646" t="s">
        <v>51</v>
      </c>
      <c r="H1646" t="s">
        <v>397</v>
      </c>
      <c r="I1646" s="3" t="s">
        <v>69</v>
      </c>
      <c r="J1646" t="s">
        <v>54</v>
      </c>
      <c r="K1646" s="15">
        <v>750000</v>
      </c>
      <c r="L1646" s="5" t="str">
        <f t="shared" si="25"/>
        <v>5  - 8</v>
      </c>
    </row>
    <row r="1647" spans="3:12">
      <c r="C1647" t="s">
        <v>31</v>
      </c>
      <c r="D1647" t="s">
        <v>55</v>
      </c>
      <c r="E1647">
        <v>8</v>
      </c>
      <c r="F1647" t="s">
        <v>10</v>
      </c>
      <c r="G1647" t="s">
        <v>51</v>
      </c>
      <c r="H1647" t="s">
        <v>397</v>
      </c>
      <c r="I1647" s="3" t="s">
        <v>167</v>
      </c>
      <c r="J1647" t="s">
        <v>54</v>
      </c>
      <c r="K1647" s="15">
        <v>860000</v>
      </c>
      <c r="L1647" s="5" t="str">
        <f t="shared" si="25"/>
        <v>5  - 8</v>
      </c>
    </row>
    <row r="1648" spans="3:12">
      <c r="C1648" t="s">
        <v>31</v>
      </c>
      <c r="D1648" t="s">
        <v>73</v>
      </c>
      <c r="E1648">
        <v>8</v>
      </c>
      <c r="F1648" t="s">
        <v>10</v>
      </c>
      <c r="G1648" t="s">
        <v>59</v>
      </c>
      <c r="H1648" t="s">
        <v>397</v>
      </c>
      <c r="I1648" s="3" t="s">
        <v>130</v>
      </c>
      <c r="J1648" t="s">
        <v>54</v>
      </c>
      <c r="K1648" s="15">
        <v>950000</v>
      </c>
      <c r="L1648" s="5" t="str">
        <f t="shared" si="25"/>
        <v>5  - 8</v>
      </c>
    </row>
    <row r="1649" spans="3:12">
      <c r="C1649" t="s">
        <v>31</v>
      </c>
      <c r="D1649" t="s">
        <v>73</v>
      </c>
      <c r="E1649">
        <v>8</v>
      </c>
      <c r="F1649" t="s">
        <v>10</v>
      </c>
      <c r="G1649" t="s">
        <v>57</v>
      </c>
      <c r="H1649" t="s">
        <v>397</v>
      </c>
      <c r="I1649" s="3" t="s">
        <v>110</v>
      </c>
      <c r="J1649" t="s">
        <v>54</v>
      </c>
      <c r="K1649" s="15">
        <v>1000000</v>
      </c>
      <c r="L1649" s="5" t="str">
        <f t="shared" si="25"/>
        <v>5  - 8</v>
      </c>
    </row>
    <row r="1650" spans="3:12">
      <c r="C1650" t="s">
        <v>31</v>
      </c>
      <c r="D1650" t="s">
        <v>73</v>
      </c>
      <c r="E1650">
        <v>8</v>
      </c>
      <c r="F1650" t="s">
        <v>10</v>
      </c>
      <c r="G1650" t="s">
        <v>59</v>
      </c>
      <c r="H1650" t="s">
        <v>397</v>
      </c>
      <c r="I1650" s="3" t="s">
        <v>110</v>
      </c>
      <c r="J1650" t="s">
        <v>66</v>
      </c>
      <c r="K1650" s="15">
        <v>1000000</v>
      </c>
      <c r="L1650" s="5" t="str">
        <f t="shared" si="25"/>
        <v>5  - 8</v>
      </c>
    </row>
    <row r="1651" spans="3:12">
      <c r="C1651" t="s">
        <v>31</v>
      </c>
      <c r="D1651" t="s">
        <v>55</v>
      </c>
      <c r="E1651">
        <v>8</v>
      </c>
      <c r="F1651" t="s">
        <v>10</v>
      </c>
      <c r="G1651" t="s">
        <v>59</v>
      </c>
      <c r="H1651" t="s">
        <v>397</v>
      </c>
      <c r="I1651" s="3" t="s">
        <v>241</v>
      </c>
      <c r="J1651" t="s">
        <v>54</v>
      </c>
      <c r="K1651" s="15">
        <v>1035000</v>
      </c>
      <c r="L1651" s="5" t="str">
        <f t="shared" si="25"/>
        <v>5  - 8</v>
      </c>
    </row>
    <row r="1652" spans="3:12">
      <c r="C1652" t="s">
        <v>31</v>
      </c>
      <c r="D1652" t="s">
        <v>73</v>
      </c>
      <c r="E1652">
        <v>8</v>
      </c>
      <c r="F1652" t="s">
        <v>10</v>
      </c>
      <c r="G1652" t="s">
        <v>59</v>
      </c>
      <c r="H1652" t="s">
        <v>397</v>
      </c>
      <c r="I1652" s="3" t="s">
        <v>202</v>
      </c>
      <c r="J1652" t="s">
        <v>66</v>
      </c>
      <c r="K1652" s="15">
        <v>1040000</v>
      </c>
      <c r="L1652" s="5" t="str">
        <f t="shared" si="25"/>
        <v>5  - 8</v>
      </c>
    </row>
    <row r="1653" spans="3:12">
      <c r="C1653" t="s">
        <v>31</v>
      </c>
      <c r="D1653" t="s">
        <v>73</v>
      </c>
      <c r="E1653">
        <v>8</v>
      </c>
      <c r="F1653" t="s">
        <v>10</v>
      </c>
      <c r="G1653" t="s">
        <v>59</v>
      </c>
      <c r="H1653" t="s">
        <v>397</v>
      </c>
      <c r="I1653" s="3" t="s">
        <v>148</v>
      </c>
      <c r="J1653" t="s">
        <v>54</v>
      </c>
      <c r="K1653" s="15">
        <v>1050000</v>
      </c>
      <c r="L1653" s="5" t="str">
        <f t="shared" si="25"/>
        <v>5  - 8</v>
      </c>
    </row>
    <row r="1654" spans="3:12">
      <c r="C1654" t="s">
        <v>31</v>
      </c>
      <c r="D1654" t="s">
        <v>77</v>
      </c>
      <c r="E1654">
        <v>8</v>
      </c>
      <c r="F1654" t="s">
        <v>10</v>
      </c>
      <c r="G1654" t="s">
        <v>51</v>
      </c>
      <c r="H1654" t="s">
        <v>397</v>
      </c>
      <c r="I1654" s="3" t="s">
        <v>148</v>
      </c>
      <c r="J1654" t="s">
        <v>66</v>
      </c>
      <c r="K1654" s="15">
        <v>1050000</v>
      </c>
      <c r="L1654" s="5" t="str">
        <f t="shared" si="25"/>
        <v>5  - 8</v>
      </c>
    </row>
    <row r="1655" spans="3:12">
      <c r="C1655" t="s">
        <v>31</v>
      </c>
      <c r="D1655" t="s">
        <v>67</v>
      </c>
      <c r="E1655">
        <v>8</v>
      </c>
      <c r="F1655" t="s">
        <v>10</v>
      </c>
      <c r="G1655" t="s">
        <v>59</v>
      </c>
      <c r="H1655" t="s">
        <v>397</v>
      </c>
      <c r="I1655" s="3" t="s">
        <v>106</v>
      </c>
      <c r="J1655" t="s">
        <v>66</v>
      </c>
      <c r="K1655" s="15">
        <v>1100000</v>
      </c>
      <c r="L1655" s="5" t="str">
        <f t="shared" si="25"/>
        <v>5  - 8</v>
      </c>
    </row>
    <row r="1656" spans="3:12">
      <c r="C1656" t="s">
        <v>31</v>
      </c>
      <c r="D1656" t="s">
        <v>55</v>
      </c>
      <c r="E1656">
        <v>8</v>
      </c>
      <c r="F1656" t="s">
        <v>10</v>
      </c>
      <c r="G1656" t="s">
        <v>59</v>
      </c>
      <c r="H1656" t="s">
        <v>397</v>
      </c>
      <c r="I1656" s="3" t="s">
        <v>129</v>
      </c>
      <c r="J1656" t="s">
        <v>66</v>
      </c>
      <c r="K1656" s="15">
        <v>1150000</v>
      </c>
      <c r="L1656" s="5" t="str">
        <f t="shared" si="25"/>
        <v>5  - 8</v>
      </c>
    </row>
    <row r="1657" spans="3:12">
      <c r="C1657" t="s">
        <v>31</v>
      </c>
      <c r="D1657" t="s">
        <v>73</v>
      </c>
      <c r="E1657">
        <v>8</v>
      </c>
      <c r="F1657" t="s">
        <v>10</v>
      </c>
      <c r="G1657" t="s">
        <v>51</v>
      </c>
      <c r="H1657" t="s">
        <v>397</v>
      </c>
      <c r="I1657" s="3" t="s">
        <v>61</v>
      </c>
      <c r="J1657" t="s">
        <v>66</v>
      </c>
      <c r="K1657" s="15">
        <v>1200000</v>
      </c>
      <c r="L1657" s="5" t="str">
        <f t="shared" si="25"/>
        <v>5  - 8</v>
      </c>
    </row>
    <row r="1658" spans="3:12">
      <c r="C1658" t="s">
        <v>31</v>
      </c>
      <c r="D1658" t="s">
        <v>73</v>
      </c>
      <c r="E1658">
        <v>8</v>
      </c>
      <c r="F1658" t="s">
        <v>10</v>
      </c>
      <c r="G1658" t="s">
        <v>59</v>
      </c>
      <c r="H1658" t="s">
        <v>397</v>
      </c>
      <c r="I1658" s="3" t="s">
        <v>104</v>
      </c>
      <c r="J1658" t="s">
        <v>66</v>
      </c>
      <c r="K1658" s="15">
        <v>1300000</v>
      </c>
      <c r="L1658" s="5" t="str">
        <f t="shared" si="25"/>
        <v>5  - 8</v>
      </c>
    </row>
    <row r="1659" spans="3:12">
      <c r="C1659" t="s">
        <v>31</v>
      </c>
      <c r="D1659" t="s">
        <v>55</v>
      </c>
      <c r="E1659">
        <v>8</v>
      </c>
      <c r="F1659" t="s">
        <v>10</v>
      </c>
      <c r="G1659" t="s">
        <v>59</v>
      </c>
      <c r="H1659" t="s">
        <v>397</v>
      </c>
      <c r="I1659" s="3" t="s">
        <v>184</v>
      </c>
      <c r="J1659" t="s">
        <v>54</v>
      </c>
      <c r="K1659" s="15">
        <v>1350000</v>
      </c>
      <c r="L1659" s="5" t="str">
        <f t="shared" si="25"/>
        <v>5  - 8</v>
      </c>
    </row>
    <row r="1660" spans="3:12">
      <c r="C1660" t="s">
        <v>31</v>
      </c>
      <c r="D1660" t="s">
        <v>73</v>
      </c>
      <c r="E1660">
        <v>8</v>
      </c>
      <c r="F1660" t="s">
        <v>10</v>
      </c>
      <c r="G1660" t="s">
        <v>51</v>
      </c>
      <c r="H1660" t="s">
        <v>397</v>
      </c>
      <c r="I1660" s="3" t="s">
        <v>192</v>
      </c>
      <c r="J1660" t="s">
        <v>54</v>
      </c>
      <c r="K1660" s="15">
        <v>1600000</v>
      </c>
      <c r="L1660" s="5" t="str">
        <f t="shared" si="25"/>
        <v>5  - 8</v>
      </c>
    </row>
    <row r="1661" spans="3:12">
      <c r="C1661" t="s">
        <v>30</v>
      </c>
      <c r="D1661" t="s">
        <v>63</v>
      </c>
      <c r="E1661">
        <v>7</v>
      </c>
      <c r="F1661" t="s">
        <v>10</v>
      </c>
      <c r="G1661" t="s">
        <v>51</v>
      </c>
      <c r="H1661" t="s">
        <v>397</v>
      </c>
      <c r="I1661" s="3" t="s">
        <v>165</v>
      </c>
      <c r="J1661" t="s">
        <v>54</v>
      </c>
      <c r="K1661" s="15">
        <v>720000</v>
      </c>
      <c r="L1661" s="5" t="str">
        <f t="shared" si="25"/>
        <v>5  - 8</v>
      </c>
    </row>
    <row r="1662" spans="3:12">
      <c r="C1662" t="s">
        <v>30</v>
      </c>
      <c r="D1662" t="s">
        <v>55</v>
      </c>
      <c r="E1662">
        <v>7</v>
      </c>
      <c r="F1662" t="s">
        <v>10</v>
      </c>
      <c r="G1662" t="s">
        <v>59</v>
      </c>
      <c r="H1662" t="s">
        <v>397</v>
      </c>
      <c r="I1662" s="3" t="s">
        <v>110</v>
      </c>
      <c r="J1662" t="s">
        <v>54</v>
      </c>
      <c r="K1662" s="15">
        <v>1000000</v>
      </c>
      <c r="L1662" s="5" t="str">
        <f t="shared" si="25"/>
        <v>5  - 8</v>
      </c>
    </row>
    <row r="1663" spans="3:12">
      <c r="C1663" t="s">
        <v>31</v>
      </c>
      <c r="D1663" t="s">
        <v>49</v>
      </c>
      <c r="E1663">
        <v>7</v>
      </c>
      <c r="F1663" t="s">
        <v>10</v>
      </c>
      <c r="G1663" t="s">
        <v>127</v>
      </c>
      <c r="H1663" t="s">
        <v>397</v>
      </c>
      <c r="I1663" s="3" t="s">
        <v>139</v>
      </c>
      <c r="J1663" t="s">
        <v>54</v>
      </c>
      <c r="K1663" s="15">
        <v>600000</v>
      </c>
      <c r="L1663" s="5" t="str">
        <f t="shared" si="25"/>
        <v>5  - 8</v>
      </c>
    </row>
    <row r="1664" spans="3:12">
      <c r="C1664" t="s">
        <v>31</v>
      </c>
      <c r="D1664" t="s">
        <v>73</v>
      </c>
      <c r="E1664">
        <v>7</v>
      </c>
      <c r="F1664" t="s">
        <v>10</v>
      </c>
      <c r="G1664" t="s">
        <v>51</v>
      </c>
      <c r="H1664" t="s">
        <v>397</v>
      </c>
      <c r="I1664" s="3" t="s">
        <v>75</v>
      </c>
      <c r="J1664" t="s">
        <v>54</v>
      </c>
      <c r="K1664" s="15">
        <v>710000</v>
      </c>
      <c r="L1664" s="5" t="str">
        <f t="shared" si="25"/>
        <v>5  - 8</v>
      </c>
    </row>
    <row r="1665" spans="3:12">
      <c r="C1665" t="s">
        <v>31</v>
      </c>
      <c r="D1665" t="s">
        <v>55</v>
      </c>
      <c r="E1665">
        <v>7</v>
      </c>
      <c r="F1665" t="s">
        <v>10</v>
      </c>
      <c r="G1665" t="s">
        <v>51</v>
      </c>
      <c r="H1665" t="s">
        <v>397</v>
      </c>
      <c r="I1665" s="3" t="s">
        <v>274</v>
      </c>
      <c r="J1665" t="s">
        <v>54</v>
      </c>
      <c r="K1665" s="15">
        <v>725000</v>
      </c>
      <c r="L1665" s="5" t="str">
        <f t="shared" si="25"/>
        <v>5  - 8</v>
      </c>
    </row>
    <row r="1666" spans="3:12">
      <c r="C1666" t="s">
        <v>31</v>
      </c>
      <c r="D1666" t="s">
        <v>49</v>
      </c>
      <c r="E1666">
        <v>7</v>
      </c>
      <c r="F1666" t="s">
        <v>10</v>
      </c>
      <c r="G1666" t="s">
        <v>51</v>
      </c>
      <c r="H1666" t="s">
        <v>397</v>
      </c>
      <c r="I1666" s="3" t="s">
        <v>69</v>
      </c>
      <c r="J1666" t="s">
        <v>54</v>
      </c>
      <c r="K1666" s="15">
        <v>750000</v>
      </c>
      <c r="L1666" s="5" t="str">
        <f t="shared" si="25"/>
        <v>5  - 8</v>
      </c>
    </row>
    <row r="1667" spans="3:12">
      <c r="C1667" t="s">
        <v>31</v>
      </c>
      <c r="D1667" t="s">
        <v>73</v>
      </c>
      <c r="E1667">
        <v>7</v>
      </c>
      <c r="F1667" t="s">
        <v>10</v>
      </c>
      <c r="G1667" t="s">
        <v>51</v>
      </c>
      <c r="H1667" t="s">
        <v>397</v>
      </c>
      <c r="I1667" s="3" t="s">
        <v>69</v>
      </c>
      <c r="J1667" t="s">
        <v>54</v>
      </c>
      <c r="K1667" s="15">
        <v>750000</v>
      </c>
      <c r="L1667" s="5" t="str">
        <f t="shared" ref="L1667:L1730" si="26">_xlfn.XLOOKUP(E1667,$P$2:$P$5,$O$2:$O$5,,1)</f>
        <v>5  - 8</v>
      </c>
    </row>
    <row r="1668" spans="3:12">
      <c r="C1668" t="s">
        <v>31</v>
      </c>
      <c r="D1668" t="s">
        <v>50</v>
      </c>
      <c r="E1668">
        <v>7</v>
      </c>
      <c r="F1668" t="s">
        <v>10</v>
      </c>
      <c r="G1668" t="s">
        <v>57</v>
      </c>
      <c r="H1668" t="s">
        <v>397</v>
      </c>
      <c r="I1668" s="3" t="s">
        <v>255</v>
      </c>
      <c r="J1668" t="s">
        <v>54</v>
      </c>
      <c r="K1668" s="15">
        <v>796000</v>
      </c>
      <c r="L1668" s="5" t="str">
        <f t="shared" si="26"/>
        <v>5  - 8</v>
      </c>
    </row>
    <row r="1669" spans="3:12">
      <c r="C1669" t="s">
        <v>31</v>
      </c>
      <c r="D1669" t="s">
        <v>73</v>
      </c>
      <c r="E1669">
        <v>7</v>
      </c>
      <c r="F1669" t="s">
        <v>10</v>
      </c>
      <c r="G1669" t="s">
        <v>51</v>
      </c>
      <c r="H1669" t="s">
        <v>397</v>
      </c>
      <c r="I1669" s="3" t="s">
        <v>71</v>
      </c>
      <c r="J1669" t="s">
        <v>54</v>
      </c>
      <c r="K1669" s="15">
        <v>820000</v>
      </c>
      <c r="L1669" s="5" t="str">
        <f t="shared" si="26"/>
        <v>5  - 8</v>
      </c>
    </row>
    <row r="1670" spans="3:12">
      <c r="C1670" t="s">
        <v>31</v>
      </c>
      <c r="D1670" t="s">
        <v>55</v>
      </c>
      <c r="E1670">
        <v>7</v>
      </c>
      <c r="F1670" t="s">
        <v>10</v>
      </c>
      <c r="G1670" t="s">
        <v>51</v>
      </c>
      <c r="H1670" t="s">
        <v>397</v>
      </c>
      <c r="I1670" s="3" t="s">
        <v>421</v>
      </c>
      <c r="J1670" t="s">
        <v>54</v>
      </c>
      <c r="K1670" s="15">
        <v>937000</v>
      </c>
      <c r="L1670" s="5" t="str">
        <f t="shared" si="26"/>
        <v>5  - 8</v>
      </c>
    </row>
    <row r="1671" spans="3:12">
      <c r="C1671" t="s">
        <v>31</v>
      </c>
      <c r="D1671" t="s">
        <v>73</v>
      </c>
      <c r="E1671">
        <v>7</v>
      </c>
      <c r="F1671" t="s">
        <v>10</v>
      </c>
      <c r="G1671" t="s">
        <v>51</v>
      </c>
      <c r="H1671" t="s">
        <v>397</v>
      </c>
      <c r="I1671" s="3" t="s">
        <v>130</v>
      </c>
      <c r="J1671" t="s">
        <v>66</v>
      </c>
      <c r="K1671" s="15">
        <v>950000</v>
      </c>
      <c r="L1671" s="5" t="str">
        <f t="shared" si="26"/>
        <v>5  - 8</v>
      </c>
    </row>
    <row r="1672" spans="3:12">
      <c r="C1672" t="s">
        <v>31</v>
      </c>
      <c r="D1672" t="s">
        <v>77</v>
      </c>
      <c r="E1672">
        <v>7</v>
      </c>
      <c r="F1672" t="s">
        <v>10</v>
      </c>
      <c r="G1672" t="s">
        <v>51</v>
      </c>
      <c r="H1672" t="s">
        <v>397</v>
      </c>
      <c r="I1672" s="3" t="s">
        <v>130</v>
      </c>
      <c r="J1672" t="s">
        <v>66</v>
      </c>
      <c r="K1672" s="15">
        <v>950000</v>
      </c>
      <c r="L1672" s="5" t="str">
        <f t="shared" si="26"/>
        <v>5  - 8</v>
      </c>
    </row>
    <row r="1673" spans="3:12">
      <c r="C1673" t="s">
        <v>31</v>
      </c>
      <c r="D1673" t="s">
        <v>73</v>
      </c>
      <c r="E1673">
        <v>7</v>
      </c>
      <c r="F1673" t="s">
        <v>10</v>
      </c>
      <c r="G1673" t="s">
        <v>51</v>
      </c>
      <c r="H1673" t="s">
        <v>397</v>
      </c>
      <c r="I1673" s="3" t="s">
        <v>130</v>
      </c>
      <c r="J1673" t="s">
        <v>54</v>
      </c>
      <c r="K1673" s="15">
        <v>950000</v>
      </c>
      <c r="L1673" s="5" t="str">
        <f t="shared" si="26"/>
        <v>5  - 8</v>
      </c>
    </row>
    <row r="1674" spans="3:12">
      <c r="C1674" t="s">
        <v>31</v>
      </c>
      <c r="D1674" t="s">
        <v>73</v>
      </c>
      <c r="E1674">
        <v>7</v>
      </c>
      <c r="F1674" t="s">
        <v>10</v>
      </c>
      <c r="G1674" t="s">
        <v>59</v>
      </c>
      <c r="H1674" t="s">
        <v>397</v>
      </c>
      <c r="I1674" s="3" t="s">
        <v>298</v>
      </c>
      <c r="J1674" t="s">
        <v>54</v>
      </c>
      <c r="K1674" s="15">
        <v>975000</v>
      </c>
      <c r="L1674" s="5" t="str">
        <f t="shared" si="26"/>
        <v>5  - 8</v>
      </c>
    </row>
    <row r="1675" spans="3:12">
      <c r="C1675" t="s">
        <v>31</v>
      </c>
      <c r="D1675" t="s">
        <v>55</v>
      </c>
      <c r="E1675">
        <v>7</v>
      </c>
      <c r="F1675" t="s">
        <v>10</v>
      </c>
      <c r="G1675" t="s">
        <v>59</v>
      </c>
      <c r="H1675" t="s">
        <v>397</v>
      </c>
      <c r="I1675" s="3" t="s">
        <v>148</v>
      </c>
      <c r="J1675" t="s">
        <v>66</v>
      </c>
      <c r="K1675" s="15">
        <v>1050000</v>
      </c>
      <c r="L1675" s="5" t="str">
        <f t="shared" si="26"/>
        <v>5  - 8</v>
      </c>
    </row>
    <row r="1676" spans="3:12">
      <c r="C1676" t="s">
        <v>31</v>
      </c>
      <c r="D1676" t="s">
        <v>73</v>
      </c>
      <c r="E1676">
        <v>7</v>
      </c>
      <c r="F1676" t="s">
        <v>10</v>
      </c>
      <c r="G1676" t="s">
        <v>51</v>
      </c>
      <c r="H1676" t="s">
        <v>397</v>
      </c>
      <c r="I1676" s="3" t="s">
        <v>148</v>
      </c>
      <c r="J1676" t="s">
        <v>54</v>
      </c>
      <c r="K1676" s="15">
        <v>1050000</v>
      </c>
      <c r="L1676" s="5" t="str">
        <f t="shared" si="26"/>
        <v>5  - 8</v>
      </c>
    </row>
    <row r="1677" spans="3:12">
      <c r="C1677" t="s">
        <v>31</v>
      </c>
      <c r="D1677" t="s">
        <v>55</v>
      </c>
      <c r="E1677">
        <v>7</v>
      </c>
      <c r="F1677" t="s">
        <v>10</v>
      </c>
      <c r="G1677" t="s">
        <v>59</v>
      </c>
      <c r="H1677" t="s">
        <v>397</v>
      </c>
      <c r="I1677" s="3" t="s">
        <v>61</v>
      </c>
      <c r="J1677" t="s">
        <v>54</v>
      </c>
      <c r="K1677" s="15">
        <v>1200000</v>
      </c>
      <c r="L1677" s="5" t="str">
        <f t="shared" si="26"/>
        <v>5  - 8</v>
      </c>
    </row>
    <row r="1678" spans="3:12">
      <c r="C1678" t="s">
        <v>31</v>
      </c>
      <c r="D1678" t="s">
        <v>49</v>
      </c>
      <c r="E1678">
        <v>7</v>
      </c>
      <c r="F1678" t="s">
        <v>10</v>
      </c>
      <c r="G1678" t="s">
        <v>59</v>
      </c>
      <c r="H1678" t="s">
        <v>397</v>
      </c>
      <c r="I1678" s="3" t="s">
        <v>60</v>
      </c>
      <c r="J1678" t="s">
        <v>66</v>
      </c>
      <c r="K1678" s="15">
        <v>1500000</v>
      </c>
      <c r="L1678" s="5" t="str">
        <f t="shared" si="26"/>
        <v>5  - 8</v>
      </c>
    </row>
    <row r="1679" spans="3:12">
      <c r="C1679" t="s">
        <v>30</v>
      </c>
      <c r="D1679" t="s">
        <v>73</v>
      </c>
      <c r="E1679">
        <v>6</v>
      </c>
      <c r="F1679" t="s">
        <v>10</v>
      </c>
      <c r="G1679" t="s">
        <v>59</v>
      </c>
      <c r="H1679" t="s">
        <v>397</v>
      </c>
      <c r="I1679" s="3" t="s">
        <v>422</v>
      </c>
      <c r="J1679" t="s">
        <v>54</v>
      </c>
      <c r="K1679" s="15">
        <v>678000</v>
      </c>
      <c r="L1679" s="5" t="str">
        <f t="shared" si="26"/>
        <v>5  - 8</v>
      </c>
    </row>
    <row r="1680" spans="3:12">
      <c r="C1680" t="s">
        <v>30</v>
      </c>
      <c r="D1680" t="s">
        <v>77</v>
      </c>
      <c r="E1680">
        <v>6</v>
      </c>
      <c r="F1680" t="s">
        <v>10</v>
      </c>
      <c r="G1680" t="s">
        <v>59</v>
      </c>
      <c r="H1680" t="s">
        <v>397</v>
      </c>
      <c r="I1680" s="3" t="s">
        <v>68</v>
      </c>
      <c r="J1680" t="s">
        <v>54</v>
      </c>
      <c r="K1680" s="15">
        <v>980000</v>
      </c>
      <c r="L1680" s="5" t="str">
        <f t="shared" si="26"/>
        <v>5  - 8</v>
      </c>
    </row>
    <row r="1681" spans="3:12">
      <c r="C1681" t="s">
        <v>30</v>
      </c>
      <c r="D1681" t="s">
        <v>55</v>
      </c>
      <c r="E1681">
        <v>6</v>
      </c>
      <c r="F1681" t="s">
        <v>10</v>
      </c>
      <c r="G1681" t="s">
        <v>59</v>
      </c>
      <c r="H1681" t="s">
        <v>397</v>
      </c>
      <c r="I1681" s="3" t="s">
        <v>110</v>
      </c>
      <c r="J1681" t="s">
        <v>54</v>
      </c>
      <c r="K1681" s="15">
        <v>1000000</v>
      </c>
      <c r="L1681" s="5" t="str">
        <f t="shared" si="26"/>
        <v>5  - 8</v>
      </c>
    </row>
    <row r="1682" spans="3:12">
      <c r="C1682" t="s">
        <v>31</v>
      </c>
      <c r="D1682" t="s">
        <v>80</v>
      </c>
      <c r="E1682">
        <v>6</v>
      </c>
      <c r="F1682" t="s">
        <v>10</v>
      </c>
      <c r="G1682" t="s">
        <v>51</v>
      </c>
      <c r="H1682" t="s">
        <v>397</v>
      </c>
      <c r="I1682" s="3" t="s">
        <v>69</v>
      </c>
      <c r="J1682" t="s">
        <v>66</v>
      </c>
      <c r="K1682" s="15">
        <v>750000</v>
      </c>
      <c r="L1682" s="5" t="str">
        <f t="shared" si="26"/>
        <v>5  - 8</v>
      </c>
    </row>
    <row r="1683" spans="3:12">
      <c r="C1683" t="s">
        <v>31</v>
      </c>
      <c r="D1683" t="s">
        <v>73</v>
      </c>
      <c r="E1683">
        <v>6</v>
      </c>
      <c r="F1683" t="s">
        <v>10</v>
      </c>
      <c r="G1683" t="s">
        <v>51</v>
      </c>
      <c r="H1683" t="s">
        <v>397</v>
      </c>
      <c r="I1683" s="3" t="s">
        <v>69</v>
      </c>
      <c r="J1683" t="s">
        <v>54</v>
      </c>
      <c r="K1683" s="15">
        <v>750000</v>
      </c>
      <c r="L1683" s="5" t="str">
        <f t="shared" si="26"/>
        <v>5  - 8</v>
      </c>
    </row>
    <row r="1684" spans="3:12">
      <c r="C1684" t="s">
        <v>31</v>
      </c>
      <c r="D1684" t="s">
        <v>80</v>
      </c>
      <c r="E1684">
        <v>6</v>
      </c>
      <c r="F1684" t="s">
        <v>10</v>
      </c>
      <c r="G1684" t="s">
        <v>51</v>
      </c>
      <c r="H1684" t="s">
        <v>397</v>
      </c>
      <c r="I1684" s="3" t="s">
        <v>116</v>
      </c>
      <c r="J1684" t="s">
        <v>54</v>
      </c>
      <c r="K1684" s="15">
        <v>800000</v>
      </c>
      <c r="L1684" s="5" t="str">
        <f t="shared" si="26"/>
        <v>5  - 8</v>
      </c>
    </row>
    <row r="1685" spans="3:12">
      <c r="C1685" t="s">
        <v>31</v>
      </c>
      <c r="D1685" t="s">
        <v>73</v>
      </c>
      <c r="E1685">
        <v>6</v>
      </c>
      <c r="F1685" t="s">
        <v>10</v>
      </c>
      <c r="G1685" t="s">
        <v>51</v>
      </c>
      <c r="H1685" t="s">
        <v>397</v>
      </c>
      <c r="I1685" s="3" t="s">
        <v>116</v>
      </c>
      <c r="J1685" t="s">
        <v>54</v>
      </c>
      <c r="K1685" s="15">
        <v>800000</v>
      </c>
      <c r="L1685" s="5" t="str">
        <f t="shared" si="26"/>
        <v>5  - 8</v>
      </c>
    </row>
    <row r="1686" spans="3:12">
      <c r="C1686" t="s">
        <v>31</v>
      </c>
      <c r="D1686" t="s">
        <v>73</v>
      </c>
      <c r="E1686">
        <v>6</v>
      </c>
      <c r="F1686" t="s">
        <v>10</v>
      </c>
      <c r="G1686" t="s">
        <v>57</v>
      </c>
      <c r="H1686" t="s">
        <v>397</v>
      </c>
      <c r="I1686" s="3" t="s">
        <v>71</v>
      </c>
      <c r="J1686" t="s">
        <v>54</v>
      </c>
      <c r="K1686" s="15">
        <v>820000</v>
      </c>
      <c r="L1686" s="5" t="str">
        <f t="shared" si="26"/>
        <v>5  - 8</v>
      </c>
    </row>
    <row r="1687" spans="3:12">
      <c r="C1687" t="s">
        <v>31</v>
      </c>
      <c r="D1687" t="s">
        <v>55</v>
      </c>
      <c r="E1687">
        <v>6</v>
      </c>
      <c r="F1687" t="s">
        <v>10</v>
      </c>
      <c r="G1687" t="s">
        <v>59</v>
      </c>
      <c r="H1687" t="s">
        <v>397</v>
      </c>
      <c r="I1687" s="3" t="s">
        <v>200</v>
      </c>
      <c r="J1687" t="s">
        <v>54</v>
      </c>
      <c r="K1687" s="15">
        <v>845000</v>
      </c>
      <c r="L1687" s="5" t="str">
        <f t="shared" si="26"/>
        <v>5  - 8</v>
      </c>
    </row>
    <row r="1688" spans="3:12">
      <c r="C1688" t="s">
        <v>31</v>
      </c>
      <c r="D1688" t="s">
        <v>73</v>
      </c>
      <c r="E1688">
        <v>6</v>
      </c>
      <c r="F1688" t="s">
        <v>10</v>
      </c>
      <c r="G1688" t="s">
        <v>59</v>
      </c>
      <c r="H1688" t="s">
        <v>397</v>
      </c>
      <c r="I1688" s="3" t="s">
        <v>276</v>
      </c>
      <c r="J1688" t="s">
        <v>54</v>
      </c>
      <c r="K1688" s="15">
        <v>858000</v>
      </c>
      <c r="L1688" s="5" t="str">
        <f t="shared" si="26"/>
        <v>5  - 8</v>
      </c>
    </row>
    <row r="1689" spans="3:12">
      <c r="C1689" t="s">
        <v>31</v>
      </c>
      <c r="D1689" t="s">
        <v>55</v>
      </c>
      <c r="E1689">
        <v>6</v>
      </c>
      <c r="F1689" t="s">
        <v>10</v>
      </c>
      <c r="G1689" t="s">
        <v>51</v>
      </c>
      <c r="H1689" t="s">
        <v>397</v>
      </c>
      <c r="I1689" s="3" t="s">
        <v>166</v>
      </c>
      <c r="J1689" t="s">
        <v>54</v>
      </c>
      <c r="K1689" s="15">
        <v>890000</v>
      </c>
      <c r="L1689" s="5" t="str">
        <f t="shared" si="26"/>
        <v>5  - 8</v>
      </c>
    </row>
    <row r="1690" spans="3:12">
      <c r="C1690" t="s">
        <v>31</v>
      </c>
      <c r="D1690" t="s">
        <v>77</v>
      </c>
      <c r="E1690">
        <v>6</v>
      </c>
      <c r="F1690" t="s">
        <v>10</v>
      </c>
      <c r="G1690" t="s">
        <v>51</v>
      </c>
      <c r="H1690" t="s">
        <v>397</v>
      </c>
      <c r="I1690" s="3" t="s">
        <v>79</v>
      </c>
      <c r="J1690" t="s">
        <v>66</v>
      </c>
      <c r="K1690" s="15">
        <v>900000</v>
      </c>
      <c r="L1690" s="5" t="str">
        <f t="shared" si="26"/>
        <v>5  - 8</v>
      </c>
    </row>
    <row r="1691" spans="3:12">
      <c r="C1691" t="s">
        <v>31</v>
      </c>
      <c r="D1691" t="s">
        <v>55</v>
      </c>
      <c r="E1691">
        <v>6</v>
      </c>
      <c r="F1691" t="s">
        <v>10</v>
      </c>
      <c r="G1691" t="s">
        <v>59</v>
      </c>
      <c r="H1691" t="s">
        <v>397</v>
      </c>
      <c r="I1691" s="3" t="s">
        <v>122</v>
      </c>
      <c r="J1691" t="s">
        <v>54</v>
      </c>
      <c r="K1691" s="15">
        <v>930000</v>
      </c>
      <c r="L1691" s="5" t="str">
        <f t="shared" si="26"/>
        <v>5  - 8</v>
      </c>
    </row>
    <row r="1692" spans="3:12">
      <c r="C1692" t="s">
        <v>31</v>
      </c>
      <c r="D1692" t="s">
        <v>55</v>
      </c>
      <c r="E1692">
        <v>6</v>
      </c>
      <c r="F1692" t="s">
        <v>10</v>
      </c>
      <c r="G1692" t="s">
        <v>59</v>
      </c>
      <c r="H1692" t="s">
        <v>397</v>
      </c>
      <c r="I1692" s="3" t="s">
        <v>122</v>
      </c>
      <c r="J1692" t="s">
        <v>66</v>
      </c>
      <c r="K1692" s="15">
        <v>930000</v>
      </c>
      <c r="L1692" s="5" t="str">
        <f t="shared" si="26"/>
        <v>5  - 8</v>
      </c>
    </row>
    <row r="1693" spans="3:12">
      <c r="C1693" t="s">
        <v>31</v>
      </c>
      <c r="D1693" t="s">
        <v>55</v>
      </c>
      <c r="E1693">
        <v>6</v>
      </c>
      <c r="F1693" t="s">
        <v>10</v>
      </c>
      <c r="G1693" t="s">
        <v>59</v>
      </c>
      <c r="H1693" t="s">
        <v>397</v>
      </c>
      <c r="I1693" s="3" t="s">
        <v>324</v>
      </c>
      <c r="J1693" t="s">
        <v>54</v>
      </c>
      <c r="K1693" s="15">
        <v>935000</v>
      </c>
      <c r="L1693" s="5" t="str">
        <f t="shared" si="26"/>
        <v>5  - 8</v>
      </c>
    </row>
    <row r="1694" spans="3:12">
      <c r="C1694" t="s">
        <v>31</v>
      </c>
      <c r="D1694" t="s">
        <v>55</v>
      </c>
      <c r="E1694">
        <v>6</v>
      </c>
      <c r="F1694" t="s">
        <v>10</v>
      </c>
      <c r="G1694" t="s">
        <v>51</v>
      </c>
      <c r="H1694" t="s">
        <v>397</v>
      </c>
      <c r="I1694" s="3" t="s">
        <v>260</v>
      </c>
      <c r="J1694" t="s">
        <v>54</v>
      </c>
      <c r="K1694" s="15">
        <v>945000</v>
      </c>
      <c r="L1694" s="5" t="str">
        <f t="shared" si="26"/>
        <v>5  - 8</v>
      </c>
    </row>
    <row r="1695" spans="3:12">
      <c r="C1695" t="s">
        <v>31</v>
      </c>
      <c r="D1695" t="s">
        <v>55</v>
      </c>
      <c r="E1695">
        <v>6</v>
      </c>
      <c r="F1695" t="s">
        <v>10</v>
      </c>
      <c r="G1695" t="s">
        <v>59</v>
      </c>
      <c r="H1695" t="s">
        <v>397</v>
      </c>
      <c r="I1695" s="3" t="s">
        <v>130</v>
      </c>
      <c r="J1695" t="s">
        <v>54</v>
      </c>
      <c r="K1695" s="15">
        <v>950000</v>
      </c>
      <c r="L1695" s="5" t="str">
        <f t="shared" si="26"/>
        <v>5  - 8</v>
      </c>
    </row>
    <row r="1696" spans="3:12">
      <c r="C1696" t="s">
        <v>31</v>
      </c>
      <c r="D1696" t="s">
        <v>55</v>
      </c>
      <c r="E1696">
        <v>6</v>
      </c>
      <c r="F1696" t="s">
        <v>10</v>
      </c>
      <c r="G1696" t="s">
        <v>59</v>
      </c>
      <c r="H1696" t="s">
        <v>397</v>
      </c>
      <c r="I1696" s="3" t="s">
        <v>130</v>
      </c>
      <c r="J1696" t="s">
        <v>54</v>
      </c>
      <c r="K1696" s="15">
        <v>950000</v>
      </c>
      <c r="L1696" s="5" t="str">
        <f t="shared" si="26"/>
        <v>5  - 8</v>
      </c>
    </row>
    <row r="1697" spans="3:12">
      <c r="C1697" t="s">
        <v>31</v>
      </c>
      <c r="D1697" t="s">
        <v>55</v>
      </c>
      <c r="E1697">
        <v>6</v>
      </c>
      <c r="F1697" t="s">
        <v>10</v>
      </c>
      <c r="G1697" t="s">
        <v>59</v>
      </c>
      <c r="H1697" t="s">
        <v>397</v>
      </c>
      <c r="I1697" s="3" t="s">
        <v>133</v>
      </c>
      <c r="J1697" t="s">
        <v>66</v>
      </c>
      <c r="K1697" s="15">
        <v>960000</v>
      </c>
      <c r="L1697" s="5" t="str">
        <f t="shared" si="26"/>
        <v>5  - 8</v>
      </c>
    </row>
    <row r="1698" spans="3:12">
      <c r="C1698" t="s">
        <v>31</v>
      </c>
      <c r="D1698" t="s">
        <v>55</v>
      </c>
      <c r="E1698">
        <v>6</v>
      </c>
      <c r="F1698" t="s">
        <v>10</v>
      </c>
      <c r="G1698" t="s">
        <v>59</v>
      </c>
      <c r="H1698" t="s">
        <v>397</v>
      </c>
      <c r="I1698" s="3" t="s">
        <v>110</v>
      </c>
      <c r="J1698" t="s">
        <v>66</v>
      </c>
      <c r="K1698" s="15">
        <v>1000000</v>
      </c>
      <c r="L1698" s="5" t="str">
        <f t="shared" si="26"/>
        <v>5  - 8</v>
      </c>
    </row>
    <row r="1699" spans="3:12">
      <c r="C1699" t="s">
        <v>31</v>
      </c>
      <c r="D1699" t="s">
        <v>73</v>
      </c>
      <c r="E1699">
        <v>6</v>
      </c>
      <c r="F1699" t="s">
        <v>10</v>
      </c>
      <c r="G1699" t="s">
        <v>59</v>
      </c>
      <c r="H1699" t="s">
        <v>397</v>
      </c>
      <c r="I1699" s="3" t="s">
        <v>110</v>
      </c>
      <c r="J1699" t="s">
        <v>66</v>
      </c>
      <c r="K1699" s="15">
        <v>1000000</v>
      </c>
      <c r="L1699" s="5" t="str">
        <f t="shared" si="26"/>
        <v>5  - 8</v>
      </c>
    </row>
    <row r="1700" spans="3:12">
      <c r="C1700" t="s">
        <v>31</v>
      </c>
      <c r="D1700" t="s">
        <v>80</v>
      </c>
      <c r="E1700">
        <v>6</v>
      </c>
      <c r="F1700" t="s">
        <v>10</v>
      </c>
      <c r="G1700" t="s">
        <v>51</v>
      </c>
      <c r="H1700" t="s">
        <v>397</v>
      </c>
      <c r="I1700" s="3" t="s">
        <v>181</v>
      </c>
      <c r="J1700" t="s">
        <v>66</v>
      </c>
      <c r="K1700" s="15">
        <v>1030000</v>
      </c>
      <c r="L1700" s="5" t="str">
        <f t="shared" si="26"/>
        <v>5  - 8</v>
      </c>
    </row>
    <row r="1701" spans="3:12">
      <c r="C1701" t="s">
        <v>31</v>
      </c>
      <c r="D1701" t="s">
        <v>49</v>
      </c>
      <c r="E1701">
        <v>6</v>
      </c>
      <c r="F1701" t="s">
        <v>10</v>
      </c>
      <c r="G1701" t="s">
        <v>59</v>
      </c>
      <c r="H1701" t="s">
        <v>397</v>
      </c>
      <c r="I1701" s="3" t="s">
        <v>148</v>
      </c>
      <c r="J1701" t="s">
        <v>54</v>
      </c>
      <c r="K1701" s="15">
        <v>1050000</v>
      </c>
      <c r="L1701" s="5" t="str">
        <f t="shared" si="26"/>
        <v>5  - 8</v>
      </c>
    </row>
    <row r="1702" spans="3:12">
      <c r="C1702" t="s">
        <v>31</v>
      </c>
      <c r="D1702" t="s">
        <v>55</v>
      </c>
      <c r="E1702">
        <v>6</v>
      </c>
      <c r="F1702" t="s">
        <v>10</v>
      </c>
      <c r="G1702" t="s">
        <v>51</v>
      </c>
      <c r="H1702" t="s">
        <v>397</v>
      </c>
      <c r="I1702" s="3" t="s">
        <v>148</v>
      </c>
      <c r="J1702" t="s">
        <v>54</v>
      </c>
      <c r="K1702" s="15">
        <v>1050000</v>
      </c>
      <c r="L1702" s="5" t="str">
        <f t="shared" si="26"/>
        <v>5  - 8</v>
      </c>
    </row>
    <row r="1703" spans="3:12">
      <c r="C1703" t="s">
        <v>31</v>
      </c>
      <c r="D1703" t="s">
        <v>55</v>
      </c>
      <c r="E1703">
        <v>6</v>
      </c>
      <c r="F1703" t="s">
        <v>10</v>
      </c>
      <c r="G1703" t="s">
        <v>59</v>
      </c>
      <c r="H1703" t="s">
        <v>397</v>
      </c>
      <c r="I1703" s="3" t="s">
        <v>106</v>
      </c>
      <c r="J1703" t="s">
        <v>54</v>
      </c>
      <c r="K1703" s="15">
        <v>1100000</v>
      </c>
      <c r="L1703" s="5" t="str">
        <f t="shared" si="26"/>
        <v>5  - 8</v>
      </c>
    </row>
    <row r="1704" spans="3:12">
      <c r="C1704" t="s">
        <v>31</v>
      </c>
      <c r="D1704" t="s">
        <v>55</v>
      </c>
      <c r="E1704">
        <v>6</v>
      </c>
      <c r="F1704" t="s">
        <v>10</v>
      </c>
      <c r="G1704" t="s">
        <v>59</v>
      </c>
      <c r="H1704" t="s">
        <v>397</v>
      </c>
      <c r="I1704" s="3" t="s">
        <v>106</v>
      </c>
      <c r="J1704" t="s">
        <v>54</v>
      </c>
      <c r="K1704" s="15">
        <v>1100000</v>
      </c>
      <c r="L1704" s="5" t="str">
        <f t="shared" si="26"/>
        <v>5  - 8</v>
      </c>
    </row>
    <row r="1705" spans="3:12">
      <c r="C1705" t="s">
        <v>31</v>
      </c>
      <c r="D1705" t="s">
        <v>49</v>
      </c>
      <c r="E1705">
        <v>6</v>
      </c>
      <c r="F1705" t="s">
        <v>10</v>
      </c>
      <c r="G1705" t="s">
        <v>59</v>
      </c>
      <c r="H1705" t="s">
        <v>397</v>
      </c>
      <c r="I1705" s="3" t="s">
        <v>61</v>
      </c>
      <c r="J1705" t="s">
        <v>54</v>
      </c>
      <c r="K1705" s="15">
        <v>1200000</v>
      </c>
      <c r="L1705" s="5" t="str">
        <f t="shared" si="26"/>
        <v>5  - 8</v>
      </c>
    </row>
    <row r="1706" spans="3:12">
      <c r="C1706" t="s">
        <v>31</v>
      </c>
      <c r="D1706" t="s">
        <v>73</v>
      </c>
      <c r="E1706">
        <v>6</v>
      </c>
      <c r="F1706" t="s">
        <v>10</v>
      </c>
      <c r="G1706" t="s">
        <v>59</v>
      </c>
      <c r="H1706" t="s">
        <v>397</v>
      </c>
      <c r="I1706" s="3" t="s">
        <v>104</v>
      </c>
      <c r="J1706" t="s">
        <v>66</v>
      </c>
      <c r="K1706" s="15">
        <v>1300000</v>
      </c>
      <c r="L1706" s="5" t="str">
        <f t="shared" si="26"/>
        <v>5  - 8</v>
      </c>
    </row>
    <row r="1707" spans="3:12">
      <c r="C1707" t="s">
        <v>31</v>
      </c>
      <c r="D1707" t="s">
        <v>73</v>
      </c>
      <c r="E1707">
        <v>6</v>
      </c>
      <c r="F1707" t="s">
        <v>10</v>
      </c>
      <c r="G1707" t="s">
        <v>59</v>
      </c>
      <c r="H1707" t="s">
        <v>397</v>
      </c>
      <c r="I1707" s="3" t="s">
        <v>184</v>
      </c>
      <c r="J1707" t="s">
        <v>54</v>
      </c>
      <c r="K1707" s="15">
        <v>1350000</v>
      </c>
      <c r="L1707" s="5" t="str">
        <f t="shared" si="26"/>
        <v>5  - 8</v>
      </c>
    </row>
    <row r="1708" spans="3:12">
      <c r="C1708" t="s">
        <v>31</v>
      </c>
      <c r="D1708" t="s">
        <v>77</v>
      </c>
      <c r="E1708">
        <v>6</v>
      </c>
      <c r="F1708" t="s">
        <v>10</v>
      </c>
      <c r="G1708" t="s">
        <v>127</v>
      </c>
      <c r="H1708" t="s">
        <v>397</v>
      </c>
      <c r="I1708" s="3" t="s">
        <v>97</v>
      </c>
      <c r="J1708" t="s">
        <v>54</v>
      </c>
      <c r="K1708" s="15">
        <v>1800000</v>
      </c>
      <c r="L1708" s="5" t="str">
        <f t="shared" si="26"/>
        <v>5  - 8</v>
      </c>
    </row>
    <row r="1709" spans="3:12">
      <c r="C1709" t="s">
        <v>30</v>
      </c>
      <c r="D1709" t="s">
        <v>55</v>
      </c>
      <c r="E1709">
        <v>5</v>
      </c>
      <c r="F1709" t="s">
        <v>10</v>
      </c>
      <c r="G1709" t="s">
        <v>57</v>
      </c>
      <c r="H1709" t="s">
        <v>397</v>
      </c>
      <c r="I1709" s="3" t="s">
        <v>83</v>
      </c>
      <c r="J1709" t="s">
        <v>54</v>
      </c>
      <c r="K1709" s="15">
        <v>810000</v>
      </c>
      <c r="L1709" s="5" t="str">
        <f t="shared" si="26"/>
        <v>5  - 8</v>
      </c>
    </row>
    <row r="1710" spans="3:12">
      <c r="C1710" t="s">
        <v>30</v>
      </c>
      <c r="D1710" t="s">
        <v>73</v>
      </c>
      <c r="E1710">
        <v>5</v>
      </c>
      <c r="F1710" t="s">
        <v>10</v>
      </c>
      <c r="G1710" t="s">
        <v>57</v>
      </c>
      <c r="H1710" t="s">
        <v>397</v>
      </c>
      <c r="I1710" s="3" t="s">
        <v>135</v>
      </c>
      <c r="J1710" t="s">
        <v>54</v>
      </c>
      <c r="K1710" s="15">
        <v>840000</v>
      </c>
      <c r="L1710" s="5" t="str">
        <f t="shared" si="26"/>
        <v>5  - 8</v>
      </c>
    </row>
    <row r="1711" spans="3:12">
      <c r="C1711" t="s">
        <v>30</v>
      </c>
      <c r="D1711" t="s">
        <v>55</v>
      </c>
      <c r="E1711">
        <v>5</v>
      </c>
      <c r="F1711" t="s">
        <v>10</v>
      </c>
      <c r="G1711" t="s">
        <v>59</v>
      </c>
      <c r="H1711" t="s">
        <v>397</v>
      </c>
      <c r="I1711" s="3" t="s">
        <v>154</v>
      </c>
      <c r="J1711" t="s">
        <v>54</v>
      </c>
      <c r="K1711" s="15">
        <v>875000</v>
      </c>
      <c r="L1711" s="5" t="str">
        <f t="shared" si="26"/>
        <v>5  - 8</v>
      </c>
    </row>
    <row r="1712" spans="3:12">
      <c r="C1712" t="s">
        <v>30</v>
      </c>
      <c r="D1712" t="s">
        <v>55</v>
      </c>
      <c r="E1712">
        <v>5</v>
      </c>
      <c r="F1712" t="s">
        <v>10</v>
      </c>
      <c r="G1712" t="s">
        <v>59</v>
      </c>
      <c r="H1712" t="s">
        <v>397</v>
      </c>
      <c r="I1712" s="3" t="s">
        <v>154</v>
      </c>
      <c r="J1712" t="s">
        <v>54</v>
      </c>
      <c r="K1712" s="15">
        <v>875000</v>
      </c>
      <c r="L1712" s="5" t="str">
        <f t="shared" si="26"/>
        <v>5  - 8</v>
      </c>
    </row>
    <row r="1713" spans="3:12">
      <c r="C1713" t="s">
        <v>30</v>
      </c>
      <c r="D1713" t="s">
        <v>55</v>
      </c>
      <c r="E1713">
        <v>5</v>
      </c>
      <c r="F1713" t="s">
        <v>10</v>
      </c>
      <c r="G1713" t="s">
        <v>59</v>
      </c>
      <c r="H1713" t="s">
        <v>397</v>
      </c>
      <c r="I1713" s="3" t="s">
        <v>247</v>
      </c>
      <c r="J1713" t="s">
        <v>54</v>
      </c>
      <c r="K1713" s="15">
        <v>885000</v>
      </c>
      <c r="L1713" s="5" t="str">
        <f t="shared" si="26"/>
        <v>5  - 8</v>
      </c>
    </row>
    <row r="1714" spans="3:12">
      <c r="C1714" t="s">
        <v>30</v>
      </c>
      <c r="D1714" t="s">
        <v>55</v>
      </c>
      <c r="E1714">
        <v>5</v>
      </c>
      <c r="F1714" t="s">
        <v>10</v>
      </c>
      <c r="G1714" t="s">
        <v>59</v>
      </c>
      <c r="H1714" t="s">
        <v>397</v>
      </c>
      <c r="I1714" s="3" t="s">
        <v>79</v>
      </c>
      <c r="J1714" t="s">
        <v>66</v>
      </c>
      <c r="K1714" s="15">
        <v>900000</v>
      </c>
      <c r="L1714" s="5" t="str">
        <f t="shared" si="26"/>
        <v>5  - 8</v>
      </c>
    </row>
    <row r="1715" spans="3:12">
      <c r="C1715" t="s">
        <v>30</v>
      </c>
      <c r="D1715" t="s">
        <v>55</v>
      </c>
      <c r="E1715">
        <v>5</v>
      </c>
      <c r="F1715" t="s">
        <v>10</v>
      </c>
      <c r="G1715" t="s">
        <v>59</v>
      </c>
      <c r="H1715" t="s">
        <v>397</v>
      </c>
      <c r="I1715" s="3" t="s">
        <v>173</v>
      </c>
      <c r="J1715" t="s">
        <v>66</v>
      </c>
      <c r="K1715" s="15">
        <v>1250000</v>
      </c>
      <c r="L1715" s="5" t="str">
        <f t="shared" si="26"/>
        <v>5  - 8</v>
      </c>
    </row>
    <row r="1716" spans="3:12">
      <c r="C1716" t="s">
        <v>31</v>
      </c>
      <c r="D1716" t="s">
        <v>73</v>
      </c>
      <c r="E1716">
        <v>5</v>
      </c>
      <c r="F1716" t="s">
        <v>10</v>
      </c>
      <c r="G1716" t="s">
        <v>51</v>
      </c>
      <c r="H1716" t="s">
        <v>397</v>
      </c>
      <c r="I1716" s="3" t="s">
        <v>157</v>
      </c>
      <c r="J1716" t="s">
        <v>54</v>
      </c>
      <c r="K1716" s="15">
        <v>625000</v>
      </c>
      <c r="L1716" s="5" t="str">
        <f t="shared" si="26"/>
        <v>5  - 8</v>
      </c>
    </row>
    <row r="1717" spans="3:12">
      <c r="C1717" t="s">
        <v>31</v>
      </c>
      <c r="D1717" t="s">
        <v>73</v>
      </c>
      <c r="E1717">
        <v>5</v>
      </c>
      <c r="F1717" t="s">
        <v>10</v>
      </c>
      <c r="G1717" t="s">
        <v>59</v>
      </c>
      <c r="H1717" t="s">
        <v>397</v>
      </c>
      <c r="I1717" s="3" t="s">
        <v>85</v>
      </c>
      <c r="J1717" t="s">
        <v>54</v>
      </c>
      <c r="K1717" s="15">
        <v>650000</v>
      </c>
      <c r="L1717" s="5" t="str">
        <f t="shared" si="26"/>
        <v>5  - 8</v>
      </c>
    </row>
    <row r="1718" spans="3:12">
      <c r="C1718" t="s">
        <v>31</v>
      </c>
      <c r="D1718" t="s">
        <v>77</v>
      </c>
      <c r="E1718">
        <v>5</v>
      </c>
      <c r="F1718" t="s">
        <v>10</v>
      </c>
      <c r="G1718" t="s">
        <v>51</v>
      </c>
      <c r="H1718" t="s">
        <v>397</v>
      </c>
      <c r="I1718" s="3" t="s">
        <v>423</v>
      </c>
      <c r="J1718" t="s">
        <v>66</v>
      </c>
      <c r="K1718" s="15">
        <v>674000</v>
      </c>
      <c r="L1718" s="5" t="str">
        <f t="shared" si="26"/>
        <v>5  - 8</v>
      </c>
    </row>
    <row r="1719" spans="3:12">
      <c r="C1719" t="s">
        <v>31</v>
      </c>
      <c r="D1719" t="s">
        <v>77</v>
      </c>
      <c r="E1719">
        <v>5</v>
      </c>
      <c r="F1719" t="s">
        <v>10</v>
      </c>
      <c r="G1719" t="s">
        <v>59</v>
      </c>
      <c r="H1719" t="s">
        <v>397</v>
      </c>
      <c r="I1719" s="3" t="s">
        <v>108</v>
      </c>
      <c r="J1719" t="s">
        <v>54</v>
      </c>
      <c r="K1719" s="15">
        <v>700000</v>
      </c>
      <c r="L1719" s="5" t="str">
        <f t="shared" si="26"/>
        <v>5  - 8</v>
      </c>
    </row>
    <row r="1720" spans="3:12">
      <c r="C1720" t="s">
        <v>31</v>
      </c>
      <c r="D1720" t="s">
        <v>55</v>
      </c>
      <c r="E1720">
        <v>5</v>
      </c>
      <c r="F1720" t="s">
        <v>10</v>
      </c>
      <c r="G1720" t="s">
        <v>57</v>
      </c>
      <c r="H1720" t="s">
        <v>397</v>
      </c>
      <c r="I1720" s="3" t="s">
        <v>74</v>
      </c>
      <c r="J1720" t="s">
        <v>66</v>
      </c>
      <c r="K1720" s="15">
        <v>730000</v>
      </c>
      <c r="L1720" s="5" t="str">
        <f t="shared" si="26"/>
        <v>5  - 8</v>
      </c>
    </row>
    <row r="1721" spans="3:12">
      <c r="C1721" t="s">
        <v>31</v>
      </c>
      <c r="D1721" t="s">
        <v>67</v>
      </c>
      <c r="E1721">
        <v>5</v>
      </c>
      <c r="F1721" t="s">
        <v>10</v>
      </c>
      <c r="G1721" t="s">
        <v>51</v>
      </c>
      <c r="H1721" t="s">
        <v>397</v>
      </c>
      <c r="I1721" s="3" t="s">
        <v>74</v>
      </c>
      <c r="J1721" t="s">
        <v>54</v>
      </c>
      <c r="K1721" s="15">
        <v>730000</v>
      </c>
      <c r="L1721" s="5" t="str">
        <f t="shared" si="26"/>
        <v>5  - 8</v>
      </c>
    </row>
    <row r="1722" spans="3:12">
      <c r="C1722" t="s">
        <v>31</v>
      </c>
      <c r="D1722" t="s">
        <v>73</v>
      </c>
      <c r="E1722">
        <v>5</v>
      </c>
      <c r="F1722" t="s">
        <v>10</v>
      </c>
      <c r="G1722" t="s">
        <v>59</v>
      </c>
      <c r="H1722" t="s">
        <v>397</v>
      </c>
      <c r="I1722" s="3" t="s">
        <v>69</v>
      </c>
      <c r="J1722" t="s">
        <v>66</v>
      </c>
      <c r="K1722" s="15">
        <v>750000</v>
      </c>
      <c r="L1722" s="5" t="str">
        <f t="shared" si="26"/>
        <v>5  - 8</v>
      </c>
    </row>
    <row r="1723" spans="3:12">
      <c r="C1723" t="s">
        <v>31</v>
      </c>
      <c r="D1723" t="s">
        <v>49</v>
      </c>
      <c r="E1723">
        <v>5</v>
      </c>
      <c r="F1723" t="s">
        <v>10</v>
      </c>
      <c r="G1723" t="s">
        <v>51</v>
      </c>
      <c r="H1723" t="s">
        <v>397</v>
      </c>
      <c r="I1723" s="3" t="s">
        <v>69</v>
      </c>
      <c r="J1723" t="s">
        <v>54</v>
      </c>
      <c r="K1723" s="15">
        <v>750000</v>
      </c>
      <c r="L1723" s="5" t="str">
        <f t="shared" si="26"/>
        <v>5  - 8</v>
      </c>
    </row>
    <row r="1724" spans="3:12">
      <c r="C1724" t="s">
        <v>31</v>
      </c>
      <c r="D1724" t="s">
        <v>55</v>
      </c>
      <c r="E1724">
        <v>5</v>
      </c>
      <c r="F1724" t="s">
        <v>10</v>
      </c>
      <c r="G1724" t="s">
        <v>59</v>
      </c>
      <c r="H1724" t="s">
        <v>397</v>
      </c>
      <c r="I1724" s="3" t="s">
        <v>156</v>
      </c>
      <c r="J1724" t="s">
        <v>54</v>
      </c>
      <c r="K1724" s="15">
        <v>770000</v>
      </c>
      <c r="L1724" s="5" t="str">
        <f t="shared" si="26"/>
        <v>5  - 8</v>
      </c>
    </row>
    <row r="1725" spans="3:12">
      <c r="C1725" t="s">
        <v>31</v>
      </c>
      <c r="D1725" t="s">
        <v>50</v>
      </c>
      <c r="E1725">
        <v>5</v>
      </c>
      <c r="F1725" t="s">
        <v>10</v>
      </c>
      <c r="G1725" t="s">
        <v>59</v>
      </c>
      <c r="H1725" t="s">
        <v>397</v>
      </c>
      <c r="I1725" s="3" t="s">
        <v>223</v>
      </c>
      <c r="J1725" t="s">
        <v>54</v>
      </c>
      <c r="K1725" s="15">
        <v>790000</v>
      </c>
      <c r="L1725" s="5" t="str">
        <f t="shared" si="26"/>
        <v>5  - 8</v>
      </c>
    </row>
    <row r="1726" spans="3:12">
      <c r="C1726" t="s">
        <v>31</v>
      </c>
      <c r="D1726" t="s">
        <v>55</v>
      </c>
      <c r="E1726">
        <v>5</v>
      </c>
      <c r="F1726" t="s">
        <v>10</v>
      </c>
      <c r="G1726" t="s">
        <v>51</v>
      </c>
      <c r="H1726" t="s">
        <v>397</v>
      </c>
      <c r="I1726" s="3" t="s">
        <v>116</v>
      </c>
      <c r="J1726" t="s">
        <v>66</v>
      </c>
      <c r="K1726" s="15">
        <v>800000</v>
      </c>
      <c r="L1726" s="5" t="str">
        <f t="shared" si="26"/>
        <v>5  - 8</v>
      </c>
    </row>
    <row r="1727" spans="3:12">
      <c r="C1727" t="s">
        <v>31</v>
      </c>
      <c r="D1727" t="s">
        <v>49</v>
      </c>
      <c r="E1727">
        <v>5</v>
      </c>
      <c r="F1727" t="s">
        <v>10</v>
      </c>
      <c r="G1727" t="s">
        <v>51</v>
      </c>
      <c r="H1727" t="s">
        <v>397</v>
      </c>
      <c r="I1727" s="3" t="s">
        <v>116</v>
      </c>
      <c r="J1727" t="s">
        <v>54</v>
      </c>
      <c r="K1727" s="15">
        <v>800000</v>
      </c>
      <c r="L1727" s="5" t="str">
        <f t="shared" si="26"/>
        <v>5  - 8</v>
      </c>
    </row>
    <row r="1728" spans="3:12">
      <c r="C1728" t="s">
        <v>31</v>
      </c>
      <c r="D1728" t="s">
        <v>55</v>
      </c>
      <c r="E1728">
        <v>5</v>
      </c>
      <c r="F1728" t="s">
        <v>10</v>
      </c>
      <c r="G1728" t="s">
        <v>51</v>
      </c>
      <c r="H1728" t="s">
        <v>397</v>
      </c>
      <c r="I1728" s="3" t="s">
        <v>116</v>
      </c>
      <c r="J1728" t="s">
        <v>54</v>
      </c>
      <c r="K1728" s="15">
        <v>800000</v>
      </c>
      <c r="L1728" s="5" t="str">
        <f t="shared" si="26"/>
        <v>5  - 8</v>
      </c>
    </row>
    <row r="1729" spans="3:12">
      <c r="C1729" t="s">
        <v>31</v>
      </c>
      <c r="D1729" t="s">
        <v>73</v>
      </c>
      <c r="E1729">
        <v>5</v>
      </c>
      <c r="F1729" t="s">
        <v>10</v>
      </c>
      <c r="G1729" t="s">
        <v>51</v>
      </c>
      <c r="H1729" t="s">
        <v>397</v>
      </c>
      <c r="I1729" s="3" t="s">
        <v>424</v>
      </c>
      <c r="J1729" t="s">
        <v>54</v>
      </c>
      <c r="K1729" s="15">
        <v>802000</v>
      </c>
      <c r="L1729" s="5" t="str">
        <f t="shared" si="26"/>
        <v>5  - 8</v>
      </c>
    </row>
    <row r="1730" spans="3:12">
      <c r="C1730" t="s">
        <v>31</v>
      </c>
      <c r="D1730" t="s">
        <v>55</v>
      </c>
      <c r="E1730">
        <v>5</v>
      </c>
      <c r="F1730" t="s">
        <v>10</v>
      </c>
      <c r="G1730" t="s">
        <v>51</v>
      </c>
      <c r="H1730" t="s">
        <v>397</v>
      </c>
      <c r="I1730" s="3" t="s">
        <v>270</v>
      </c>
      <c r="J1730" t="s">
        <v>54</v>
      </c>
      <c r="K1730" s="15">
        <v>817000</v>
      </c>
      <c r="L1730" s="5" t="str">
        <f t="shared" si="26"/>
        <v>5  - 8</v>
      </c>
    </row>
    <row r="1731" spans="3:12">
      <c r="C1731" t="s">
        <v>31</v>
      </c>
      <c r="D1731" t="s">
        <v>55</v>
      </c>
      <c r="E1731">
        <v>5</v>
      </c>
      <c r="F1731" t="s">
        <v>10</v>
      </c>
      <c r="G1731" t="s">
        <v>51</v>
      </c>
      <c r="H1731" t="s">
        <v>397</v>
      </c>
      <c r="I1731" s="3" t="s">
        <v>233</v>
      </c>
      <c r="J1731" t="s">
        <v>54</v>
      </c>
      <c r="K1731" s="15">
        <v>830000</v>
      </c>
      <c r="L1731" s="5" t="str">
        <f t="shared" ref="L1731:L1794" si="27">_xlfn.XLOOKUP(E1731,$P$2:$P$5,$O$2:$O$5,,1)</f>
        <v>5  - 8</v>
      </c>
    </row>
    <row r="1732" spans="3:12">
      <c r="C1732" t="s">
        <v>31</v>
      </c>
      <c r="D1732" t="s">
        <v>77</v>
      </c>
      <c r="E1732">
        <v>5</v>
      </c>
      <c r="F1732" t="s">
        <v>10</v>
      </c>
      <c r="G1732" t="s">
        <v>51</v>
      </c>
      <c r="H1732" t="s">
        <v>397</v>
      </c>
      <c r="I1732" s="3" t="s">
        <v>233</v>
      </c>
      <c r="J1732" t="s">
        <v>66</v>
      </c>
      <c r="K1732" s="15">
        <v>830000</v>
      </c>
      <c r="L1732" s="5" t="str">
        <f t="shared" si="27"/>
        <v>5  - 8</v>
      </c>
    </row>
    <row r="1733" spans="3:12">
      <c r="C1733" t="s">
        <v>31</v>
      </c>
      <c r="D1733" t="s">
        <v>73</v>
      </c>
      <c r="E1733">
        <v>5</v>
      </c>
      <c r="F1733" t="s">
        <v>10</v>
      </c>
      <c r="G1733" t="s">
        <v>59</v>
      </c>
      <c r="H1733" t="s">
        <v>397</v>
      </c>
      <c r="I1733" s="3" t="s">
        <v>167</v>
      </c>
      <c r="J1733" t="s">
        <v>54</v>
      </c>
      <c r="K1733" s="15">
        <v>860000</v>
      </c>
      <c r="L1733" s="5" t="str">
        <f t="shared" si="27"/>
        <v>5  - 8</v>
      </c>
    </row>
    <row r="1734" spans="3:12">
      <c r="C1734" t="s">
        <v>31</v>
      </c>
      <c r="D1734" t="s">
        <v>55</v>
      </c>
      <c r="E1734">
        <v>5</v>
      </c>
      <c r="F1734" t="s">
        <v>10</v>
      </c>
      <c r="G1734" t="s">
        <v>59</v>
      </c>
      <c r="H1734" t="s">
        <v>397</v>
      </c>
      <c r="I1734" s="3" t="s">
        <v>111</v>
      </c>
      <c r="J1734" t="s">
        <v>54</v>
      </c>
      <c r="K1734" s="15">
        <v>870000</v>
      </c>
      <c r="L1734" s="5" t="str">
        <f t="shared" si="27"/>
        <v>5  - 8</v>
      </c>
    </row>
    <row r="1735" spans="3:12">
      <c r="C1735" t="s">
        <v>31</v>
      </c>
      <c r="D1735" t="s">
        <v>55</v>
      </c>
      <c r="E1735">
        <v>5</v>
      </c>
      <c r="F1735" t="s">
        <v>10</v>
      </c>
      <c r="G1735" t="s">
        <v>51</v>
      </c>
      <c r="H1735" t="s">
        <v>397</v>
      </c>
      <c r="I1735" s="3" t="s">
        <v>111</v>
      </c>
      <c r="J1735" t="s">
        <v>54</v>
      </c>
      <c r="K1735" s="15">
        <v>870000</v>
      </c>
      <c r="L1735" s="5" t="str">
        <f t="shared" si="27"/>
        <v>5  - 8</v>
      </c>
    </row>
    <row r="1736" spans="3:12">
      <c r="C1736" t="s">
        <v>31</v>
      </c>
      <c r="D1736" t="s">
        <v>73</v>
      </c>
      <c r="E1736">
        <v>5</v>
      </c>
      <c r="F1736" t="s">
        <v>10</v>
      </c>
      <c r="G1736" t="s">
        <v>51</v>
      </c>
      <c r="H1736" t="s">
        <v>397</v>
      </c>
      <c r="I1736" s="3" t="s">
        <v>111</v>
      </c>
      <c r="J1736" t="s">
        <v>54</v>
      </c>
      <c r="K1736" s="15">
        <v>870000</v>
      </c>
      <c r="L1736" s="5" t="str">
        <f t="shared" si="27"/>
        <v>5  - 8</v>
      </c>
    </row>
    <row r="1737" spans="3:12">
      <c r="C1737" t="s">
        <v>31</v>
      </c>
      <c r="D1737" t="s">
        <v>73</v>
      </c>
      <c r="E1737">
        <v>5</v>
      </c>
      <c r="F1737" t="s">
        <v>10</v>
      </c>
      <c r="G1737" t="s">
        <v>59</v>
      </c>
      <c r="H1737" t="s">
        <v>397</v>
      </c>
      <c r="I1737" s="3" t="s">
        <v>111</v>
      </c>
      <c r="J1737" t="s">
        <v>66</v>
      </c>
      <c r="K1737" s="15">
        <v>870000</v>
      </c>
      <c r="L1737" s="5" t="str">
        <f t="shared" si="27"/>
        <v>5  - 8</v>
      </c>
    </row>
    <row r="1738" spans="3:12">
      <c r="C1738" t="s">
        <v>31</v>
      </c>
      <c r="D1738" t="s">
        <v>55</v>
      </c>
      <c r="E1738">
        <v>5</v>
      </c>
      <c r="F1738" t="s">
        <v>10</v>
      </c>
      <c r="G1738" t="s">
        <v>59</v>
      </c>
      <c r="H1738" t="s">
        <v>397</v>
      </c>
      <c r="I1738" s="3" t="s">
        <v>154</v>
      </c>
      <c r="J1738" t="s">
        <v>54</v>
      </c>
      <c r="K1738" s="15">
        <v>875000</v>
      </c>
      <c r="L1738" s="5" t="str">
        <f t="shared" si="27"/>
        <v>5  - 8</v>
      </c>
    </row>
    <row r="1739" spans="3:12">
      <c r="C1739" t="s">
        <v>31</v>
      </c>
      <c r="D1739" t="s">
        <v>105</v>
      </c>
      <c r="E1739">
        <v>5</v>
      </c>
      <c r="F1739" t="s">
        <v>10</v>
      </c>
      <c r="G1739" t="s">
        <v>51</v>
      </c>
      <c r="H1739" t="s">
        <v>397</v>
      </c>
      <c r="I1739" s="3" t="s">
        <v>166</v>
      </c>
      <c r="J1739" t="s">
        <v>54</v>
      </c>
      <c r="K1739" s="15">
        <v>890000</v>
      </c>
      <c r="L1739" s="5" t="str">
        <f t="shared" si="27"/>
        <v>5  - 8</v>
      </c>
    </row>
    <row r="1740" spans="3:12">
      <c r="C1740" t="s">
        <v>31</v>
      </c>
      <c r="D1740" t="s">
        <v>55</v>
      </c>
      <c r="E1740">
        <v>5</v>
      </c>
      <c r="F1740" t="s">
        <v>10</v>
      </c>
      <c r="G1740" t="s">
        <v>57</v>
      </c>
      <c r="H1740" t="s">
        <v>397</v>
      </c>
      <c r="I1740" s="3" t="s">
        <v>79</v>
      </c>
      <c r="J1740" t="s">
        <v>54</v>
      </c>
      <c r="K1740" s="15">
        <v>900000</v>
      </c>
      <c r="L1740" s="5" t="str">
        <f t="shared" si="27"/>
        <v>5  - 8</v>
      </c>
    </row>
    <row r="1741" spans="3:12">
      <c r="C1741" t="s">
        <v>31</v>
      </c>
      <c r="D1741" t="s">
        <v>67</v>
      </c>
      <c r="E1741">
        <v>5</v>
      </c>
      <c r="F1741" t="s">
        <v>10</v>
      </c>
      <c r="G1741" t="s">
        <v>51</v>
      </c>
      <c r="H1741" t="s">
        <v>397</v>
      </c>
      <c r="I1741" s="3" t="s">
        <v>79</v>
      </c>
      <c r="J1741" t="s">
        <v>54</v>
      </c>
      <c r="K1741" s="15">
        <v>900000</v>
      </c>
      <c r="L1741" s="5" t="str">
        <f t="shared" si="27"/>
        <v>5  - 8</v>
      </c>
    </row>
    <row r="1742" spans="3:12">
      <c r="C1742" t="s">
        <v>31</v>
      </c>
      <c r="D1742" t="s">
        <v>73</v>
      </c>
      <c r="E1742">
        <v>5</v>
      </c>
      <c r="F1742" t="s">
        <v>10</v>
      </c>
      <c r="G1742" t="s">
        <v>57</v>
      </c>
      <c r="H1742" t="s">
        <v>397</v>
      </c>
      <c r="I1742" s="3" t="s">
        <v>79</v>
      </c>
      <c r="J1742" t="s">
        <v>54</v>
      </c>
      <c r="K1742" s="15">
        <v>900000</v>
      </c>
      <c r="L1742" s="5" t="str">
        <f t="shared" si="27"/>
        <v>5  - 8</v>
      </c>
    </row>
    <row r="1743" spans="3:12">
      <c r="C1743" t="s">
        <v>31</v>
      </c>
      <c r="D1743" t="s">
        <v>49</v>
      </c>
      <c r="E1743">
        <v>5</v>
      </c>
      <c r="F1743" t="s">
        <v>10</v>
      </c>
      <c r="G1743" t="s">
        <v>59</v>
      </c>
      <c r="H1743" t="s">
        <v>397</v>
      </c>
      <c r="I1743" s="3" t="s">
        <v>79</v>
      </c>
      <c r="J1743" t="s">
        <v>66</v>
      </c>
      <c r="K1743" s="15">
        <v>900000</v>
      </c>
      <c r="L1743" s="5" t="str">
        <f t="shared" si="27"/>
        <v>5  - 8</v>
      </c>
    </row>
    <row r="1744" spans="3:12">
      <c r="C1744" t="s">
        <v>31</v>
      </c>
      <c r="D1744" t="s">
        <v>55</v>
      </c>
      <c r="E1744">
        <v>5</v>
      </c>
      <c r="F1744" t="s">
        <v>10</v>
      </c>
      <c r="G1744" t="s">
        <v>51</v>
      </c>
      <c r="H1744" t="s">
        <v>397</v>
      </c>
      <c r="I1744" s="3" t="s">
        <v>98</v>
      </c>
      <c r="J1744" t="s">
        <v>54</v>
      </c>
      <c r="K1744" s="15">
        <v>920000</v>
      </c>
      <c r="L1744" s="5" t="str">
        <f t="shared" si="27"/>
        <v>5  - 8</v>
      </c>
    </row>
    <row r="1745" spans="3:12">
      <c r="C1745" t="s">
        <v>31</v>
      </c>
      <c r="D1745" t="s">
        <v>55</v>
      </c>
      <c r="E1745">
        <v>5</v>
      </c>
      <c r="F1745" t="s">
        <v>10</v>
      </c>
      <c r="G1745" t="s">
        <v>51</v>
      </c>
      <c r="H1745" t="s">
        <v>397</v>
      </c>
      <c r="I1745" s="3" t="s">
        <v>122</v>
      </c>
      <c r="J1745" t="s">
        <v>54</v>
      </c>
      <c r="K1745" s="15">
        <v>930000</v>
      </c>
      <c r="L1745" s="5" t="str">
        <f t="shared" si="27"/>
        <v>5  - 8</v>
      </c>
    </row>
    <row r="1746" spans="3:12">
      <c r="C1746" t="s">
        <v>31</v>
      </c>
      <c r="D1746" t="s">
        <v>55</v>
      </c>
      <c r="E1746">
        <v>5</v>
      </c>
      <c r="F1746" t="s">
        <v>10</v>
      </c>
      <c r="G1746" t="s">
        <v>59</v>
      </c>
      <c r="H1746" t="s">
        <v>397</v>
      </c>
      <c r="I1746" s="3" t="s">
        <v>324</v>
      </c>
      <c r="J1746" t="s">
        <v>54</v>
      </c>
      <c r="K1746" s="15">
        <v>935000</v>
      </c>
      <c r="L1746" s="5" t="str">
        <f t="shared" si="27"/>
        <v>5  - 8</v>
      </c>
    </row>
    <row r="1747" spans="3:12">
      <c r="C1747" t="s">
        <v>31</v>
      </c>
      <c r="D1747" t="s">
        <v>55</v>
      </c>
      <c r="E1747">
        <v>5</v>
      </c>
      <c r="F1747" t="s">
        <v>10</v>
      </c>
      <c r="G1747" t="s">
        <v>59</v>
      </c>
      <c r="H1747" t="s">
        <v>397</v>
      </c>
      <c r="I1747" s="3" t="s">
        <v>324</v>
      </c>
      <c r="J1747" t="s">
        <v>66</v>
      </c>
      <c r="K1747" s="15">
        <v>935000</v>
      </c>
      <c r="L1747" s="5" t="str">
        <f t="shared" si="27"/>
        <v>5  - 8</v>
      </c>
    </row>
    <row r="1748" spans="3:12">
      <c r="C1748" t="s">
        <v>31</v>
      </c>
      <c r="D1748" t="s">
        <v>55</v>
      </c>
      <c r="E1748">
        <v>5</v>
      </c>
      <c r="F1748" t="s">
        <v>10</v>
      </c>
      <c r="G1748" t="s">
        <v>59</v>
      </c>
      <c r="H1748" t="s">
        <v>397</v>
      </c>
      <c r="I1748" s="3" t="s">
        <v>260</v>
      </c>
      <c r="J1748" t="s">
        <v>66</v>
      </c>
      <c r="K1748" s="15">
        <v>945000</v>
      </c>
      <c r="L1748" s="5" t="str">
        <f t="shared" si="27"/>
        <v>5  - 8</v>
      </c>
    </row>
    <row r="1749" spans="3:12">
      <c r="C1749" t="s">
        <v>31</v>
      </c>
      <c r="D1749" t="s">
        <v>73</v>
      </c>
      <c r="E1749">
        <v>5</v>
      </c>
      <c r="F1749" t="s">
        <v>10</v>
      </c>
      <c r="G1749" t="s">
        <v>51</v>
      </c>
      <c r="H1749" t="s">
        <v>397</v>
      </c>
      <c r="I1749" s="3" t="s">
        <v>110</v>
      </c>
      <c r="J1749" t="s">
        <v>54</v>
      </c>
      <c r="K1749" s="15">
        <v>1000000</v>
      </c>
      <c r="L1749" s="5" t="str">
        <f t="shared" si="27"/>
        <v>5  - 8</v>
      </c>
    </row>
    <row r="1750" spans="3:12">
      <c r="C1750" t="s">
        <v>31</v>
      </c>
      <c r="D1750" t="s">
        <v>55</v>
      </c>
      <c r="E1750">
        <v>5</v>
      </c>
      <c r="F1750" t="s">
        <v>10</v>
      </c>
      <c r="G1750" t="s">
        <v>59</v>
      </c>
      <c r="H1750" t="s">
        <v>397</v>
      </c>
      <c r="I1750" s="3" t="s">
        <v>110</v>
      </c>
      <c r="J1750" t="s">
        <v>54</v>
      </c>
      <c r="K1750" s="15">
        <v>1000000</v>
      </c>
      <c r="L1750" s="5" t="str">
        <f t="shared" si="27"/>
        <v>5  - 8</v>
      </c>
    </row>
    <row r="1751" spans="3:12">
      <c r="C1751" t="s">
        <v>31</v>
      </c>
      <c r="D1751" t="s">
        <v>67</v>
      </c>
      <c r="E1751">
        <v>5</v>
      </c>
      <c r="F1751" t="s">
        <v>10</v>
      </c>
      <c r="G1751" t="s">
        <v>59</v>
      </c>
      <c r="H1751" t="s">
        <v>397</v>
      </c>
      <c r="I1751" s="3" t="s">
        <v>110</v>
      </c>
      <c r="J1751" t="s">
        <v>54</v>
      </c>
      <c r="K1751" s="15">
        <v>1000000</v>
      </c>
      <c r="L1751" s="5" t="str">
        <f t="shared" si="27"/>
        <v>5  - 8</v>
      </c>
    </row>
    <row r="1752" spans="3:12">
      <c r="C1752" t="s">
        <v>31</v>
      </c>
      <c r="D1752" t="s">
        <v>73</v>
      </c>
      <c r="E1752">
        <v>5</v>
      </c>
      <c r="F1752" t="s">
        <v>10</v>
      </c>
      <c r="G1752" t="s">
        <v>51</v>
      </c>
      <c r="H1752" t="s">
        <v>397</v>
      </c>
      <c r="I1752" s="3" t="s">
        <v>360</v>
      </c>
      <c r="J1752" t="s">
        <v>54</v>
      </c>
      <c r="K1752" s="15">
        <v>1070000</v>
      </c>
      <c r="L1752" s="5" t="str">
        <f t="shared" si="27"/>
        <v>5  - 8</v>
      </c>
    </row>
    <row r="1753" spans="3:12">
      <c r="C1753" t="s">
        <v>31</v>
      </c>
      <c r="D1753" t="s">
        <v>55</v>
      </c>
      <c r="E1753">
        <v>5</v>
      </c>
      <c r="F1753" t="s">
        <v>10</v>
      </c>
      <c r="G1753" t="s">
        <v>51</v>
      </c>
      <c r="H1753" t="s">
        <v>397</v>
      </c>
      <c r="I1753" s="3" t="s">
        <v>106</v>
      </c>
      <c r="J1753" t="s">
        <v>54</v>
      </c>
      <c r="K1753" s="15">
        <v>1100000</v>
      </c>
      <c r="L1753" s="5" t="str">
        <f t="shared" si="27"/>
        <v>5  - 8</v>
      </c>
    </row>
    <row r="1754" spans="3:12">
      <c r="C1754" t="s">
        <v>31</v>
      </c>
      <c r="D1754" t="s">
        <v>55</v>
      </c>
      <c r="E1754">
        <v>5</v>
      </c>
      <c r="F1754" t="s">
        <v>10</v>
      </c>
      <c r="G1754" t="s">
        <v>59</v>
      </c>
      <c r="H1754" t="s">
        <v>397</v>
      </c>
      <c r="I1754" s="3" t="s">
        <v>106</v>
      </c>
      <c r="J1754" t="s">
        <v>66</v>
      </c>
      <c r="K1754" s="15">
        <v>1100000</v>
      </c>
      <c r="L1754" s="5" t="str">
        <f t="shared" si="27"/>
        <v>5  - 8</v>
      </c>
    </row>
    <row r="1755" spans="3:12">
      <c r="C1755" t="s">
        <v>31</v>
      </c>
      <c r="D1755" t="s">
        <v>73</v>
      </c>
      <c r="E1755">
        <v>5</v>
      </c>
      <c r="F1755" t="s">
        <v>10</v>
      </c>
      <c r="G1755" t="s">
        <v>59</v>
      </c>
      <c r="H1755" t="s">
        <v>397</v>
      </c>
      <c r="I1755" s="3" t="s">
        <v>61</v>
      </c>
      <c r="J1755" t="s">
        <v>54</v>
      </c>
      <c r="K1755" s="15">
        <v>1200000</v>
      </c>
      <c r="L1755" s="5" t="str">
        <f t="shared" si="27"/>
        <v>5  - 8</v>
      </c>
    </row>
    <row r="1756" spans="3:12">
      <c r="C1756" t="s">
        <v>31</v>
      </c>
      <c r="D1756" t="s">
        <v>73</v>
      </c>
      <c r="E1756">
        <v>5</v>
      </c>
      <c r="F1756" t="s">
        <v>10</v>
      </c>
      <c r="G1756" t="s">
        <v>51</v>
      </c>
      <c r="H1756" t="s">
        <v>397</v>
      </c>
      <c r="I1756" s="3" t="s">
        <v>61</v>
      </c>
      <c r="J1756" t="s">
        <v>66</v>
      </c>
      <c r="K1756" s="15">
        <v>1200000</v>
      </c>
      <c r="L1756" s="5" t="str">
        <f t="shared" si="27"/>
        <v>5  - 8</v>
      </c>
    </row>
    <row r="1757" spans="3:12">
      <c r="C1757" t="s">
        <v>31</v>
      </c>
      <c r="D1757" t="s">
        <v>55</v>
      </c>
      <c r="E1757">
        <v>5</v>
      </c>
      <c r="F1757" t="s">
        <v>10</v>
      </c>
      <c r="G1757" t="s">
        <v>59</v>
      </c>
      <c r="H1757" t="s">
        <v>397</v>
      </c>
      <c r="I1757" s="3" t="s">
        <v>184</v>
      </c>
      <c r="J1757" t="s">
        <v>66</v>
      </c>
      <c r="K1757" s="15">
        <v>1350000</v>
      </c>
      <c r="L1757" s="5" t="str">
        <f t="shared" si="27"/>
        <v>5  - 8</v>
      </c>
    </row>
    <row r="1758" spans="3:12">
      <c r="C1758" t="s">
        <v>31</v>
      </c>
      <c r="D1758" t="s">
        <v>55</v>
      </c>
      <c r="E1758">
        <v>5</v>
      </c>
      <c r="F1758" t="s">
        <v>10</v>
      </c>
      <c r="G1758" t="s">
        <v>127</v>
      </c>
      <c r="H1758" t="s">
        <v>397</v>
      </c>
      <c r="I1758" s="3" t="s">
        <v>60</v>
      </c>
      <c r="J1758" t="s">
        <v>54</v>
      </c>
      <c r="K1758" s="15">
        <v>1500000</v>
      </c>
      <c r="L1758" s="5" t="str">
        <f t="shared" si="27"/>
        <v>5  - 8</v>
      </c>
    </row>
    <row r="1759" spans="3:12" hidden="1">
      <c r="C1759" t="s">
        <v>30</v>
      </c>
      <c r="D1759" t="s">
        <v>73</v>
      </c>
      <c r="E1759">
        <v>4</v>
      </c>
      <c r="F1759" t="s">
        <v>10</v>
      </c>
      <c r="G1759" t="s">
        <v>57</v>
      </c>
      <c r="H1759" t="s">
        <v>397</v>
      </c>
      <c r="I1759" s="3" t="s">
        <v>159</v>
      </c>
      <c r="J1759" t="s">
        <v>54</v>
      </c>
      <c r="K1759" s="15">
        <v>680000</v>
      </c>
      <c r="L1759" s="5" t="str">
        <f t="shared" si="27"/>
        <v>0 - 4</v>
      </c>
    </row>
    <row r="1760" spans="3:12" hidden="1">
      <c r="C1760" t="s">
        <v>30</v>
      </c>
      <c r="D1760" t="s">
        <v>55</v>
      </c>
      <c r="E1760">
        <v>4</v>
      </c>
      <c r="F1760" t="s">
        <v>10</v>
      </c>
      <c r="G1760" t="s">
        <v>59</v>
      </c>
      <c r="H1760" t="s">
        <v>397</v>
      </c>
      <c r="I1760" s="3" t="s">
        <v>233</v>
      </c>
      <c r="J1760" t="s">
        <v>54</v>
      </c>
      <c r="K1760" s="15">
        <v>830000</v>
      </c>
      <c r="L1760" s="5" t="str">
        <f t="shared" si="27"/>
        <v>0 - 4</v>
      </c>
    </row>
    <row r="1761" spans="3:12" hidden="1">
      <c r="C1761" t="s">
        <v>30</v>
      </c>
      <c r="D1761" t="s">
        <v>55</v>
      </c>
      <c r="E1761">
        <v>4</v>
      </c>
      <c r="F1761" t="s">
        <v>10</v>
      </c>
      <c r="G1761" t="s">
        <v>59</v>
      </c>
      <c r="H1761" t="s">
        <v>397</v>
      </c>
      <c r="I1761" s="3" t="s">
        <v>130</v>
      </c>
      <c r="J1761" t="s">
        <v>54</v>
      </c>
      <c r="K1761" s="15">
        <v>950000</v>
      </c>
      <c r="L1761" s="5" t="str">
        <f t="shared" si="27"/>
        <v>0 - 4</v>
      </c>
    </row>
    <row r="1762" spans="3:12" hidden="1">
      <c r="C1762" t="s">
        <v>30</v>
      </c>
      <c r="D1762" t="s">
        <v>55</v>
      </c>
      <c r="E1762">
        <v>4</v>
      </c>
      <c r="F1762" t="s">
        <v>10</v>
      </c>
      <c r="G1762" t="s">
        <v>59</v>
      </c>
      <c r="H1762" t="s">
        <v>397</v>
      </c>
      <c r="I1762" s="3" t="s">
        <v>106</v>
      </c>
      <c r="J1762" t="s">
        <v>66</v>
      </c>
      <c r="K1762" s="15">
        <v>1100000</v>
      </c>
      <c r="L1762" s="5" t="str">
        <f t="shared" si="27"/>
        <v>0 - 4</v>
      </c>
    </row>
    <row r="1763" spans="3:12" hidden="1">
      <c r="C1763" t="s">
        <v>31</v>
      </c>
      <c r="D1763" t="s">
        <v>73</v>
      </c>
      <c r="E1763">
        <v>4</v>
      </c>
      <c r="F1763" t="s">
        <v>10</v>
      </c>
      <c r="G1763" t="s">
        <v>59</v>
      </c>
      <c r="H1763" t="s">
        <v>397</v>
      </c>
      <c r="I1763" s="3" t="s">
        <v>90</v>
      </c>
      <c r="J1763" t="s">
        <v>54</v>
      </c>
      <c r="K1763" s="15">
        <v>660000</v>
      </c>
      <c r="L1763" s="5" t="str">
        <f t="shared" si="27"/>
        <v>0 - 4</v>
      </c>
    </row>
    <row r="1764" spans="3:12" hidden="1">
      <c r="C1764" t="s">
        <v>31</v>
      </c>
      <c r="D1764" t="s">
        <v>49</v>
      </c>
      <c r="E1764">
        <v>4</v>
      </c>
      <c r="F1764" t="s">
        <v>10</v>
      </c>
      <c r="G1764" t="s">
        <v>59</v>
      </c>
      <c r="H1764" t="s">
        <v>397</v>
      </c>
      <c r="I1764" s="3" t="s">
        <v>90</v>
      </c>
      <c r="J1764" t="s">
        <v>66</v>
      </c>
      <c r="K1764" s="15">
        <v>660000</v>
      </c>
      <c r="L1764" s="5" t="str">
        <f t="shared" si="27"/>
        <v>0 - 4</v>
      </c>
    </row>
    <row r="1765" spans="3:12" hidden="1">
      <c r="C1765" t="s">
        <v>31</v>
      </c>
      <c r="D1765" t="s">
        <v>73</v>
      </c>
      <c r="E1765">
        <v>4</v>
      </c>
      <c r="F1765" t="s">
        <v>10</v>
      </c>
      <c r="G1765" t="s">
        <v>57</v>
      </c>
      <c r="H1765" t="s">
        <v>397</v>
      </c>
      <c r="I1765" s="3" t="s">
        <v>222</v>
      </c>
      <c r="J1765" t="s">
        <v>66</v>
      </c>
      <c r="K1765" s="15">
        <v>670000</v>
      </c>
      <c r="L1765" s="5" t="str">
        <f t="shared" si="27"/>
        <v>0 - 4</v>
      </c>
    </row>
    <row r="1766" spans="3:12" hidden="1">
      <c r="C1766" t="s">
        <v>31</v>
      </c>
      <c r="D1766" t="s">
        <v>73</v>
      </c>
      <c r="E1766">
        <v>4</v>
      </c>
      <c r="F1766" t="s">
        <v>10</v>
      </c>
      <c r="G1766" t="s">
        <v>59</v>
      </c>
      <c r="H1766" t="s">
        <v>397</v>
      </c>
      <c r="I1766" s="3" t="s">
        <v>108</v>
      </c>
      <c r="J1766" t="s">
        <v>54</v>
      </c>
      <c r="K1766" s="15">
        <v>700000</v>
      </c>
      <c r="L1766" s="5" t="str">
        <f t="shared" si="27"/>
        <v>0 - 4</v>
      </c>
    </row>
    <row r="1767" spans="3:12" hidden="1">
      <c r="C1767" t="s">
        <v>31</v>
      </c>
      <c r="D1767" t="s">
        <v>73</v>
      </c>
      <c r="E1767">
        <v>4</v>
      </c>
      <c r="F1767" t="s">
        <v>10</v>
      </c>
      <c r="G1767" t="s">
        <v>57</v>
      </c>
      <c r="H1767" t="s">
        <v>397</v>
      </c>
      <c r="I1767" s="3" t="s">
        <v>254</v>
      </c>
      <c r="J1767" t="s">
        <v>54</v>
      </c>
      <c r="K1767" s="15">
        <v>708000</v>
      </c>
      <c r="L1767" s="5" t="str">
        <f t="shared" si="27"/>
        <v>0 - 4</v>
      </c>
    </row>
    <row r="1768" spans="3:12" hidden="1">
      <c r="C1768" t="s">
        <v>31</v>
      </c>
      <c r="D1768" t="s">
        <v>55</v>
      </c>
      <c r="E1768">
        <v>4</v>
      </c>
      <c r="F1768" t="s">
        <v>10</v>
      </c>
      <c r="G1768" t="s">
        <v>51</v>
      </c>
      <c r="H1768" t="s">
        <v>397</v>
      </c>
      <c r="I1768" s="3" t="s">
        <v>165</v>
      </c>
      <c r="J1768" t="s">
        <v>66</v>
      </c>
      <c r="K1768" s="15">
        <v>720000</v>
      </c>
      <c r="L1768" s="5" t="str">
        <f t="shared" si="27"/>
        <v>0 - 4</v>
      </c>
    </row>
    <row r="1769" spans="3:12" hidden="1">
      <c r="C1769" t="s">
        <v>31</v>
      </c>
      <c r="D1769" t="s">
        <v>56</v>
      </c>
      <c r="E1769">
        <v>4</v>
      </c>
      <c r="F1769" t="s">
        <v>10</v>
      </c>
      <c r="G1769" t="s">
        <v>51</v>
      </c>
      <c r="H1769" t="s">
        <v>397</v>
      </c>
      <c r="I1769" s="3" t="s">
        <v>165</v>
      </c>
      <c r="J1769" t="s">
        <v>54</v>
      </c>
      <c r="K1769" s="15">
        <v>720000</v>
      </c>
      <c r="L1769" s="5" t="str">
        <f t="shared" si="27"/>
        <v>0 - 4</v>
      </c>
    </row>
    <row r="1770" spans="3:12" hidden="1">
      <c r="C1770" t="s">
        <v>31</v>
      </c>
      <c r="D1770" t="s">
        <v>73</v>
      </c>
      <c r="E1770">
        <v>4</v>
      </c>
      <c r="F1770" t="s">
        <v>10</v>
      </c>
      <c r="G1770" t="s">
        <v>51</v>
      </c>
      <c r="H1770" t="s">
        <v>397</v>
      </c>
      <c r="I1770" s="3" t="s">
        <v>69</v>
      </c>
      <c r="J1770" t="s">
        <v>54</v>
      </c>
      <c r="K1770" s="15">
        <v>750000</v>
      </c>
      <c r="L1770" s="5" t="str">
        <f t="shared" si="27"/>
        <v>0 - 4</v>
      </c>
    </row>
    <row r="1771" spans="3:12" hidden="1">
      <c r="C1771" t="s">
        <v>31</v>
      </c>
      <c r="D1771" t="s">
        <v>55</v>
      </c>
      <c r="E1771">
        <v>4</v>
      </c>
      <c r="F1771" t="s">
        <v>10</v>
      </c>
      <c r="G1771" t="s">
        <v>57</v>
      </c>
      <c r="H1771" t="s">
        <v>397</v>
      </c>
      <c r="I1771" s="3" t="s">
        <v>69</v>
      </c>
      <c r="J1771" t="s">
        <v>54</v>
      </c>
      <c r="K1771" s="15">
        <v>750000</v>
      </c>
      <c r="L1771" s="5" t="str">
        <f t="shared" si="27"/>
        <v>0 - 4</v>
      </c>
    </row>
    <row r="1772" spans="3:12" hidden="1">
      <c r="C1772" t="s">
        <v>31</v>
      </c>
      <c r="D1772" t="s">
        <v>55</v>
      </c>
      <c r="E1772">
        <v>4</v>
      </c>
      <c r="F1772" t="s">
        <v>10</v>
      </c>
      <c r="G1772" t="s">
        <v>59</v>
      </c>
      <c r="H1772" t="s">
        <v>397</v>
      </c>
      <c r="I1772" s="3" t="s">
        <v>69</v>
      </c>
      <c r="J1772" t="s">
        <v>66</v>
      </c>
      <c r="K1772" s="15">
        <v>750000</v>
      </c>
      <c r="L1772" s="5" t="str">
        <f t="shared" si="27"/>
        <v>0 - 4</v>
      </c>
    </row>
    <row r="1773" spans="3:12" hidden="1">
      <c r="C1773" t="s">
        <v>31</v>
      </c>
      <c r="D1773" t="s">
        <v>67</v>
      </c>
      <c r="E1773">
        <v>4</v>
      </c>
      <c r="F1773" t="s">
        <v>10</v>
      </c>
      <c r="G1773" t="s">
        <v>51</v>
      </c>
      <c r="H1773" t="s">
        <v>397</v>
      </c>
      <c r="I1773" s="3" t="s">
        <v>69</v>
      </c>
      <c r="J1773" t="s">
        <v>54</v>
      </c>
      <c r="K1773" s="15">
        <v>750000</v>
      </c>
      <c r="L1773" s="5" t="str">
        <f t="shared" si="27"/>
        <v>0 - 4</v>
      </c>
    </row>
    <row r="1774" spans="3:12" hidden="1">
      <c r="C1774" t="s">
        <v>31</v>
      </c>
      <c r="D1774" t="s">
        <v>73</v>
      </c>
      <c r="E1774">
        <v>4</v>
      </c>
      <c r="F1774" t="s">
        <v>10</v>
      </c>
      <c r="G1774" t="s">
        <v>59</v>
      </c>
      <c r="H1774" t="s">
        <v>397</v>
      </c>
      <c r="I1774" s="3" t="s">
        <v>425</v>
      </c>
      <c r="J1774" t="s">
        <v>54</v>
      </c>
      <c r="K1774" s="15">
        <v>751000</v>
      </c>
      <c r="L1774" s="5" t="str">
        <f t="shared" si="27"/>
        <v>0 - 4</v>
      </c>
    </row>
    <row r="1775" spans="3:12" hidden="1">
      <c r="C1775" t="s">
        <v>31</v>
      </c>
      <c r="D1775" t="s">
        <v>73</v>
      </c>
      <c r="E1775">
        <v>4</v>
      </c>
      <c r="F1775" t="s">
        <v>10</v>
      </c>
      <c r="G1775" t="s">
        <v>57</v>
      </c>
      <c r="H1775" t="s">
        <v>397</v>
      </c>
      <c r="I1775" s="3" t="s">
        <v>426</v>
      </c>
      <c r="J1775" t="s">
        <v>54</v>
      </c>
      <c r="K1775" s="15">
        <v>759000</v>
      </c>
      <c r="L1775" s="5" t="str">
        <f t="shared" si="27"/>
        <v>0 - 4</v>
      </c>
    </row>
    <row r="1776" spans="3:12" hidden="1">
      <c r="C1776" t="s">
        <v>31</v>
      </c>
      <c r="D1776" t="s">
        <v>55</v>
      </c>
      <c r="E1776">
        <v>4</v>
      </c>
      <c r="F1776" t="s">
        <v>10</v>
      </c>
      <c r="G1776" t="s">
        <v>59</v>
      </c>
      <c r="H1776" t="s">
        <v>397</v>
      </c>
      <c r="I1776" s="3" t="s">
        <v>220</v>
      </c>
      <c r="J1776" t="s">
        <v>54</v>
      </c>
      <c r="K1776" s="15">
        <v>760000</v>
      </c>
      <c r="L1776" s="5" t="str">
        <f t="shared" si="27"/>
        <v>0 - 4</v>
      </c>
    </row>
    <row r="1777" spans="3:12" hidden="1">
      <c r="C1777" t="s">
        <v>31</v>
      </c>
      <c r="D1777" t="s">
        <v>73</v>
      </c>
      <c r="E1777">
        <v>4</v>
      </c>
      <c r="F1777" t="s">
        <v>10</v>
      </c>
      <c r="G1777" t="s">
        <v>51</v>
      </c>
      <c r="H1777" t="s">
        <v>397</v>
      </c>
      <c r="I1777" s="3" t="s">
        <v>220</v>
      </c>
      <c r="J1777" t="s">
        <v>66</v>
      </c>
      <c r="K1777" s="15">
        <v>760000</v>
      </c>
      <c r="L1777" s="5" t="str">
        <f t="shared" si="27"/>
        <v>0 - 4</v>
      </c>
    </row>
    <row r="1778" spans="3:12" hidden="1">
      <c r="C1778" t="s">
        <v>31</v>
      </c>
      <c r="D1778" t="s">
        <v>73</v>
      </c>
      <c r="E1778">
        <v>4</v>
      </c>
      <c r="F1778" t="s">
        <v>10</v>
      </c>
      <c r="G1778" t="s">
        <v>59</v>
      </c>
      <c r="H1778" t="s">
        <v>397</v>
      </c>
      <c r="I1778" s="3" t="s">
        <v>220</v>
      </c>
      <c r="J1778" t="s">
        <v>66</v>
      </c>
      <c r="K1778" s="15">
        <v>760000</v>
      </c>
      <c r="L1778" s="5" t="str">
        <f t="shared" si="27"/>
        <v>0 - 4</v>
      </c>
    </row>
    <row r="1779" spans="3:12" hidden="1">
      <c r="C1779" t="s">
        <v>31</v>
      </c>
      <c r="D1779" t="s">
        <v>73</v>
      </c>
      <c r="E1779">
        <v>4</v>
      </c>
      <c r="F1779" t="s">
        <v>10</v>
      </c>
      <c r="G1779" t="s">
        <v>51</v>
      </c>
      <c r="H1779" t="s">
        <v>397</v>
      </c>
      <c r="I1779" s="3" t="s">
        <v>96</v>
      </c>
      <c r="J1779" t="s">
        <v>66</v>
      </c>
      <c r="K1779" s="15">
        <v>780000</v>
      </c>
      <c r="L1779" s="5" t="str">
        <f t="shared" si="27"/>
        <v>0 - 4</v>
      </c>
    </row>
    <row r="1780" spans="3:12" hidden="1">
      <c r="C1780" t="s">
        <v>31</v>
      </c>
      <c r="D1780" t="s">
        <v>55</v>
      </c>
      <c r="E1780">
        <v>4</v>
      </c>
      <c r="F1780" t="s">
        <v>10</v>
      </c>
      <c r="G1780" t="s">
        <v>59</v>
      </c>
      <c r="H1780" t="s">
        <v>397</v>
      </c>
      <c r="I1780" s="3" t="s">
        <v>223</v>
      </c>
      <c r="J1780" t="s">
        <v>54</v>
      </c>
      <c r="K1780" s="15">
        <v>790000</v>
      </c>
      <c r="L1780" s="5" t="str">
        <f t="shared" si="27"/>
        <v>0 - 4</v>
      </c>
    </row>
    <row r="1781" spans="3:12" hidden="1">
      <c r="C1781" t="s">
        <v>31</v>
      </c>
      <c r="D1781" t="s">
        <v>80</v>
      </c>
      <c r="E1781">
        <v>4</v>
      </c>
      <c r="F1781" t="s">
        <v>10</v>
      </c>
      <c r="G1781" t="s">
        <v>51</v>
      </c>
      <c r="H1781" t="s">
        <v>397</v>
      </c>
      <c r="I1781" s="3" t="s">
        <v>116</v>
      </c>
      <c r="J1781" t="s">
        <v>54</v>
      </c>
      <c r="K1781" s="15">
        <v>800000</v>
      </c>
      <c r="L1781" s="5" t="str">
        <f t="shared" si="27"/>
        <v>0 - 4</v>
      </c>
    </row>
    <row r="1782" spans="3:12" hidden="1">
      <c r="C1782" t="s">
        <v>31</v>
      </c>
      <c r="D1782" t="s">
        <v>80</v>
      </c>
      <c r="E1782">
        <v>4</v>
      </c>
      <c r="F1782" t="s">
        <v>10</v>
      </c>
      <c r="G1782" t="s">
        <v>51</v>
      </c>
      <c r="H1782" t="s">
        <v>397</v>
      </c>
      <c r="I1782" s="3" t="s">
        <v>116</v>
      </c>
      <c r="J1782" t="s">
        <v>54</v>
      </c>
      <c r="K1782" s="15">
        <v>800000</v>
      </c>
      <c r="L1782" s="5" t="str">
        <f t="shared" si="27"/>
        <v>0 - 4</v>
      </c>
    </row>
    <row r="1783" spans="3:12" hidden="1">
      <c r="C1783" t="s">
        <v>31</v>
      </c>
      <c r="D1783" t="s">
        <v>62</v>
      </c>
      <c r="E1783">
        <v>4</v>
      </c>
      <c r="F1783" t="s">
        <v>10</v>
      </c>
      <c r="G1783" t="s">
        <v>51</v>
      </c>
      <c r="H1783" t="s">
        <v>397</v>
      </c>
      <c r="I1783" s="3" t="s">
        <v>116</v>
      </c>
      <c r="J1783" t="s">
        <v>54</v>
      </c>
      <c r="K1783" s="15">
        <v>800000</v>
      </c>
      <c r="L1783" s="5" t="str">
        <f t="shared" si="27"/>
        <v>0 - 4</v>
      </c>
    </row>
    <row r="1784" spans="3:12" hidden="1">
      <c r="C1784" t="s">
        <v>31</v>
      </c>
      <c r="D1784" t="s">
        <v>55</v>
      </c>
      <c r="E1784">
        <v>4</v>
      </c>
      <c r="F1784" t="s">
        <v>10</v>
      </c>
      <c r="G1784" t="s">
        <v>59</v>
      </c>
      <c r="H1784" t="s">
        <v>397</v>
      </c>
      <c r="I1784" s="3" t="s">
        <v>116</v>
      </c>
      <c r="J1784" t="s">
        <v>54</v>
      </c>
      <c r="K1784" s="15">
        <v>800000</v>
      </c>
      <c r="L1784" s="5" t="str">
        <f t="shared" si="27"/>
        <v>0 - 4</v>
      </c>
    </row>
    <row r="1785" spans="3:12" hidden="1">
      <c r="C1785" t="s">
        <v>31</v>
      </c>
      <c r="D1785" t="s">
        <v>73</v>
      </c>
      <c r="E1785">
        <v>4</v>
      </c>
      <c r="F1785" t="s">
        <v>10</v>
      </c>
      <c r="G1785" t="s">
        <v>51</v>
      </c>
      <c r="H1785" t="s">
        <v>397</v>
      </c>
      <c r="I1785" s="3" t="s">
        <v>116</v>
      </c>
      <c r="J1785" t="s">
        <v>54</v>
      </c>
      <c r="K1785" s="15">
        <v>800000</v>
      </c>
      <c r="L1785" s="5" t="str">
        <f t="shared" si="27"/>
        <v>0 - 4</v>
      </c>
    </row>
    <row r="1786" spans="3:12" hidden="1">
      <c r="C1786" t="s">
        <v>31</v>
      </c>
      <c r="D1786" t="s">
        <v>55</v>
      </c>
      <c r="E1786">
        <v>4</v>
      </c>
      <c r="F1786" t="s">
        <v>10</v>
      </c>
      <c r="G1786" t="s">
        <v>59</v>
      </c>
      <c r="H1786" t="s">
        <v>397</v>
      </c>
      <c r="I1786" s="3" t="s">
        <v>256</v>
      </c>
      <c r="J1786" t="s">
        <v>54</v>
      </c>
      <c r="K1786" s="15">
        <v>825000</v>
      </c>
      <c r="L1786" s="5" t="str">
        <f t="shared" si="27"/>
        <v>0 - 4</v>
      </c>
    </row>
    <row r="1787" spans="3:12" hidden="1">
      <c r="C1787" t="s">
        <v>31</v>
      </c>
      <c r="D1787" t="s">
        <v>55</v>
      </c>
      <c r="E1787">
        <v>4</v>
      </c>
      <c r="F1787" t="s">
        <v>10</v>
      </c>
      <c r="G1787" t="s">
        <v>59</v>
      </c>
      <c r="H1787" t="s">
        <v>397</v>
      </c>
      <c r="I1787" s="3" t="s">
        <v>233</v>
      </c>
      <c r="J1787" t="s">
        <v>54</v>
      </c>
      <c r="K1787" s="15">
        <v>830000</v>
      </c>
      <c r="L1787" s="5" t="str">
        <f t="shared" si="27"/>
        <v>0 - 4</v>
      </c>
    </row>
    <row r="1788" spans="3:12" hidden="1">
      <c r="C1788" t="s">
        <v>31</v>
      </c>
      <c r="D1788" t="s">
        <v>55</v>
      </c>
      <c r="E1788">
        <v>4</v>
      </c>
      <c r="F1788" t="s">
        <v>10</v>
      </c>
      <c r="G1788" t="s">
        <v>59</v>
      </c>
      <c r="H1788" t="s">
        <v>397</v>
      </c>
      <c r="I1788" s="3" t="s">
        <v>233</v>
      </c>
      <c r="J1788" t="s">
        <v>54</v>
      </c>
      <c r="K1788" s="15">
        <v>830000</v>
      </c>
      <c r="L1788" s="5" t="str">
        <f t="shared" si="27"/>
        <v>0 - 4</v>
      </c>
    </row>
    <row r="1789" spans="3:12" hidden="1">
      <c r="C1789" t="s">
        <v>31</v>
      </c>
      <c r="D1789" t="s">
        <v>55</v>
      </c>
      <c r="E1789">
        <v>4</v>
      </c>
      <c r="F1789" t="s">
        <v>10</v>
      </c>
      <c r="G1789" t="s">
        <v>59</v>
      </c>
      <c r="H1789" t="s">
        <v>397</v>
      </c>
      <c r="I1789" s="3" t="s">
        <v>72</v>
      </c>
      <c r="J1789" t="s">
        <v>54</v>
      </c>
      <c r="K1789" s="15">
        <v>850000</v>
      </c>
      <c r="L1789" s="5" t="str">
        <f t="shared" si="27"/>
        <v>0 - 4</v>
      </c>
    </row>
    <row r="1790" spans="3:12" hidden="1">
      <c r="C1790" t="s">
        <v>31</v>
      </c>
      <c r="D1790" t="s">
        <v>73</v>
      </c>
      <c r="E1790">
        <v>4</v>
      </c>
      <c r="F1790" t="s">
        <v>10</v>
      </c>
      <c r="G1790" t="s">
        <v>59</v>
      </c>
      <c r="H1790" t="s">
        <v>397</v>
      </c>
      <c r="I1790" s="3" t="s">
        <v>167</v>
      </c>
      <c r="J1790" t="s">
        <v>54</v>
      </c>
      <c r="K1790" s="15">
        <v>860000</v>
      </c>
      <c r="L1790" s="5" t="str">
        <f t="shared" si="27"/>
        <v>0 - 4</v>
      </c>
    </row>
    <row r="1791" spans="3:12" hidden="1">
      <c r="C1791" t="s">
        <v>31</v>
      </c>
      <c r="D1791" t="s">
        <v>63</v>
      </c>
      <c r="E1791">
        <v>4</v>
      </c>
      <c r="F1791" t="s">
        <v>10</v>
      </c>
      <c r="G1791" t="s">
        <v>51</v>
      </c>
      <c r="H1791" t="s">
        <v>397</v>
      </c>
      <c r="I1791" s="3" t="s">
        <v>53</v>
      </c>
      <c r="J1791" t="s">
        <v>54</v>
      </c>
      <c r="K1791" s="15">
        <v>865000</v>
      </c>
      <c r="L1791" s="5" t="str">
        <f t="shared" si="27"/>
        <v>0 - 4</v>
      </c>
    </row>
    <row r="1792" spans="3:12" hidden="1">
      <c r="C1792" t="s">
        <v>31</v>
      </c>
      <c r="D1792" t="s">
        <v>55</v>
      </c>
      <c r="E1792">
        <v>4</v>
      </c>
      <c r="F1792" t="s">
        <v>10</v>
      </c>
      <c r="G1792" t="s">
        <v>59</v>
      </c>
      <c r="H1792" t="s">
        <v>397</v>
      </c>
      <c r="I1792" s="3" t="s">
        <v>247</v>
      </c>
      <c r="J1792" t="s">
        <v>66</v>
      </c>
      <c r="K1792" s="15">
        <v>885000</v>
      </c>
      <c r="L1792" s="5" t="str">
        <f t="shared" si="27"/>
        <v>0 - 4</v>
      </c>
    </row>
    <row r="1793" spans="3:12" hidden="1">
      <c r="C1793" t="s">
        <v>31</v>
      </c>
      <c r="D1793" t="s">
        <v>55</v>
      </c>
      <c r="E1793">
        <v>4</v>
      </c>
      <c r="F1793" t="s">
        <v>10</v>
      </c>
      <c r="G1793" t="s">
        <v>51</v>
      </c>
      <c r="H1793" t="s">
        <v>397</v>
      </c>
      <c r="I1793" s="3" t="s">
        <v>427</v>
      </c>
      <c r="J1793" t="s">
        <v>54</v>
      </c>
      <c r="K1793" s="15">
        <v>893000</v>
      </c>
      <c r="L1793" s="5" t="str">
        <f t="shared" si="27"/>
        <v>0 - 4</v>
      </c>
    </row>
    <row r="1794" spans="3:12" hidden="1">
      <c r="C1794" t="s">
        <v>31</v>
      </c>
      <c r="D1794" t="s">
        <v>73</v>
      </c>
      <c r="E1794">
        <v>4</v>
      </c>
      <c r="F1794" t="s">
        <v>10</v>
      </c>
      <c r="G1794" t="s">
        <v>59</v>
      </c>
      <c r="H1794" t="s">
        <v>397</v>
      </c>
      <c r="I1794" s="3" t="s">
        <v>79</v>
      </c>
      <c r="J1794" t="s">
        <v>66</v>
      </c>
      <c r="K1794" s="15">
        <v>900000</v>
      </c>
      <c r="L1794" s="5" t="str">
        <f t="shared" si="27"/>
        <v>0 - 4</v>
      </c>
    </row>
    <row r="1795" spans="3:12" hidden="1">
      <c r="C1795" t="s">
        <v>31</v>
      </c>
      <c r="D1795" t="s">
        <v>55</v>
      </c>
      <c r="E1795">
        <v>4</v>
      </c>
      <c r="F1795" t="s">
        <v>10</v>
      </c>
      <c r="G1795" t="s">
        <v>59</v>
      </c>
      <c r="H1795" t="s">
        <v>397</v>
      </c>
      <c r="I1795" s="3" t="s">
        <v>79</v>
      </c>
      <c r="J1795" t="s">
        <v>66</v>
      </c>
      <c r="K1795" s="15">
        <v>900000</v>
      </c>
      <c r="L1795" s="5" t="str">
        <f t="shared" ref="L1795:L1858" si="28">_xlfn.XLOOKUP(E1795,$P$2:$P$5,$O$2:$O$5,,1)</f>
        <v>0 - 4</v>
      </c>
    </row>
    <row r="1796" spans="3:12" hidden="1">
      <c r="C1796" t="s">
        <v>31</v>
      </c>
      <c r="D1796" t="s">
        <v>77</v>
      </c>
      <c r="E1796">
        <v>4</v>
      </c>
      <c r="F1796" t="s">
        <v>10</v>
      </c>
      <c r="G1796" t="s">
        <v>57</v>
      </c>
      <c r="H1796" t="s">
        <v>397</v>
      </c>
      <c r="I1796" s="3" t="s">
        <v>428</v>
      </c>
      <c r="J1796" t="s">
        <v>54</v>
      </c>
      <c r="K1796" s="15">
        <v>949000</v>
      </c>
      <c r="L1796" s="5" t="str">
        <f t="shared" si="28"/>
        <v>0 - 4</v>
      </c>
    </row>
    <row r="1797" spans="3:12" hidden="1">
      <c r="C1797" t="s">
        <v>31</v>
      </c>
      <c r="D1797" t="s">
        <v>55</v>
      </c>
      <c r="E1797">
        <v>4</v>
      </c>
      <c r="F1797" t="s">
        <v>10</v>
      </c>
      <c r="G1797" t="s">
        <v>51</v>
      </c>
      <c r="H1797" t="s">
        <v>397</v>
      </c>
      <c r="I1797" s="3" t="s">
        <v>110</v>
      </c>
      <c r="J1797" t="s">
        <v>54</v>
      </c>
      <c r="K1797" s="15">
        <v>1000000</v>
      </c>
      <c r="L1797" s="5" t="str">
        <f t="shared" si="28"/>
        <v>0 - 4</v>
      </c>
    </row>
    <row r="1798" spans="3:12" hidden="1">
      <c r="C1798" t="s">
        <v>31</v>
      </c>
      <c r="D1798" t="s">
        <v>73</v>
      </c>
      <c r="E1798">
        <v>4</v>
      </c>
      <c r="F1798" t="s">
        <v>10</v>
      </c>
      <c r="G1798" t="s">
        <v>59</v>
      </c>
      <c r="H1798" t="s">
        <v>397</v>
      </c>
      <c r="I1798" s="3" t="s">
        <v>110</v>
      </c>
      <c r="J1798" t="s">
        <v>66</v>
      </c>
      <c r="K1798" s="15">
        <v>1000000</v>
      </c>
      <c r="L1798" s="5" t="str">
        <f t="shared" si="28"/>
        <v>0 - 4</v>
      </c>
    </row>
    <row r="1799" spans="3:12" hidden="1">
      <c r="C1799" t="s">
        <v>31</v>
      </c>
      <c r="D1799" t="s">
        <v>55</v>
      </c>
      <c r="E1799">
        <v>4</v>
      </c>
      <c r="F1799" t="s">
        <v>10</v>
      </c>
      <c r="G1799" t="s">
        <v>59</v>
      </c>
      <c r="H1799" t="s">
        <v>397</v>
      </c>
      <c r="I1799" s="3" t="s">
        <v>110</v>
      </c>
      <c r="J1799" t="s">
        <v>54</v>
      </c>
      <c r="K1799" s="15">
        <v>1000000</v>
      </c>
      <c r="L1799" s="5" t="str">
        <f t="shared" si="28"/>
        <v>0 - 4</v>
      </c>
    </row>
    <row r="1800" spans="3:12" hidden="1">
      <c r="C1800" t="s">
        <v>31</v>
      </c>
      <c r="D1800" t="s">
        <v>50</v>
      </c>
      <c r="E1800">
        <v>4</v>
      </c>
      <c r="F1800" t="s">
        <v>10</v>
      </c>
      <c r="G1800" t="s">
        <v>59</v>
      </c>
      <c r="H1800" t="s">
        <v>397</v>
      </c>
      <c r="I1800" s="3" t="s">
        <v>110</v>
      </c>
      <c r="J1800" t="s">
        <v>66</v>
      </c>
      <c r="K1800" s="15">
        <v>1000000</v>
      </c>
      <c r="L1800" s="5" t="str">
        <f t="shared" si="28"/>
        <v>0 - 4</v>
      </c>
    </row>
    <row r="1801" spans="3:12" hidden="1">
      <c r="C1801" t="s">
        <v>31</v>
      </c>
      <c r="D1801" t="s">
        <v>55</v>
      </c>
      <c r="E1801">
        <v>4</v>
      </c>
      <c r="F1801" t="s">
        <v>10</v>
      </c>
      <c r="G1801" t="s">
        <v>51</v>
      </c>
      <c r="H1801" t="s">
        <v>397</v>
      </c>
      <c r="I1801" s="3" t="s">
        <v>429</v>
      </c>
      <c r="J1801" t="s">
        <v>66</v>
      </c>
      <c r="K1801" s="15">
        <v>1004000</v>
      </c>
      <c r="L1801" s="5" t="str">
        <f t="shared" si="28"/>
        <v>0 - 4</v>
      </c>
    </row>
    <row r="1802" spans="3:12" hidden="1">
      <c r="C1802" t="s">
        <v>31</v>
      </c>
      <c r="D1802" t="s">
        <v>55</v>
      </c>
      <c r="E1802">
        <v>4</v>
      </c>
      <c r="F1802" t="s">
        <v>10</v>
      </c>
      <c r="G1802" t="s">
        <v>57</v>
      </c>
      <c r="H1802" t="s">
        <v>397</v>
      </c>
      <c r="I1802" s="3" t="s">
        <v>106</v>
      </c>
      <c r="J1802" t="s">
        <v>66</v>
      </c>
      <c r="K1802" s="15">
        <v>1100000</v>
      </c>
      <c r="L1802" s="5" t="str">
        <f t="shared" si="28"/>
        <v>0 - 4</v>
      </c>
    </row>
    <row r="1803" spans="3:12" hidden="1">
      <c r="C1803" t="s">
        <v>31</v>
      </c>
      <c r="D1803" t="s">
        <v>55</v>
      </c>
      <c r="E1803">
        <v>4</v>
      </c>
      <c r="F1803" t="s">
        <v>10</v>
      </c>
      <c r="G1803" t="s">
        <v>59</v>
      </c>
      <c r="H1803" t="s">
        <v>397</v>
      </c>
      <c r="I1803" s="3" t="s">
        <v>129</v>
      </c>
      <c r="J1803" t="s">
        <v>66</v>
      </c>
      <c r="K1803" s="15">
        <v>1150000</v>
      </c>
      <c r="L1803" s="5" t="str">
        <f t="shared" si="28"/>
        <v>0 - 4</v>
      </c>
    </row>
    <row r="1804" spans="3:12" hidden="1">
      <c r="C1804" t="s">
        <v>31</v>
      </c>
      <c r="D1804" t="s">
        <v>73</v>
      </c>
      <c r="E1804">
        <v>4</v>
      </c>
      <c r="F1804" t="s">
        <v>10</v>
      </c>
      <c r="G1804" t="s">
        <v>59</v>
      </c>
      <c r="H1804" t="s">
        <v>397</v>
      </c>
      <c r="I1804" s="3" t="s">
        <v>103</v>
      </c>
      <c r="J1804" t="s">
        <v>54</v>
      </c>
      <c r="K1804" s="15">
        <v>1170000</v>
      </c>
      <c r="L1804" s="5" t="str">
        <f t="shared" si="28"/>
        <v>0 - 4</v>
      </c>
    </row>
    <row r="1805" spans="3:12" hidden="1">
      <c r="C1805" t="s">
        <v>31</v>
      </c>
      <c r="D1805" t="s">
        <v>49</v>
      </c>
      <c r="E1805">
        <v>4</v>
      </c>
      <c r="F1805" t="s">
        <v>10</v>
      </c>
      <c r="G1805" t="s">
        <v>59</v>
      </c>
      <c r="H1805" t="s">
        <v>397</v>
      </c>
      <c r="I1805" s="3" t="s">
        <v>104</v>
      </c>
      <c r="J1805" t="s">
        <v>54</v>
      </c>
      <c r="K1805" s="15">
        <v>1300000</v>
      </c>
      <c r="L1805" s="5" t="str">
        <f t="shared" si="28"/>
        <v>0 - 4</v>
      </c>
    </row>
    <row r="1806" spans="3:12" hidden="1">
      <c r="C1806" t="s">
        <v>31</v>
      </c>
      <c r="D1806" t="s">
        <v>55</v>
      </c>
      <c r="E1806">
        <v>4</v>
      </c>
      <c r="F1806" t="s">
        <v>10</v>
      </c>
      <c r="G1806" t="s">
        <v>51</v>
      </c>
      <c r="H1806" t="s">
        <v>397</v>
      </c>
      <c r="I1806" s="3" t="s">
        <v>175</v>
      </c>
      <c r="J1806" t="s">
        <v>66</v>
      </c>
      <c r="K1806" s="15">
        <v>1400000</v>
      </c>
      <c r="L1806" s="5" t="str">
        <f t="shared" si="28"/>
        <v>0 - 4</v>
      </c>
    </row>
    <row r="1807" spans="3:12" hidden="1">
      <c r="C1807" t="s">
        <v>30</v>
      </c>
      <c r="D1807" t="s">
        <v>55</v>
      </c>
      <c r="E1807">
        <v>3</v>
      </c>
      <c r="F1807" t="s">
        <v>10</v>
      </c>
      <c r="G1807" t="s">
        <v>59</v>
      </c>
      <c r="H1807" t="s">
        <v>397</v>
      </c>
      <c r="I1807" s="3" t="s">
        <v>222</v>
      </c>
      <c r="J1807" t="s">
        <v>54</v>
      </c>
      <c r="K1807" s="15">
        <v>670000</v>
      </c>
      <c r="L1807" s="5" t="str">
        <f t="shared" si="28"/>
        <v>0 - 4</v>
      </c>
    </row>
    <row r="1808" spans="3:12" hidden="1">
      <c r="C1808" t="s">
        <v>30</v>
      </c>
      <c r="D1808" t="s">
        <v>73</v>
      </c>
      <c r="E1808">
        <v>3</v>
      </c>
      <c r="F1808" t="s">
        <v>10</v>
      </c>
      <c r="G1808" t="s">
        <v>51</v>
      </c>
      <c r="H1808" t="s">
        <v>397</v>
      </c>
      <c r="I1808" s="3" t="s">
        <v>108</v>
      </c>
      <c r="J1808" t="s">
        <v>54</v>
      </c>
      <c r="K1808" s="15">
        <v>700000</v>
      </c>
      <c r="L1808" s="5" t="str">
        <f t="shared" si="28"/>
        <v>0 - 4</v>
      </c>
    </row>
    <row r="1809" spans="3:12" hidden="1">
      <c r="C1809" t="s">
        <v>30</v>
      </c>
      <c r="D1809" t="s">
        <v>73</v>
      </c>
      <c r="E1809">
        <v>3</v>
      </c>
      <c r="F1809" t="s">
        <v>10</v>
      </c>
      <c r="G1809" t="s">
        <v>51</v>
      </c>
      <c r="H1809" t="s">
        <v>397</v>
      </c>
      <c r="I1809" s="3" t="s">
        <v>74</v>
      </c>
      <c r="J1809" t="s">
        <v>54</v>
      </c>
      <c r="K1809" s="15">
        <v>730000</v>
      </c>
      <c r="L1809" s="5" t="str">
        <f t="shared" si="28"/>
        <v>0 - 4</v>
      </c>
    </row>
    <row r="1810" spans="3:12" hidden="1">
      <c r="C1810" t="s">
        <v>30</v>
      </c>
      <c r="D1810" t="s">
        <v>55</v>
      </c>
      <c r="E1810">
        <v>3</v>
      </c>
      <c r="F1810" t="s">
        <v>10</v>
      </c>
      <c r="G1810" t="s">
        <v>57</v>
      </c>
      <c r="H1810" t="s">
        <v>397</v>
      </c>
      <c r="I1810" s="3" t="s">
        <v>267</v>
      </c>
      <c r="J1810" t="s">
        <v>54</v>
      </c>
      <c r="K1810" s="15">
        <v>745000</v>
      </c>
      <c r="L1810" s="5" t="str">
        <f t="shared" si="28"/>
        <v>0 - 4</v>
      </c>
    </row>
    <row r="1811" spans="3:12" hidden="1">
      <c r="C1811" t="s">
        <v>30</v>
      </c>
      <c r="D1811" t="s">
        <v>56</v>
      </c>
      <c r="E1811">
        <v>3</v>
      </c>
      <c r="F1811" t="s">
        <v>10</v>
      </c>
      <c r="G1811" t="s">
        <v>51</v>
      </c>
      <c r="H1811" t="s">
        <v>397</v>
      </c>
      <c r="I1811" s="3" t="s">
        <v>430</v>
      </c>
      <c r="J1811" t="s">
        <v>54</v>
      </c>
      <c r="K1811" s="15">
        <v>747000</v>
      </c>
      <c r="L1811" s="5" t="str">
        <f t="shared" si="28"/>
        <v>0 - 4</v>
      </c>
    </row>
    <row r="1812" spans="3:12" hidden="1">
      <c r="C1812" t="s">
        <v>30</v>
      </c>
      <c r="D1812" t="s">
        <v>73</v>
      </c>
      <c r="E1812">
        <v>3</v>
      </c>
      <c r="F1812" t="s">
        <v>10</v>
      </c>
      <c r="G1812" t="s">
        <v>51</v>
      </c>
      <c r="H1812" t="s">
        <v>397</v>
      </c>
      <c r="I1812" s="3" t="s">
        <v>96</v>
      </c>
      <c r="J1812" t="s">
        <v>54</v>
      </c>
      <c r="K1812" s="15">
        <v>780000</v>
      </c>
      <c r="L1812" s="5" t="str">
        <f t="shared" si="28"/>
        <v>0 - 4</v>
      </c>
    </row>
    <row r="1813" spans="3:12" hidden="1">
      <c r="C1813" t="s">
        <v>30</v>
      </c>
      <c r="D1813" t="s">
        <v>55</v>
      </c>
      <c r="E1813">
        <v>3</v>
      </c>
      <c r="F1813" t="s">
        <v>10</v>
      </c>
      <c r="G1813" t="s">
        <v>59</v>
      </c>
      <c r="H1813" t="s">
        <v>397</v>
      </c>
      <c r="I1813" s="3" t="s">
        <v>116</v>
      </c>
      <c r="J1813" t="s">
        <v>66</v>
      </c>
      <c r="K1813" s="15">
        <v>800000</v>
      </c>
      <c r="L1813" s="5" t="str">
        <f t="shared" si="28"/>
        <v>0 - 4</v>
      </c>
    </row>
    <row r="1814" spans="3:12" hidden="1">
      <c r="C1814" t="s">
        <v>30</v>
      </c>
      <c r="D1814" t="s">
        <v>55</v>
      </c>
      <c r="E1814">
        <v>3</v>
      </c>
      <c r="F1814" t="s">
        <v>10</v>
      </c>
      <c r="G1814" t="s">
        <v>59</v>
      </c>
      <c r="H1814" t="s">
        <v>397</v>
      </c>
      <c r="I1814" s="3" t="s">
        <v>116</v>
      </c>
      <c r="J1814" t="s">
        <v>54</v>
      </c>
      <c r="K1814" s="15">
        <v>800000</v>
      </c>
      <c r="L1814" s="5" t="str">
        <f t="shared" si="28"/>
        <v>0 - 4</v>
      </c>
    </row>
    <row r="1815" spans="3:12" hidden="1">
      <c r="C1815" t="s">
        <v>30</v>
      </c>
      <c r="D1815" t="s">
        <v>73</v>
      </c>
      <c r="E1815">
        <v>3</v>
      </c>
      <c r="F1815" t="s">
        <v>10</v>
      </c>
      <c r="G1815" t="s">
        <v>59</v>
      </c>
      <c r="H1815" t="s">
        <v>397</v>
      </c>
      <c r="I1815" s="3" t="s">
        <v>72</v>
      </c>
      <c r="J1815" t="s">
        <v>66</v>
      </c>
      <c r="K1815" s="15">
        <v>850000</v>
      </c>
      <c r="L1815" s="5" t="str">
        <f t="shared" si="28"/>
        <v>0 - 4</v>
      </c>
    </row>
    <row r="1816" spans="3:12" hidden="1">
      <c r="C1816" t="s">
        <v>31</v>
      </c>
      <c r="D1816" t="s">
        <v>73</v>
      </c>
      <c r="E1816">
        <v>3</v>
      </c>
      <c r="F1816" t="s">
        <v>10</v>
      </c>
      <c r="G1816" t="s">
        <v>51</v>
      </c>
      <c r="H1816" t="s">
        <v>397</v>
      </c>
      <c r="I1816" s="3" t="s">
        <v>310</v>
      </c>
      <c r="J1816" t="s">
        <v>54</v>
      </c>
      <c r="K1816" s="15">
        <v>480000</v>
      </c>
      <c r="L1816" s="5" t="str">
        <f t="shared" si="28"/>
        <v>0 - 4</v>
      </c>
    </row>
    <row r="1817" spans="3:12" hidden="1">
      <c r="C1817" t="s">
        <v>31</v>
      </c>
      <c r="D1817" t="s">
        <v>73</v>
      </c>
      <c r="E1817">
        <v>3</v>
      </c>
      <c r="F1817" t="s">
        <v>10</v>
      </c>
      <c r="G1817" t="s">
        <v>51</v>
      </c>
      <c r="H1817" t="s">
        <v>397</v>
      </c>
      <c r="I1817" s="3" t="s">
        <v>118</v>
      </c>
      <c r="J1817" t="s">
        <v>66</v>
      </c>
      <c r="K1817" s="15">
        <v>570000</v>
      </c>
      <c r="L1817" s="5" t="str">
        <f t="shared" si="28"/>
        <v>0 - 4</v>
      </c>
    </row>
    <row r="1818" spans="3:12" hidden="1">
      <c r="C1818" t="s">
        <v>31</v>
      </c>
      <c r="D1818" t="s">
        <v>73</v>
      </c>
      <c r="E1818">
        <v>3</v>
      </c>
      <c r="F1818" t="s">
        <v>10</v>
      </c>
      <c r="G1818" t="s">
        <v>59</v>
      </c>
      <c r="H1818" t="s">
        <v>397</v>
      </c>
      <c r="I1818" s="3" t="s">
        <v>113</v>
      </c>
      <c r="J1818" t="s">
        <v>54</v>
      </c>
      <c r="K1818" s="15">
        <v>590000</v>
      </c>
      <c r="L1818" s="5" t="str">
        <f t="shared" si="28"/>
        <v>0 - 4</v>
      </c>
    </row>
    <row r="1819" spans="3:12" hidden="1">
      <c r="C1819" t="s">
        <v>31</v>
      </c>
      <c r="D1819" t="s">
        <v>73</v>
      </c>
      <c r="E1819">
        <v>3</v>
      </c>
      <c r="F1819" t="s">
        <v>10</v>
      </c>
      <c r="G1819" t="s">
        <v>59</v>
      </c>
      <c r="H1819" t="s">
        <v>397</v>
      </c>
      <c r="I1819" s="3" t="s">
        <v>139</v>
      </c>
      <c r="J1819" t="s">
        <v>54</v>
      </c>
      <c r="K1819" s="15">
        <v>600000</v>
      </c>
      <c r="L1819" s="5" t="str">
        <f t="shared" si="28"/>
        <v>0 - 4</v>
      </c>
    </row>
    <row r="1820" spans="3:12" hidden="1">
      <c r="C1820" t="s">
        <v>31</v>
      </c>
      <c r="D1820" t="s">
        <v>73</v>
      </c>
      <c r="E1820">
        <v>3</v>
      </c>
      <c r="F1820" t="s">
        <v>10</v>
      </c>
      <c r="G1820" t="s">
        <v>51</v>
      </c>
      <c r="H1820" t="s">
        <v>397</v>
      </c>
      <c r="I1820" s="3" t="s">
        <v>139</v>
      </c>
      <c r="J1820" t="s">
        <v>54</v>
      </c>
      <c r="K1820" s="15">
        <v>600000</v>
      </c>
      <c r="L1820" s="5" t="str">
        <f t="shared" si="28"/>
        <v>0 - 4</v>
      </c>
    </row>
    <row r="1821" spans="3:12" hidden="1">
      <c r="C1821" t="s">
        <v>31</v>
      </c>
      <c r="D1821" t="s">
        <v>77</v>
      </c>
      <c r="E1821">
        <v>3</v>
      </c>
      <c r="F1821" t="s">
        <v>10</v>
      </c>
      <c r="G1821" t="s">
        <v>59</v>
      </c>
      <c r="H1821" t="s">
        <v>397</v>
      </c>
      <c r="I1821" s="3" t="s">
        <v>90</v>
      </c>
      <c r="J1821" t="s">
        <v>66</v>
      </c>
      <c r="K1821" s="15">
        <v>660000</v>
      </c>
      <c r="L1821" s="5" t="str">
        <f t="shared" si="28"/>
        <v>0 - 4</v>
      </c>
    </row>
    <row r="1822" spans="3:12" hidden="1">
      <c r="C1822" t="s">
        <v>31</v>
      </c>
      <c r="D1822" t="s">
        <v>73</v>
      </c>
      <c r="E1822">
        <v>3</v>
      </c>
      <c r="F1822" t="s">
        <v>10</v>
      </c>
      <c r="G1822" t="s">
        <v>59</v>
      </c>
      <c r="H1822" t="s">
        <v>397</v>
      </c>
      <c r="I1822" s="3" t="s">
        <v>151</v>
      </c>
      <c r="J1822" t="s">
        <v>54</v>
      </c>
      <c r="K1822" s="15">
        <v>690000</v>
      </c>
      <c r="L1822" s="5" t="str">
        <f t="shared" si="28"/>
        <v>0 - 4</v>
      </c>
    </row>
    <row r="1823" spans="3:12" hidden="1">
      <c r="C1823" t="s">
        <v>31</v>
      </c>
      <c r="D1823" t="s">
        <v>55</v>
      </c>
      <c r="E1823">
        <v>3</v>
      </c>
      <c r="F1823" t="s">
        <v>10</v>
      </c>
      <c r="G1823" t="s">
        <v>59</v>
      </c>
      <c r="H1823" t="s">
        <v>397</v>
      </c>
      <c r="I1823" s="3" t="s">
        <v>271</v>
      </c>
      <c r="J1823" t="s">
        <v>54</v>
      </c>
      <c r="K1823" s="15">
        <v>695000</v>
      </c>
      <c r="L1823" s="5" t="str">
        <f t="shared" si="28"/>
        <v>0 - 4</v>
      </c>
    </row>
    <row r="1824" spans="3:12" hidden="1">
      <c r="C1824" t="s">
        <v>31</v>
      </c>
      <c r="D1824" t="s">
        <v>73</v>
      </c>
      <c r="E1824">
        <v>3</v>
      </c>
      <c r="F1824" t="s">
        <v>10</v>
      </c>
      <c r="G1824" t="s">
        <v>51</v>
      </c>
      <c r="H1824" t="s">
        <v>397</v>
      </c>
      <c r="I1824" s="3" t="s">
        <v>108</v>
      </c>
      <c r="J1824" t="s">
        <v>54</v>
      </c>
      <c r="K1824" s="15">
        <v>700000</v>
      </c>
      <c r="L1824" s="5" t="str">
        <f t="shared" si="28"/>
        <v>0 - 4</v>
      </c>
    </row>
    <row r="1825" spans="3:12" hidden="1">
      <c r="C1825" t="s">
        <v>31</v>
      </c>
      <c r="D1825" t="s">
        <v>49</v>
      </c>
      <c r="E1825">
        <v>3</v>
      </c>
      <c r="F1825" t="s">
        <v>10</v>
      </c>
      <c r="G1825" t="s">
        <v>57</v>
      </c>
      <c r="H1825" t="s">
        <v>397</v>
      </c>
      <c r="I1825" s="3" t="s">
        <v>108</v>
      </c>
      <c r="J1825" t="s">
        <v>66</v>
      </c>
      <c r="K1825" s="15">
        <v>700000</v>
      </c>
      <c r="L1825" s="5" t="str">
        <f t="shared" si="28"/>
        <v>0 - 4</v>
      </c>
    </row>
    <row r="1826" spans="3:12" hidden="1">
      <c r="C1826" t="s">
        <v>31</v>
      </c>
      <c r="D1826" t="s">
        <v>55</v>
      </c>
      <c r="E1826">
        <v>3</v>
      </c>
      <c r="F1826" t="s">
        <v>10</v>
      </c>
      <c r="G1826" t="s">
        <v>51</v>
      </c>
      <c r="H1826" t="s">
        <v>397</v>
      </c>
      <c r="I1826" s="3" t="s">
        <v>108</v>
      </c>
      <c r="J1826" t="s">
        <v>54</v>
      </c>
      <c r="K1826" s="15">
        <v>700000</v>
      </c>
      <c r="L1826" s="5" t="str">
        <f t="shared" si="28"/>
        <v>0 - 4</v>
      </c>
    </row>
    <row r="1827" spans="3:12" hidden="1">
      <c r="C1827" t="s">
        <v>31</v>
      </c>
      <c r="D1827" t="s">
        <v>55</v>
      </c>
      <c r="E1827">
        <v>3</v>
      </c>
      <c r="F1827" t="s">
        <v>10</v>
      </c>
      <c r="G1827" t="s">
        <v>59</v>
      </c>
      <c r="H1827" t="s">
        <v>397</v>
      </c>
      <c r="I1827" s="3" t="s">
        <v>431</v>
      </c>
      <c r="J1827" t="s">
        <v>54</v>
      </c>
      <c r="K1827" s="15">
        <v>709000</v>
      </c>
      <c r="L1827" s="5" t="str">
        <f t="shared" si="28"/>
        <v>0 - 4</v>
      </c>
    </row>
    <row r="1828" spans="3:12" hidden="1">
      <c r="C1828" t="s">
        <v>31</v>
      </c>
      <c r="D1828" t="s">
        <v>55</v>
      </c>
      <c r="E1828">
        <v>3</v>
      </c>
      <c r="F1828" t="s">
        <v>10</v>
      </c>
      <c r="G1828" t="s">
        <v>51</v>
      </c>
      <c r="H1828" t="s">
        <v>397</v>
      </c>
      <c r="I1828" s="3" t="s">
        <v>165</v>
      </c>
      <c r="J1828" t="s">
        <v>54</v>
      </c>
      <c r="K1828" s="15">
        <v>720000</v>
      </c>
      <c r="L1828" s="5" t="str">
        <f t="shared" si="28"/>
        <v>0 - 4</v>
      </c>
    </row>
    <row r="1829" spans="3:12" hidden="1">
      <c r="C1829" t="s">
        <v>31</v>
      </c>
      <c r="D1829" t="s">
        <v>73</v>
      </c>
      <c r="E1829">
        <v>3</v>
      </c>
      <c r="F1829" t="s">
        <v>10</v>
      </c>
      <c r="G1829" t="s">
        <v>59</v>
      </c>
      <c r="H1829" t="s">
        <v>397</v>
      </c>
      <c r="I1829" s="3" t="s">
        <v>432</v>
      </c>
      <c r="J1829" t="s">
        <v>54</v>
      </c>
      <c r="K1829" s="15">
        <v>741155</v>
      </c>
      <c r="L1829" s="5" t="str">
        <f t="shared" si="28"/>
        <v>0 - 4</v>
      </c>
    </row>
    <row r="1830" spans="3:12" hidden="1">
      <c r="C1830" t="s">
        <v>31</v>
      </c>
      <c r="D1830" t="s">
        <v>55</v>
      </c>
      <c r="E1830">
        <v>3</v>
      </c>
      <c r="F1830" t="s">
        <v>10</v>
      </c>
      <c r="G1830" t="s">
        <v>59</v>
      </c>
      <c r="H1830" t="s">
        <v>397</v>
      </c>
      <c r="I1830" s="3" t="s">
        <v>69</v>
      </c>
      <c r="J1830" t="s">
        <v>66</v>
      </c>
      <c r="K1830" s="15">
        <v>750000</v>
      </c>
      <c r="L1830" s="5" t="str">
        <f t="shared" si="28"/>
        <v>0 - 4</v>
      </c>
    </row>
    <row r="1831" spans="3:12" hidden="1">
      <c r="C1831" t="s">
        <v>31</v>
      </c>
      <c r="D1831" t="s">
        <v>73</v>
      </c>
      <c r="E1831">
        <v>3</v>
      </c>
      <c r="F1831" t="s">
        <v>10</v>
      </c>
      <c r="G1831" t="s">
        <v>51</v>
      </c>
      <c r="H1831" t="s">
        <v>397</v>
      </c>
      <c r="I1831" s="3" t="s">
        <v>69</v>
      </c>
      <c r="J1831" t="s">
        <v>66</v>
      </c>
      <c r="K1831" s="15">
        <v>750000</v>
      </c>
      <c r="L1831" s="5" t="str">
        <f t="shared" si="28"/>
        <v>0 - 4</v>
      </c>
    </row>
    <row r="1832" spans="3:12" hidden="1">
      <c r="C1832" t="s">
        <v>31</v>
      </c>
      <c r="D1832" t="s">
        <v>55</v>
      </c>
      <c r="E1832">
        <v>3</v>
      </c>
      <c r="F1832" t="s">
        <v>10</v>
      </c>
      <c r="G1832" t="s">
        <v>51</v>
      </c>
      <c r="H1832" t="s">
        <v>397</v>
      </c>
      <c r="I1832" s="3" t="s">
        <v>69</v>
      </c>
      <c r="J1832" t="s">
        <v>54</v>
      </c>
      <c r="K1832" s="15">
        <v>750000</v>
      </c>
      <c r="L1832" s="5" t="str">
        <f t="shared" si="28"/>
        <v>0 - 4</v>
      </c>
    </row>
    <row r="1833" spans="3:12" hidden="1">
      <c r="C1833" t="s">
        <v>31</v>
      </c>
      <c r="D1833" t="s">
        <v>73</v>
      </c>
      <c r="E1833">
        <v>3</v>
      </c>
      <c r="F1833" t="s">
        <v>10</v>
      </c>
      <c r="G1833" t="s">
        <v>59</v>
      </c>
      <c r="H1833" t="s">
        <v>397</v>
      </c>
      <c r="I1833" s="3" t="s">
        <v>426</v>
      </c>
      <c r="J1833" t="s">
        <v>54</v>
      </c>
      <c r="K1833" s="15">
        <v>759000</v>
      </c>
      <c r="L1833" s="5" t="str">
        <f t="shared" si="28"/>
        <v>0 - 4</v>
      </c>
    </row>
    <row r="1834" spans="3:12" hidden="1">
      <c r="C1834" t="s">
        <v>31</v>
      </c>
      <c r="D1834" t="s">
        <v>55</v>
      </c>
      <c r="E1834">
        <v>3</v>
      </c>
      <c r="F1834" t="s">
        <v>10</v>
      </c>
      <c r="G1834" t="s">
        <v>59</v>
      </c>
      <c r="H1834" t="s">
        <v>397</v>
      </c>
      <c r="I1834" s="3" t="s">
        <v>161</v>
      </c>
      <c r="J1834" t="s">
        <v>54</v>
      </c>
      <c r="K1834" s="15">
        <v>765000</v>
      </c>
      <c r="L1834" s="5" t="str">
        <f t="shared" si="28"/>
        <v>0 - 4</v>
      </c>
    </row>
    <row r="1835" spans="3:12" hidden="1">
      <c r="C1835" t="s">
        <v>31</v>
      </c>
      <c r="D1835" t="s">
        <v>55</v>
      </c>
      <c r="E1835">
        <v>3</v>
      </c>
      <c r="F1835" t="s">
        <v>10</v>
      </c>
      <c r="G1835" t="s">
        <v>59</v>
      </c>
      <c r="H1835" t="s">
        <v>397</v>
      </c>
      <c r="I1835" s="3" t="s">
        <v>156</v>
      </c>
      <c r="J1835" t="s">
        <v>54</v>
      </c>
      <c r="K1835" s="15">
        <v>770000</v>
      </c>
      <c r="L1835" s="5" t="str">
        <f t="shared" si="28"/>
        <v>0 - 4</v>
      </c>
    </row>
    <row r="1836" spans="3:12" hidden="1">
      <c r="C1836" t="s">
        <v>31</v>
      </c>
      <c r="D1836" t="s">
        <v>73</v>
      </c>
      <c r="E1836">
        <v>3</v>
      </c>
      <c r="F1836" t="s">
        <v>10</v>
      </c>
      <c r="G1836" t="s">
        <v>59</v>
      </c>
      <c r="H1836" t="s">
        <v>397</v>
      </c>
      <c r="I1836" s="3" t="s">
        <v>96</v>
      </c>
      <c r="J1836" t="s">
        <v>66</v>
      </c>
      <c r="K1836" s="15">
        <v>780000</v>
      </c>
      <c r="L1836" s="5" t="str">
        <f t="shared" si="28"/>
        <v>0 - 4</v>
      </c>
    </row>
    <row r="1837" spans="3:12" hidden="1">
      <c r="C1837" t="s">
        <v>31</v>
      </c>
      <c r="D1837" t="s">
        <v>55</v>
      </c>
      <c r="E1837">
        <v>3</v>
      </c>
      <c r="F1837" t="s">
        <v>10</v>
      </c>
      <c r="G1837" t="s">
        <v>57</v>
      </c>
      <c r="H1837" t="s">
        <v>397</v>
      </c>
      <c r="I1837" s="3" t="s">
        <v>306</v>
      </c>
      <c r="J1837" t="s">
        <v>54</v>
      </c>
      <c r="K1837" s="15">
        <v>785000</v>
      </c>
      <c r="L1837" s="5" t="str">
        <f t="shared" si="28"/>
        <v>0 - 4</v>
      </c>
    </row>
    <row r="1838" spans="3:12" hidden="1">
      <c r="C1838" t="s">
        <v>31</v>
      </c>
      <c r="D1838" t="s">
        <v>55</v>
      </c>
      <c r="E1838">
        <v>3</v>
      </c>
      <c r="F1838" t="s">
        <v>10</v>
      </c>
      <c r="G1838" t="s">
        <v>59</v>
      </c>
      <c r="H1838" t="s">
        <v>397</v>
      </c>
      <c r="I1838" s="3" t="s">
        <v>116</v>
      </c>
      <c r="J1838" t="s">
        <v>54</v>
      </c>
      <c r="K1838" s="15">
        <v>800000</v>
      </c>
      <c r="L1838" s="5" t="str">
        <f t="shared" si="28"/>
        <v>0 - 4</v>
      </c>
    </row>
    <row r="1839" spans="3:12" hidden="1">
      <c r="C1839" t="s">
        <v>31</v>
      </c>
      <c r="D1839" t="s">
        <v>55</v>
      </c>
      <c r="E1839">
        <v>3</v>
      </c>
      <c r="F1839" t="s">
        <v>10</v>
      </c>
      <c r="G1839" t="s">
        <v>59</v>
      </c>
      <c r="H1839" t="s">
        <v>397</v>
      </c>
      <c r="I1839" s="3" t="s">
        <v>116</v>
      </c>
      <c r="J1839" t="s">
        <v>66</v>
      </c>
      <c r="K1839" s="15">
        <v>800000</v>
      </c>
      <c r="L1839" s="5" t="str">
        <f t="shared" si="28"/>
        <v>0 - 4</v>
      </c>
    </row>
    <row r="1840" spans="3:12" hidden="1">
      <c r="C1840" t="s">
        <v>31</v>
      </c>
      <c r="D1840" t="s">
        <v>56</v>
      </c>
      <c r="E1840">
        <v>3</v>
      </c>
      <c r="F1840" t="s">
        <v>10</v>
      </c>
      <c r="G1840" t="s">
        <v>51</v>
      </c>
      <c r="H1840" t="s">
        <v>397</v>
      </c>
      <c r="I1840" s="3" t="s">
        <v>116</v>
      </c>
      <c r="J1840" t="s">
        <v>54</v>
      </c>
      <c r="K1840" s="15">
        <v>800000</v>
      </c>
      <c r="L1840" s="5" t="str">
        <f t="shared" si="28"/>
        <v>0 - 4</v>
      </c>
    </row>
    <row r="1841" spans="3:12" hidden="1">
      <c r="C1841" t="s">
        <v>31</v>
      </c>
      <c r="D1841" t="s">
        <v>55</v>
      </c>
      <c r="E1841">
        <v>3</v>
      </c>
      <c r="F1841" t="s">
        <v>10</v>
      </c>
      <c r="G1841" t="s">
        <v>59</v>
      </c>
      <c r="H1841" t="s">
        <v>397</v>
      </c>
      <c r="I1841" s="3" t="s">
        <v>71</v>
      </c>
      <c r="J1841" t="s">
        <v>54</v>
      </c>
      <c r="K1841" s="15">
        <v>820000</v>
      </c>
      <c r="L1841" s="5" t="str">
        <f t="shared" si="28"/>
        <v>0 - 4</v>
      </c>
    </row>
    <row r="1842" spans="3:12" hidden="1">
      <c r="C1842" t="s">
        <v>31</v>
      </c>
      <c r="D1842" t="s">
        <v>55</v>
      </c>
      <c r="E1842">
        <v>3</v>
      </c>
      <c r="F1842" t="s">
        <v>10</v>
      </c>
      <c r="G1842" t="s">
        <v>59</v>
      </c>
      <c r="H1842" t="s">
        <v>397</v>
      </c>
      <c r="I1842" s="3" t="s">
        <v>71</v>
      </c>
      <c r="J1842" t="s">
        <v>54</v>
      </c>
      <c r="K1842" s="15">
        <v>820000</v>
      </c>
      <c r="L1842" s="5" t="str">
        <f t="shared" si="28"/>
        <v>0 - 4</v>
      </c>
    </row>
    <row r="1843" spans="3:12" hidden="1">
      <c r="C1843" t="s">
        <v>31</v>
      </c>
      <c r="D1843" t="s">
        <v>49</v>
      </c>
      <c r="E1843">
        <v>3</v>
      </c>
      <c r="F1843" t="s">
        <v>10</v>
      </c>
      <c r="G1843" t="s">
        <v>59</v>
      </c>
      <c r="H1843" t="s">
        <v>397</v>
      </c>
      <c r="I1843" s="3" t="s">
        <v>233</v>
      </c>
      <c r="J1843" t="s">
        <v>66</v>
      </c>
      <c r="K1843" s="15">
        <v>830000</v>
      </c>
      <c r="L1843" s="5" t="str">
        <f t="shared" si="28"/>
        <v>0 - 4</v>
      </c>
    </row>
    <row r="1844" spans="3:12" hidden="1">
      <c r="C1844" t="s">
        <v>31</v>
      </c>
      <c r="D1844" t="s">
        <v>73</v>
      </c>
      <c r="E1844">
        <v>3</v>
      </c>
      <c r="F1844" t="s">
        <v>10</v>
      </c>
      <c r="G1844" t="s">
        <v>59</v>
      </c>
      <c r="H1844" t="s">
        <v>397</v>
      </c>
      <c r="I1844" s="3" t="s">
        <v>135</v>
      </c>
      <c r="J1844" t="s">
        <v>66</v>
      </c>
      <c r="K1844" s="15">
        <v>840000</v>
      </c>
      <c r="L1844" s="5" t="str">
        <f t="shared" si="28"/>
        <v>0 - 4</v>
      </c>
    </row>
    <row r="1845" spans="3:12" hidden="1">
      <c r="C1845" t="s">
        <v>31</v>
      </c>
      <c r="D1845" t="s">
        <v>55</v>
      </c>
      <c r="E1845">
        <v>3</v>
      </c>
      <c r="F1845" t="s">
        <v>10</v>
      </c>
      <c r="G1845" t="s">
        <v>59</v>
      </c>
      <c r="H1845" t="s">
        <v>397</v>
      </c>
      <c r="I1845" s="3" t="s">
        <v>247</v>
      </c>
      <c r="J1845" t="s">
        <v>66</v>
      </c>
      <c r="K1845" s="15">
        <v>885000</v>
      </c>
      <c r="L1845" s="5" t="str">
        <f t="shared" si="28"/>
        <v>0 - 4</v>
      </c>
    </row>
    <row r="1846" spans="3:12" hidden="1">
      <c r="C1846" t="s">
        <v>31</v>
      </c>
      <c r="D1846" t="s">
        <v>55</v>
      </c>
      <c r="E1846">
        <v>3</v>
      </c>
      <c r="F1846" t="s">
        <v>10</v>
      </c>
      <c r="G1846" t="s">
        <v>59</v>
      </c>
      <c r="H1846" t="s">
        <v>397</v>
      </c>
      <c r="I1846" s="3" t="s">
        <v>247</v>
      </c>
      <c r="J1846" t="s">
        <v>66</v>
      </c>
      <c r="K1846" s="15">
        <v>885000</v>
      </c>
      <c r="L1846" s="5" t="str">
        <f t="shared" si="28"/>
        <v>0 - 4</v>
      </c>
    </row>
    <row r="1847" spans="3:12" hidden="1">
      <c r="C1847" t="s">
        <v>31</v>
      </c>
      <c r="D1847" t="s">
        <v>77</v>
      </c>
      <c r="E1847">
        <v>3</v>
      </c>
      <c r="F1847" t="s">
        <v>10</v>
      </c>
      <c r="G1847" t="s">
        <v>51</v>
      </c>
      <c r="H1847" t="s">
        <v>397</v>
      </c>
      <c r="I1847" s="3" t="s">
        <v>79</v>
      </c>
      <c r="J1847" t="s">
        <v>54</v>
      </c>
      <c r="K1847" s="15">
        <v>900000</v>
      </c>
      <c r="L1847" s="5" t="str">
        <f t="shared" si="28"/>
        <v>0 - 4</v>
      </c>
    </row>
    <row r="1848" spans="3:12" hidden="1">
      <c r="C1848" t="s">
        <v>31</v>
      </c>
      <c r="D1848" t="s">
        <v>73</v>
      </c>
      <c r="E1848">
        <v>3</v>
      </c>
      <c r="F1848" t="s">
        <v>10</v>
      </c>
      <c r="G1848" t="s">
        <v>59</v>
      </c>
      <c r="H1848" t="s">
        <v>397</v>
      </c>
      <c r="I1848" s="3" t="s">
        <v>79</v>
      </c>
      <c r="J1848" t="s">
        <v>66</v>
      </c>
      <c r="K1848" s="15">
        <v>900000</v>
      </c>
      <c r="L1848" s="5" t="str">
        <f t="shared" si="28"/>
        <v>0 - 4</v>
      </c>
    </row>
    <row r="1849" spans="3:12" hidden="1">
      <c r="C1849" t="s">
        <v>31</v>
      </c>
      <c r="D1849" t="s">
        <v>55</v>
      </c>
      <c r="E1849">
        <v>3</v>
      </c>
      <c r="F1849" t="s">
        <v>10</v>
      </c>
      <c r="G1849" t="s">
        <v>51</v>
      </c>
      <c r="H1849" t="s">
        <v>397</v>
      </c>
      <c r="I1849" s="3" t="s">
        <v>98</v>
      </c>
      <c r="J1849" t="s">
        <v>66</v>
      </c>
      <c r="K1849" s="15">
        <v>920000</v>
      </c>
      <c r="L1849" s="5" t="str">
        <f t="shared" si="28"/>
        <v>0 - 4</v>
      </c>
    </row>
    <row r="1850" spans="3:12" hidden="1">
      <c r="C1850" t="s">
        <v>31</v>
      </c>
      <c r="D1850" t="s">
        <v>73</v>
      </c>
      <c r="E1850">
        <v>3</v>
      </c>
      <c r="F1850" t="s">
        <v>10</v>
      </c>
      <c r="G1850" t="s">
        <v>51</v>
      </c>
      <c r="H1850" t="s">
        <v>397</v>
      </c>
      <c r="I1850" s="3" t="s">
        <v>130</v>
      </c>
      <c r="J1850" t="s">
        <v>54</v>
      </c>
      <c r="K1850" s="15">
        <v>950000</v>
      </c>
      <c r="L1850" s="5" t="str">
        <f t="shared" si="28"/>
        <v>0 - 4</v>
      </c>
    </row>
    <row r="1851" spans="3:12" hidden="1">
      <c r="C1851" t="s">
        <v>31</v>
      </c>
      <c r="D1851" t="s">
        <v>55</v>
      </c>
      <c r="E1851">
        <v>3</v>
      </c>
      <c r="F1851" t="s">
        <v>10</v>
      </c>
      <c r="G1851" t="s">
        <v>51</v>
      </c>
      <c r="H1851" t="s">
        <v>397</v>
      </c>
      <c r="I1851" s="3" t="s">
        <v>130</v>
      </c>
      <c r="J1851" t="s">
        <v>54</v>
      </c>
      <c r="K1851" s="15">
        <v>950000</v>
      </c>
      <c r="L1851" s="5" t="str">
        <f t="shared" si="28"/>
        <v>0 - 4</v>
      </c>
    </row>
    <row r="1852" spans="3:12" hidden="1">
      <c r="C1852" t="s">
        <v>31</v>
      </c>
      <c r="D1852" t="s">
        <v>77</v>
      </c>
      <c r="E1852">
        <v>3</v>
      </c>
      <c r="F1852" t="s">
        <v>10</v>
      </c>
      <c r="G1852" t="s">
        <v>51</v>
      </c>
      <c r="H1852" t="s">
        <v>397</v>
      </c>
      <c r="I1852" s="3" t="s">
        <v>235</v>
      </c>
      <c r="J1852" t="s">
        <v>54</v>
      </c>
      <c r="K1852" s="15">
        <v>1020000</v>
      </c>
      <c r="L1852" s="5" t="str">
        <f t="shared" si="28"/>
        <v>0 - 4</v>
      </c>
    </row>
    <row r="1853" spans="3:12" hidden="1">
      <c r="C1853" t="s">
        <v>31</v>
      </c>
      <c r="D1853" t="s">
        <v>55</v>
      </c>
      <c r="E1853">
        <v>3</v>
      </c>
      <c r="F1853" t="s">
        <v>10</v>
      </c>
      <c r="G1853" t="s">
        <v>59</v>
      </c>
      <c r="H1853" t="s">
        <v>397</v>
      </c>
      <c r="I1853" s="3" t="s">
        <v>61</v>
      </c>
      <c r="J1853" t="s">
        <v>66</v>
      </c>
      <c r="K1853" s="15">
        <v>1200000</v>
      </c>
      <c r="L1853" s="5" t="str">
        <f t="shared" si="28"/>
        <v>0 - 4</v>
      </c>
    </row>
    <row r="1854" spans="3:12" hidden="1">
      <c r="C1854" t="s">
        <v>31</v>
      </c>
      <c r="D1854" t="s">
        <v>73</v>
      </c>
      <c r="E1854">
        <v>3</v>
      </c>
      <c r="F1854" t="s">
        <v>10</v>
      </c>
      <c r="G1854" t="s">
        <v>59</v>
      </c>
      <c r="H1854" t="s">
        <v>397</v>
      </c>
      <c r="I1854" s="3" t="s">
        <v>104</v>
      </c>
      <c r="J1854" t="s">
        <v>66</v>
      </c>
      <c r="K1854" s="15">
        <v>1300000</v>
      </c>
      <c r="L1854" s="5" t="str">
        <f t="shared" si="28"/>
        <v>0 - 4</v>
      </c>
    </row>
    <row r="1855" spans="3:12" hidden="1">
      <c r="C1855" t="s">
        <v>31</v>
      </c>
      <c r="D1855" t="s">
        <v>73</v>
      </c>
      <c r="E1855">
        <v>3</v>
      </c>
      <c r="F1855" t="s">
        <v>10</v>
      </c>
      <c r="G1855" t="s">
        <v>59</v>
      </c>
      <c r="H1855" t="s">
        <v>397</v>
      </c>
      <c r="I1855" s="3" t="s">
        <v>60</v>
      </c>
      <c r="J1855" t="s">
        <v>66</v>
      </c>
      <c r="K1855" s="15">
        <v>1500000</v>
      </c>
      <c r="L1855" s="5" t="str">
        <f t="shared" si="28"/>
        <v>0 - 4</v>
      </c>
    </row>
    <row r="1856" spans="3:12" hidden="1">
      <c r="C1856" t="s">
        <v>30</v>
      </c>
      <c r="D1856" t="s">
        <v>77</v>
      </c>
      <c r="E1856">
        <v>2</v>
      </c>
      <c r="F1856" t="s">
        <v>10</v>
      </c>
      <c r="G1856" t="s">
        <v>57</v>
      </c>
      <c r="H1856" t="s">
        <v>397</v>
      </c>
      <c r="I1856" s="3" t="s">
        <v>339</v>
      </c>
      <c r="J1856" t="s">
        <v>54</v>
      </c>
      <c r="K1856" s="15">
        <v>500000</v>
      </c>
      <c r="L1856" s="5" t="str">
        <f t="shared" si="28"/>
        <v>0 - 4</v>
      </c>
    </row>
    <row r="1857" spans="3:12" hidden="1">
      <c r="C1857" t="s">
        <v>30</v>
      </c>
      <c r="D1857" t="s">
        <v>73</v>
      </c>
      <c r="E1857">
        <v>2</v>
      </c>
      <c r="F1857" t="s">
        <v>10</v>
      </c>
      <c r="G1857" t="s">
        <v>59</v>
      </c>
      <c r="H1857" t="s">
        <v>397</v>
      </c>
      <c r="I1857" s="3" t="s">
        <v>433</v>
      </c>
      <c r="J1857" t="s">
        <v>54</v>
      </c>
      <c r="K1857" s="15">
        <v>626000</v>
      </c>
      <c r="L1857" s="5" t="str">
        <f t="shared" si="28"/>
        <v>0 - 4</v>
      </c>
    </row>
    <row r="1858" spans="3:12" hidden="1">
      <c r="C1858" t="s">
        <v>30</v>
      </c>
      <c r="D1858" t="s">
        <v>73</v>
      </c>
      <c r="E1858">
        <v>2</v>
      </c>
      <c r="F1858" t="s">
        <v>10</v>
      </c>
      <c r="G1858" t="s">
        <v>59</v>
      </c>
      <c r="H1858" t="s">
        <v>397</v>
      </c>
      <c r="I1858" s="3" t="s">
        <v>222</v>
      </c>
      <c r="J1858" t="s">
        <v>54</v>
      </c>
      <c r="K1858" s="15">
        <v>670000</v>
      </c>
      <c r="L1858" s="5" t="str">
        <f t="shared" si="28"/>
        <v>0 - 4</v>
      </c>
    </row>
    <row r="1859" spans="3:12" hidden="1">
      <c r="C1859" t="s">
        <v>30</v>
      </c>
      <c r="D1859" t="s">
        <v>55</v>
      </c>
      <c r="E1859">
        <v>2</v>
      </c>
      <c r="F1859" t="s">
        <v>10</v>
      </c>
      <c r="G1859" t="s">
        <v>59</v>
      </c>
      <c r="H1859" t="s">
        <v>397</v>
      </c>
      <c r="I1859" s="3" t="s">
        <v>266</v>
      </c>
      <c r="J1859" t="s">
        <v>54</v>
      </c>
      <c r="K1859" s="15">
        <v>675000</v>
      </c>
      <c r="L1859" s="5" t="str">
        <f t="shared" ref="L1859:L1922" si="29">_xlfn.XLOOKUP(E1859,$P$2:$P$5,$O$2:$O$5,,1)</f>
        <v>0 - 4</v>
      </c>
    </row>
    <row r="1860" spans="3:12" hidden="1">
      <c r="C1860" t="s">
        <v>30</v>
      </c>
      <c r="D1860" t="s">
        <v>55</v>
      </c>
      <c r="E1860">
        <v>2</v>
      </c>
      <c r="F1860" t="s">
        <v>10</v>
      </c>
      <c r="G1860" t="s">
        <v>59</v>
      </c>
      <c r="H1860" t="s">
        <v>397</v>
      </c>
      <c r="I1860" s="3" t="s">
        <v>266</v>
      </c>
      <c r="J1860" t="s">
        <v>54</v>
      </c>
      <c r="K1860" s="15">
        <v>675000</v>
      </c>
      <c r="L1860" s="5" t="str">
        <f t="shared" si="29"/>
        <v>0 - 4</v>
      </c>
    </row>
    <row r="1861" spans="3:12" hidden="1">
      <c r="C1861" t="s">
        <v>30</v>
      </c>
      <c r="D1861" t="s">
        <v>55</v>
      </c>
      <c r="E1861">
        <v>2</v>
      </c>
      <c r="F1861" t="s">
        <v>10</v>
      </c>
      <c r="G1861" t="s">
        <v>59</v>
      </c>
      <c r="H1861" t="s">
        <v>397</v>
      </c>
      <c r="I1861" s="3" t="s">
        <v>266</v>
      </c>
      <c r="J1861" t="s">
        <v>54</v>
      </c>
      <c r="K1861" s="15">
        <v>675000</v>
      </c>
      <c r="L1861" s="5" t="str">
        <f t="shared" si="29"/>
        <v>0 - 4</v>
      </c>
    </row>
    <row r="1862" spans="3:12" hidden="1">
      <c r="C1862" t="s">
        <v>30</v>
      </c>
      <c r="D1862" t="s">
        <v>105</v>
      </c>
      <c r="E1862">
        <v>2</v>
      </c>
      <c r="F1862" t="s">
        <v>10</v>
      </c>
      <c r="G1862" t="s">
        <v>51</v>
      </c>
      <c r="H1862" t="s">
        <v>397</v>
      </c>
      <c r="I1862" s="3" t="s">
        <v>159</v>
      </c>
      <c r="J1862" t="s">
        <v>54</v>
      </c>
      <c r="K1862" s="15">
        <v>680000</v>
      </c>
      <c r="L1862" s="5" t="str">
        <f t="shared" si="29"/>
        <v>0 - 4</v>
      </c>
    </row>
    <row r="1863" spans="3:12" hidden="1">
      <c r="C1863" t="s">
        <v>30</v>
      </c>
      <c r="D1863" t="s">
        <v>55</v>
      </c>
      <c r="E1863">
        <v>2</v>
      </c>
      <c r="F1863" t="s">
        <v>10</v>
      </c>
      <c r="G1863" t="s">
        <v>59</v>
      </c>
      <c r="H1863" t="s">
        <v>397</v>
      </c>
      <c r="I1863" s="3" t="s">
        <v>137</v>
      </c>
      <c r="J1863" t="s">
        <v>54</v>
      </c>
      <c r="K1863" s="15">
        <v>683000</v>
      </c>
      <c r="L1863" s="5" t="str">
        <f t="shared" si="29"/>
        <v>0 - 4</v>
      </c>
    </row>
    <row r="1864" spans="3:12" hidden="1">
      <c r="C1864" t="s">
        <v>30</v>
      </c>
      <c r="D1864" t="s">
        <v>73</v>
      </c>
      <c r="E1864">
        <v>2</v>
      </c>
      <c r="F1864" t="s">
        <v>10</v>
      </c>
      <c r="G1864" t="s">
        <v>51</v>
      </c>
      <c r="H1864" t="s">
        <v>397</v>
      </c>
      <c r="I1864" s="3" t="s">
        <v>108</v>
      </c>
      <c r="J1864" t="s">
        <v>66</v>
      </c>
      <c r="K1864" s="15">
        <v>700000</v>
      </c>
      <c r="L1864" s="5" t="str">
        <f t="shared" si="29"/>
        <v>0 - 4</v>
      </c>
    </row>
    <row r="1865" spans="3:12" hidden="1">
      <c r="C1865" t="s">
        <v>30</v>
      </c>
      <c r="D1865" t="s">
        <v>55</v>
      </c>
      <c r="E1865">
        <v>2</v>
      </c>
      <c r="F1865" t="s">
        <v>10</v>
      </c>
      <c r="G1865" t="s">
        <v>59</v>
      </c>
      <c r="H1865" t="s">
        <v>397</v>
      </c>
      <c r="I1865" s="3" t="s">
        <v>434</v>
      </c>
      <c r="J1865" t="s">
        <v>54</v>
      </c>
      <c r="K1865" s="15">
        <v>712000</v>
      </c>
      <c r="L1865" s="5" t="str">
        <f t="shared" si="29"/>
        <v>0 - 4</v>
      </c>
    </row>
    <row r="1866" spans="3:12" hidden="1">
      <c r="C1866" t="s">
        <v>30</v>
      </c>
      <c r="D1866" t="s">
        <v>55</v>
      </c>
      <c r="E1866">
        <v>2</v>
      </c>
      <c r="F1866" t="s">
        <v>10</v>
      </c>
      <c r="G1866" t="s">
        <v>59</v>
      </c>
      <c r="H1866" t="s">
        <v>397</v>
      </c>
      <c r="I1866" s="3" t="s">
        <v>74</v>
      </c>
      <c r="J1866" t="s">
        <v>66</v>
      </c>
      <c r="K1866" s="15">
        <v>730000</v>
      </c>
      <c r="L1866" s="5" t="str">
        <f t="shared" si="29"/>
        <v>0 - 4</v>
      </c>
    </row>
    <row r="1867" spans="3:12" hidden="1">
      <c r="C1867" t="s">
        <v>30</v>
      </c>
      <c r="D1867" t="s">
        <v>73</v>
      </c>
      <c r="E1867">
        <v>2</v>
      </c>
      <c r="F1867" t="s">
        <v>10</v>
      </c>
      <c r="G1867" t="s">
        <v>59</v>
      </c>
      <c r="H1867" t="s">
        <v>397</v>
      </c>
      <c r="I1867" s="3" t="s">
        <v>140</v>
      </c>
      <c r="J1867" t="s">
        <v>54</v>
      </c>
      <c r="K1867" s="15">
        <v>735000</v>
      </c>
      <c r="L1867" s="5" t="str">
        <f t="shared" si="29"/>
        <v>0 - 4</v>
      </c>
    </row>
    <row r="1868" spans="3:12" hidden="1">
      <c r="C1868" t="s">
        <v>30</v>
      </c>
      <c r="D1868" t="s">
        <v>73</v>
      </c>
      <c r="E1868">
        <v>2</v>
      </c>
      <c r="F1868" t="s">
        <v>10</v>
      </c>
      <c r="G1868" t="s">
        <v>51</v>
      </c>
      <c r="H1868" t="s">
        <v>397</v>
      </c>
      <c r="I1868" s="3" t="s">
        <v>71</v>
      </c>
      <c r="J1868" t="s">
        <v>66</v>
      </c>
      <c r="K1868" s="15">
        <v>820000</v>
      </c>
      <c r="L1868" s="5" t="str">
        <f t="shared" si="29"/>
        <v>0 - 4</v>
      </c>
    </row>
    <row r="1869" spans="3:12" hidden="1">
      <c r="C1869" t="s">
        <v>30</v>
      </c>
      <c r="D1869" t="s">
        <v>55</v>
      </c>
      <c r="E1869">
        <v>2</v>
      </c>
      <c r="F1869" t="s">
        <v>10</v>
      </c>
      <c r="G1869" t="s">
        <v>59</v>
      </c>
      <c r="H1869" t="s">
        <v>397</v>
      </c>
      <c r="I1869" s="3" t="s">
        <v>72</v>
      </c>
      <c r="J1869" t="s">
        <v>66</v>
      </c>
      <c r="K1869" s="15">
        <v>850000</v>
      </c>
      <c r="L1869" s="5" t="str">
        <f t="shared" si="29"/>
        <v>0 - 4</v>
      </c>
    </row>
    <row r="1870" spans="3:12" hidden="1">
      <c r="C1870" t="s">
        <v>31</v>
      </c>
      <c r="D1870" t="s">
        <v>80</v>
      </c>
      <c r="E1870">
        <v>2</v>
      </c>
      <c r="F1870" t="s">
        <v>10</v>
      </c>
      <c r="G1870" t="s">
        <v>51</v>
      </c>
      <c r="H1870" t="s">
        <v>397</v>
      </c>
      <c r="I1870" s="3" t="s">
        <v>206</v>
      </c>
      <c r="J1870" t="s">
        <v>54</v>
      </c>
      <c r="K1870" s="15">
        <v>540000</v>
      </c>
      <c r="L1870" s="5" t="str">
        <f t="shared" si="29"/>
        <v>0 - 4</v>
      </c>
    </row>
    <row r="1871" spans="3:12" hidden="1">
      <c r="C1871" t="s">
        <v>31</v>
      </c>
      <c r="D1871" t="s">
        <v>73</v>
      </c>
      <c r="E1871">
        <v>2</v>
      </c>
      <c r="F1871" t="s">
        <v>10</v>
      </c>
      <c r="G1871" t="s">
        <v>51</v>
      </c>
      <c r="H1871" t="s">
        <v>397</v>
      </c>
      <c r="I1871" s="3" t="s">
        <v>94</v>
      </c>
      <c r="J1871" t="s">
        <v>66</v>
      </c>
      <c r="K1871" s="15">
        <v>550000</v>
      </c>
      <c r="L1871" s="5" t="str">
        <f t="shared" si="29"/>
        <v>0 - 4</v>
      </c>
    </row>
    <row r="1872" spans="3:12" hidden="1">
      <c r="C1872" t="s">
        <v>31</v>
      </c>
      <c r="D1872" t="s">
        <v>73</v>
      </c>
      <c r="E1872">
        <v>2</v>
      </c>
      <c r="F1872" t="s">
        <v>10</v>
      </c>
      <c r="G1872" t="s">
        <v>59</v>
      </c>
      <c r="H1872" t="s">
        <v>397</v>
      </c>
      <c r="I1872" s="3" t="s">
        <v>118</v>
      </c>
      <c r="J1872" t="s">
        <v>54</v>
      </c>
      <c r="K1872" s="15">
        <v>570000</v>
      </c>
      <c r="L1872" s="5" t="str">
        <f t="shared" si="29"/>
        <v>0 - 4</v>
      </c>
    </row>
    <row r="1873" spans="3:12" hidden="1">
      <c r="C1873" t="s">
        <v>31</v>
      </c>
      <c r="D1873" t="s">
        <v>73</v>
      </c>
      <c r="E1873">
        <v>2</v>
      </c>
      <c r="F1873" t="s">
        <v>10</v>
      </c>
      <c r="G1873" t="s">
        <v>57</v>
      </c>
      <c r="H1873" t="s">
        <v>397</v>
      </c>
      <c r="I1873" s="3" t="s">
        <v>435</v>
      </c>
      <c r="J1873" t="s">
        <v>54</v>
      </c>
      <c r="K1873" s="15">
        <v>593500</v>
      </c>
      <c r="L1873" s="5" t="str">
        <f t="shared" si="29"/>
        <v>0 - 4</v>
      </c>
    </row>
    <row r="1874" spans="3:12" hidden="1">
      <c r="C1874" t="s">
        <v>31</v>
      </c>
      <c r="D1874" t="s">
        <v>73</v>
      </c>
      <c r="E1874">
        <v>2</v>
      </c>
      <c r="F1874" t="s">
        <v>10</v>
      </c>
      <c r="G1874" t="s">
        <v>51</v>
      </c>
      <c r="H1874" t="s">
        <v>397</v>
      </c>
      <c r="I1874" s="3" t="s">
        <v>139</v>
      </c>
      <c r="J1874" t="s">
        <v>66</v>
      </c>
      <c r="K1874" s="15">
        <v>600000</v>
      </c>
      <c r="L1874" s="5" t="str">
        <f t="shared" si="29"/>
        <v>0 - 4</v>
      </c>
    </row>
    <row r="1875" spans="3:12" hidden="1">
      <c r="C1875" t="s">
        <v>31</v>
      </c>
      <c r="D1875" t="s">
        <v>73</v>
      </c>
      <c r="E1875">
        <v>2</v>
      </c>
      <c r="F1875" t="s">
        <v>10</v>
      </c>
      <c r="G1875" t="s">
        <v>51</v>
      </c>
      <c r="H1875" t="s">
        <v>397</v>
      </c>
      <c r="I1875" s="3" t="s">
        <v>436</v>
      </c>
      <c r="J1875" t="s">
        <v>54</v>
      </c>
      <c r="K1875" s="15">
        <v>604000</v>
      </c>
      <c r="L1875" s="5" t="str">
        <f t="shared" si="29"/>
        <v>0 - 4</v>
      </c>
    </row>
    <row r="1876" spans="3:12" hidden="1">
      <c r="C1876" t="s">
        <v>31</v>
      </c>
      <c r="D1876" t="s">
        <v>73</v>
      </c>
      <c r="E1876">
        <v>2</v>
      </c>
      <c r="F1876" t="s">
        <v>10</v>
      </c>
      <c r="G1876" t="s">
        <v>51</v>
      </c>
      <c r="H1876" t="s">
        <v>397</v>
      </c>
      <c r="I1876" s="3" t="s">
        <v>293</v>
      </c>
      <c r="J1876" t="s">
        <v>54</v>
      </c>
      <c r="K1876" s="15">
        <v>615000</v>
      </c>
      <c r="L1876" s="5" t="str">
        <f t="shared" si="29"/>
        <v>0 - 4</v>
      </c>
    </row>
    <row r="1877" spans="3:12" hidden="1">
      <c r="C1877" t="s">
        <v>31</v>
      </c>
      <c r="D1877" t="s">
        <v>73</v>
      </c>
      <c r="E1877">
        <v>2</v>
      </c>
      <c r="F1877" t="s">
        <v>10</v>
      </c>
      <c r="G1877" t="s">
        <v>51</v>
      </c>
      <c r="H1877" t="s">
        <v>397</v>
      </c>
      <c r="I1877" s="3" t="s">
        <v>213</v>
      </c>
      <c r="J1877" t="s">
        <v>66</v>
      </c>
      <c r="K1877" s="15">
        <v>620000</v>
      </c>
      <c r="L1877" s="5" t="str">
        <f t="shared" si="29"/>
        <v>0 - 4</v>
      </c>
    </row>
    <row r="1878" spans="3:12" hidden="1">
      <c r="C1878" t="s">
        <v>31</v>
      </c>
      <c r="D1878" t="s">
        <v>77</v>
      </c>
      <c r="E1878">
        <v>2</v>
      </c>
      <c r="F1878" t="s">
        <v>10</v>
      </c>
      <c r="G1878" t="s">
        <v>51</v>
      </c>
      <c r="H1878" t="s">
        <v>397</v>
      </c>
      <c r="I1878" s="3" t="s">
        <v>157</v>
      </c>
      <c r="J1878" t="s">
        <v>54</v>
      </c>
      <c r="K1878" s="15">
        <v>625000</v>
      </c>
      <c r="L1878" s="5" t="str">
        <f t="shared" si="29"/>
        <v>0 - 4</v>
      </c>
    </row>
    <row r="1879" spans="3:12" hidden="1">
      <c r="C1879" t="s">
        <v>31</v>
      </c>
      <c r="D1879" t="s">
        <v>73</v>
      </c>
      <c r="E1879">
        <v>2</v>
      </c>
      <c r="F1879" t="s">
        <v>10</v>
      </c>
      <c r="G1879" t="s">
        <v>51</v>
      </c>
      <c r="H1879" t="s">
        <v>397</v>
      </c>
      <c r="I1879" s="3" t="s">
        <v>119</v>
      </c>
      <c r="J1879" t="s">
        <v>54</v>
      </c>
      <c r="K1879" s="15">
        <v>630000</v>
      </c>
      <c r="L1879" s="5" t="str">
        <f t="shared" si="29"/>
        <v>0 - 4</v>
      </c>
    </row>
    <row r="1880" spans="3:12" hidden="1">
      <c r="C1880" t="s">
        <v>31</v>
      </c>
      <c r="D1880" t="s">
        <v>73</v>
      </c>
      <c r="E1880">
        <v>2</v>
      </c>
      <c r="F1880" t="s">
        <v>10</v>
      </c>
      <c r="G1880" t="s">
        <v>59</v>
      </c>
      <c r="H1880" t="s">
        <v>397</v>
      </c>
      <c r="I1880" s="3" t="s">
        <v>81</v>
      </c>
      <c r="J1880" t="s">
        <v>66</v>
      </c>
      <c r="K1880" s="15">
        <v>640000</v>
      </c>
      <c r="L1880" s="5" t="str">
        <f t="shared" si="29"/>
        <v>0 - 4</v>
      </c>
    </row>
    <row r="1881" spans="3:12" hidden="1">
      <c r="C1881" t="s">
        <v>31</v>
      </c>
      <c r="D1881" t="s">
        <v>73</v>
      </c>
      <c r="E1881">
        <v>2</v>
      </c>
      <c r="F1881" t="s">
        <v>10</v>
      </c>
      <c r="G1881" t="s">
        <v>57</v>
      </c>
      <c r="H1881" t="s">
        <v>397</v>
      </c>
      <c r="I1881" s="3" t="s">
        <v>81</v>
      </c>
      <c r="J1881" t="s">
        <v>54</v>
      </c>
      <c r="K1881" s="15">
        <v>640000</v>
      </c>
      <c r="L1881" s="5" t="str">
        <f t="shared" si="29"/>
        <v>0 - 4</v>
      </c>
    </row>
    <row r="1882" spans="3:12" hidden="1">
      <c r="C1882" t="s">
        <v>31</v>
      </c>
      <c r="D1882" t="s">
        <v>73</v>
      </c>
      <c r="E1882">
        <v>2</v>
      </c>
      <c r="F1882" t="s">
        <v>10</v>
      </c>
      <c r="G1882" t="s">
        <v>59</v>
      </c>
      <c r="H1882" t="s">
        <v>397</v>
      </c>
      <c r="I1882" s="3" t="s">
        <v>307</v>
      </c>
      <c r="J1882" t="s">
        <v>54</v>
      </c>
      <c r="K1882" s="15">
        <v>645000</v>
      </c>
      <c r="L1882" s="5" t="str">
        <f t="shared" si="29"/>
        <v>0 - 4</v>
      </c>
    </row>
    <row r="1883" spans="3:12" hidden="1">
      <c r="C1883" t="s">
        <v>31</v>
      </c>
      <c r="D1883" t="s">
        <v>56</v>
      </c>
      <c r="E1883">
        <v>2</v>
      </c>
      <c r="F1883" t="s">
        <v>10</v>
      </c>
      <c r="G1883" t="s">
        <v>51</v>
      </c>
      <c r="H1883" t="s">
        <v>397</v>
      </c>
      <c r="I1883" s="3" t="s">
        <v>85</v>
      </c>
      <c r="J1883" t="s">
        <v>54</v>
      </c>
      <c r="K1883" s="15">
        <v>650000</v>
      </c>
      <c r="L1883" s="5" t="str">
        <f t="shared" si="29"/>
        <v>0 - 4</v>
      </c>
    </row>
    <row r="1884" spans="3:12" hidden="1">
      <c r="C1884" t="s">
        <v>31</v>
      </c>
      <c r="D1884" t="s">
        <v>73</v>
      </c>
      <c r="E1884">
        <v>2</v>
      </c>
      <c r="F1884" t="s">
        <v>10</v>
      </c>
      <c r="G1884" t="s">
        <v>59</v>
      </c>
      <c r="H1884" t="s">
        <v>397</v>
      </c>
      <c r="I1884" s="3" t="s">
        <v>85</v>
      </c>
      <c r="J1884" t="s">
        <v>54</v>
      </c>
      <c r="K1884" s="15">
        <v>650000</v>
      </c>
      <c r="L1884" s="5" t="str">
        <f t="shared" si="29"/>
        <v>0 - 4</v>
      </c>
    </row>
    <row r="1885" spans="3:12" hidden="1">
      <c r="C1885" t="s">
        <v>31</v>
      </c>
      <c r="D1885" t="s">
        <v>55</v>
      </c>
      <c r="E1885">
        <v>2</v>
      </c>
      <c r="F1885" t="s">
        <v>10</v>
      </c>
      <c r="G1885" t="s">
        <v>59</v>
      </c>
      <c r="H1885" t="s">
        <v>397</v>
      </c>
      <c r="I1885" s="3" t="s">
        <v>437</v>
      </c>
      <c r="J1885" t="s">
        <v>66</v>
      </c>
      <c r="K1885" s="15">
        <v>652000</v>
      </c>
      <c r="L1885" s="5" t="str">
        <f t="shared" si="29"/>
        <v>0 - 4</v>
      </c>
    </row>
    <row r="1886" spans="3:12" hidden="1">
      <c r="C1886" t="s">
        <v>31</v>
      </c>
      <c r="D1886" t="s">
        <v>55</v>
      </c>
      <c r="E1886">
        <v>2</v>
      </c>
      <c r="F1886" t="s">
        <v>10</v>
      </c>
      <c r="G1886" t="s">
        <v>59</v>
      </c>
      <c r="H1886" t="s">
        <v>397</v>
      </c>
      <c r="I1886" s="3" t="s">
        <v>222</v>
      </c>
      <c r="J1886" t="s">
        <v>54</v>
      </c>
      <c r="K1886" s="15">
        <v>670000</v>
      </c>
      <c r="L1886" s="5" t="str">
        <f t="shared" si="29"/>
        <v>0 - 4</v>
      </c>
    </row>
    <row r="1887" spans="3:12" hidden="1">
      <c r="C1887" t="s">
        <v>31</v>
      </c>
      <c r="D1887" t="s">
        <v>55</v>
      </c>
      <c r="E1887">
        <v>2</v>
      </c>
      <c r="F1887" t="s">
        <v>10</v>
      </c>
      <c r="G1887" t="s">
        <v>51</v>
      </c>
      <c r="H1887" t="s">
        <v>397</v>
      </c>
      <c r="I1887" s="3" t="s">
        <v>222</v>
      </c>
      <c r="J1887" t="s">
        <v>54</v>
      </c>
      <c r="K1887" s="15">
        <v>670000</v>
      </c>
      <c r="L1887" s="5" t="str">
        <f t="shared" si="29"/>
        <v>0 - 4</v>
      </c>
    </row>
    <row r="1888" spans="3:12" hidden="1">
      <c r="C1888" t="s">
        <v>31</v>
      </c>
      <c r="D1888" t="s">
        <v>55</v>
      </c>
      <c r="E1888">
        <v>2</v>
      </c>
      <c r="F1888" t="s">
        <v>10</v>
      </c>
      <c r="G1888" t="s">
        <v>59</v>
      </c>
      <c r="H1888" t="s">
        <v>397</v>
      </c>
      <c r="I1888" s="3" t="s">
        <v>222</v>
      </c>
      <c r="J1888" t="s">
        <v>54</v>
      </c>
      <c r="K1888" s="15">
        <v>670000</v>
      </c>
      <c r="L1888" s="5" t="str">
        <f t="shared" si="29"/>
        <v>0 - 4</v>
      </c>
    </row>
    <row r="1889" spans="3:12" hidden="1">
      <c r="C1889" t="s">
        <v>31</v>
      </c>
      <c r="D1889" t="s">
        <v>73</v>
      </c>
      <c r="E1889">
        <v>2</v>
      </c>
      <c r="F1889" t="s">
        <v>10</v>
      </c>
      <c r="G1889" t="s">
        <v>59</v>
      </c>
      <c r="H1889" t="s">
        <v>397</v>
      </c>
      <c r="I1889" s="3" t="s">
        <v>308</v>
      </c>
      <c r="J1889" t="s">
        <v>54</v>
      </c>
      <c r="K1889" s="15">
        <v>673000</v>
      </c>
      <c r="L1889" s="5" t="str">
        <f t="shared" si="29"/>
        <v>0 - 4</v>
      </c>
    </row>
    <row r="1890" spans="3:12" hidden="1">
      <c r="C1890" t="s">
        <v>31</v>
      </c>
      <c r="D1890" t="s">
        <v>73</v>
      </c>
      <c r="E1890">
        <v>2</v>
      </c>
      <c r="F1890" t="s">
        <v>10</v>
      </c>
      <c r="G1890" t="s">
        <v>59</v>
      </c>
      <c r="H1890" t="s">
        <v>397</v>
      </c>
      <c r="I1890" s="3" t="s">
        <v>266</v>
      </c>
      <c r="J1890" t="s">
        <v>66</v>
      </c>
      <c r="K1890" s="15">
        <v>675000</v>
      </c>
      <c r="L1890" s="5" t="str">
        <f t="shared" si="29"/>
        <v>0 - 4</v>
      </c>
    </row>
    <row r="1891" spans="3:12" hidden="1">
      <c r="C1891" t="s">
        <v>31</v>
      </c>
      <c r="D1891" t="s">
        <v>55</v>
      </c>
      <c r="E1891">
        <v>2</v>
      </c>
      <c r="F1891" t="s">
        <v>10</v>
      </c>
      <c r="G1891" t="s">
        <v>59</v>
      </c>
      <c r="H1891" t="s">
        <v>397</v>
      </c>
      <c r="I1891" s="3" t="s">
        <v>266</v>
      </c>
      <c r="J1891" t="s">
        <v>54</v>
      </c>
      <c r="K1891" s="15">
        <v>675000</v>
      </c>
      <c r="L1891" s="5" t="str">
        <f t="shared" si="29"/>
        <v>0 - 4</v>
      </c>
    </row>
    <row r="1892" spans="3:12" hidden="1">
      <c r="C1892" t="s">
        <v>31</v>
      </c>
      <c r="D1892" t="s">
        <v>55</v>
      </c>
      <c r="E1892">
        <v>2</v>
      </c>
      <c r="F1892" t="s">
        <v>10</v>
      </c>
      <c r="G1892" t="s">
        <v>59</v>
      </c>
      <c r="H1892" t="s">
        <v>397</v>
      </c>
      <c r="I1892" s="3" t="s">
        <v>266</v>
      </c>
      <c r="J1892" t="s">
        <v>54</v>
      </c>
      <c r="K1892" s="15">
        <v>675000</v>
      </c>
      <c r="L1892" s="5" t="str">
        <f t="shared" si="29"/>
        <v>0 - 4</v>
      </c>
    </row>
    <row r="1893" spans="3:12" hidden="1">
      <c r="C1893" t="s">
        <v>31</v>
      </c>
      <c r="D1893" t="s">
        <v>55</v>
      </c>
      <c r="E1893">
        <v>2</v>
      </c>
      <c r="F1893" t="s">
        <v>10</v>
      </c>
      <c r="G1893" t="s">
        <v>59</v>
      </c>
      <c r="H1893" t="s">
        <v>397</v>
      </c>
      <c r="I1893" s="3" t="s">
        <v>159</v>
      </c>
      <c r="J1893" t="s">
        <v>54</v>
      </c>
      <c r="K1893" s="15">
        <v>680000</v>
      </c>
      <c r="L1893" s="5" t="str">
        <f t="shared" si="29"/>
        <v>0 - 4</v>
      </c>
    </row>
    <row r="1894" spans="3:12" hidden="1">
      <c r="C1894" t="s">
        <v>31</v>
      </c>
      <c r="D1894" t="s">
        <v>67</v>
      </c>
      <c r="E1894">
        <v>2</v>
      </c>
      <c r="F1894" t="s">
        <v>10</v>
      </c>
      <c r="G1894" t="s">
        <v>51</v>
      </c>
      <c r="H1894" t="s">
        <v>397</v>
      </c>
      <c r="I1894" s="3" t="s">
        <v>151</v>
      </c>
      <c r="J1894" t="s">
        <v>66</v>
      </c>
      <c r="K1894" s="15">
        <v>690000</v>
      </c>
      <c r="L1894" s="5" t="str">
        <f t="shared" si="29"/>
        <v>0 - 4</v>
      </c>
    </row>
    <row r="1895" spans="3:12" hidden="1">
      <c r="C1895" t="s">
        <v>31</v>
      </c>
      <c r="D1895" t="s">
        <v>77</v>
      </c>
      <c r="E1895">
        <v>2</v>
      </c>
      <c r="F1895" t="s">
        <v>10</v>
      </c>
      <c r="G1895" t="s">
        <v>59</v>
      </c>
      <c r="H1895" t="s">
        <v>397</v>
      </c>
      <c r="I1895" s="3" t="s">
        <v>151</v>
      </c>
      <c r="J1895" t="s">
        <v>54</v>
      </c>
      <c r="K1895" s="15">
        <v>690000</v>
      </c>
      <c r="L1895" s="5" t="str">
        <f t="shared" si="29"/>
        <v>0 - 4</v>
      </c>
    </row>
    <row r="1896" spans="3:12" hidden="1">
      <c r="C1896" t="s">
        <v>31</v>
      </c>
      <c r="D1896" t="s">
        <v>73</v>
      </c>
      <c r="E1896">
        <v>2</v>
      </c>
      <c r="F1896" t="s">
        <v>10</v>
      </c>
      <c r="G1896" t="s">
        <v>57</v>
      </c>
      <c r="H1896" t="s">
        <v>397</v>
      </c>
      <c r="I1896" s="3" t="s">
        <v>438</v>
      </c>
      <c r="J1896" t="s">
        <v>54</v>
      </c>
      <c r="K1896" s="15">
        <v>694000</v>
      </c>
      <c r="L1896" s="5" t="str">
        <f t="shared" si="29"/>
        <v>0 - 4</v>
      </c>
    </row>
    <row r="1897" spans="3:12" hidden="1">
      <c r="C1897" t="s">
        <v>31</v>
      </c>
      <c r="D1897" t="s">
        <v>73</v>
      </c>
      <c r="E1897">
        <v>2</v>
      </c>
      <c r="F1897" t="s">
        <v>10</v>
      </c>
      <c r="G1897" t="s">
        <v>59</v>
      </c>
      <c r="H1897" t="s">
        <v>397</v>
      </c>
      <c r="I1897" s="3" t="s">
        <v>271</v>
      </c>
      <c r="J1897" t="s">
        <v>54</v>
      </c>
      <c r="K1897" s="15">
        <v>695000</v>
      </c>
      <c r="L1897" s="5" t="str">
        <f t="shared" si="29"/>
        <v>0 - 4</v>
      </c>
    </row>
    <row r="1898" spans="3:12" hidden="1">
      <c r="C1898" t="s">
        <v>31</v>
      </c>
      <c r="D1898" t="s">
        <v>77</v>
      </c>
      <c r="E1898">
        <v>2</v>
      </c>
      <c r="F1898" t="s">
        <v>10</v>
      </c>
      <c r="G1898" t="s">
        <v>51</v>
      </c>
      <c r="H1898" t="s">
        <v>397</v>
      </c>
      <c r="I1898" s="3" t="s">
        <v>108</v>
      </c>
      <c r="J1898" t="s">
        <v>66</v>
      </c>
      <c r="K1898" s="15">
        <v>700000</v>
      </c>
      <c r="L1898" s="5" t="str">
        <f t="shared" si="29"/>
        <v>0 - 4</v>
      </c>
    </row>
    <row r="1899" spans="3:12" hidden="1">
      <c r="C1899" t="s">
        <v>31</v>
      </c>
      <c r="D1899" t="s">
        <v>73</v>
      </c>
      <c r="E1899">
        <v>2</v>
      </c>
      <c r="F1899" t="s">
        <v>10</v>
      </c>
      <c r="G1899" t="s">
        <v>51</v>
      </c>
      <c r="H1899" t="s">
        <v>397</v>
      </c>
      <c r="I1899" s="3" t="s">
        <v>108</v>
      </c>
      <c r="J1899" t="s">
        <v>66</v>
      </c>
      <c r="K1899" s="15">
        <v>700000</v>
      </c>
      <c r="L1899" s="5" t="str">
        <f t="shared" si="29"/>
        <v>0 - 4</v>
      </c>
    </row>
    <row r="1900" spans="3:12" hidden="1">
      <c r="C1900" t="s">
        <v>31</v>
      </c>
      <c r="D1900" t="s">
        <v>73</v>
      </c>
      <c r="E1900">
        <v>2</v>
      </c>
      <c r="F1900" t="s">
        <v>10</v>
      </c>
      <c r="G1900" t="s">
        <v>51</v>
      </c>
      <c r="H1900" t="s">
        <v>397</v>
      </c>
      <c r="I1900" s="3" t="s">
        <v>108</v>
      </c>
      <c r="J1900" t="s">
        <v>54</v>
      </c>
      <c r="K1900" s="15">
        <v>700000</v>
      </c>
      <c r="L1900" s="5" t="str">
        <f t="shared" si="29"/>
        <v>0 - 4</v>
      </c>
    </row>
    <row r="1901" spans="3:12" hidden="1">
      <c r="C1901" t="s">
        <v>31</v>
      </c>
      <c r="D1901" t="s">
        <v>50</v>
      </c>
      <c r="E1901">
        <v>2</v>
      </c>
      <c r="F1901" t="s">
        <v>10</v>
      </c>
      <c r="G1901" t="s">
        <v>51</v>
      </c>
      <c r="H1901" t="s">
        <v>397</v>
      </c>
      <c r="I1901" s="3" t="s">
        <v>108</v>
      </c>
      <c r="J1901" t="s">
        <v>54</v>
      </c>
      <c r="K1901" s="15">
        <v>700000</v>
      </c>
      <c r="L1901" s="5" t="str">
        <f t="shared" si="29"/>
        <v>0 - 4</v>
      </c>
    </row>
    <row r="1902" spans="3:12" hidden="1">
      <c r="C1902" t="s">
        <v>31</v>
      </c>
      <c r="D1902" t="s">
        <v>55</v>
      </c>
      <c r="E1902">
        <v>2</v>
      </c>
      <c r="F1902" t="s">
        <v>10</v>
      </c>
      <c r="G1902" t="s">
        <v>59</v>
      </c>
      <c r="H1902" t="s">
        <v>397</v>
      </c>
      <c r="I1902" s="3" t="s">
        <v>75</v>
      </c>
      <c r="J1902" t="s">
        <v>54</v>
      </c>
      <c r="K1902" s="15">
        <v>710000</v>
      </c>
      <c r="L1902" s="5" t="str">
        <f t="shared" si="29"/>
        <v>0 - 4</v>
      </c>
    </row>
    <row r="1903" spans="3:12" hidden="1">
      <c r="C1903" t="s">
        <v>31</v>
      </c>
      <c r="D1903" t="s">
        <v>55</v>
      </c>
      <c r="E1903">
        <v>2</v>
      </c>
      <c r="F1903" t="s">
        <v>10</v>
      </c>
      <c r="G1903" t="s">
        <v>59</v>
      </c>
      <c r="H1903" t="s">
        <v>397</v>
      </c>
      <c r="I1903" s="3" t="s">
        <v>165</v>
      </c>
      <c r="J1903" t="s">
        <v>54</v>
      </c>
      <c r="K1903" s="15">
        <v>720000</v>
      </c>
      <c r="L1903" s="5" t="str">
        <f t="shared" si="29"/>
        <v>0 - 4</v>
      </c>
    </row>
    <row r="1904" spans="3:12" hidden="1">
      <c r="C1904" t="s">
        <v>31</v>
      </c>
      <c r="D1904" t="s">
        <v>55</v>
      </c>
      <c r="E1904">
        <v>2</v>
      </c>
      <c r="F1904" t="s">
        <v>10</v>
      </c>
      <c r="G1904" t="s">
        <v>51</v>
      </c>
      <c r="H1904" t="s">
        <v>397</v>
      </c>
      <c r="I1904" s="3" t="s">
        <v>74</v>
      </c>
      <c r="J1904" t="s">
        <v>54</v>
      </c>
      <c r="K1904" s="15">
        <v>730000</v>
      </c>
      <c r="L1904" s="5" t="str">
        <f t="shared" si="29"/>
        <v>0 - 4</v>
      </c>
    </row>
    <row r="1905" spans="3:12" hidden="1">
      <c r="C1905" t="s">
        <v>31</v>
      </c>
      <c r="D1905" t="s">
        <v>56</v>
      </c>
      <c r="E1905">
        <v>2</v>
      </c>
      <c r="F1905" t="s">
        <v>10</v>
      </c>
      <c r="G1905" t="s">
        <v>51</v>
      </c>
      <c r="H1905" t="s">
        <v>397</v>
      </c>
      <c r="I1905" s="3" t="s">
        <v>140</v>
      </c>
      <c r="J1905" t="s">
        <v>66</v>
      </c>
      <c r="K1905" s="15">
        <v>735000</v>
      </c>
      <c r="L1905" s="5" t="str">
        <f t="shared" si="29"/>
        <v>0 - 4</v>
      </c>
    </row>
    <row r="1906" spans="3:12" hidden="1">
      <c r="C1906" t="s">
        <v>31</v>
      </c>
      <c r="D1906" t="s">
        <v>55</v>
      </c>
      <c r="E1906">
        <v>2</v>
      </c>
      <c r="F1906" t="s">
        <v>10</v>
      </c>
      <c r="G1906" t="s">
        <v>51</v>
      </c>
      <c r="H1906" t="s">
        <v>397</v>
      </c>
      <c r="I1906" s="3" t="s">
        <v>120</v>
      </c>
      <c r="J1906" t="s">
        <v>54</v>
      </c>
      <c r="K1906" s="15">
        <v>740000</v>
      </c>
      <c r="L1906" s="5" t="str">
        <f t="shared" si="29"/>
        <v>0 - 4</v>
      </c>
    </row>
    <row r="1907" spans="3:12" hidden="1">
      <c r="C1907" t="s">
        <v>31</v>
      </c>
      <c r="D1907" t="s">
        <v>55</v>
      </c>
      <c r="E1907">
        <v>2</v>
      </c>
      <c r="F1907" t="s">
        <v>10</v>
      </c>
      <c r="G1907" t="s">
        <v>59</v>
      </c>
      <c r="H1907" t="s">
        <v>397</v>
      </c>
      <c r="I1907" s="3" t="s">
        <v>120</v>
      </c>
      <c r="J1907" t="s">
        <v>54</v>
      </c>
      <c r="K1907" s="15">
        <v>740000</v>
      </c>
      <c r="L1907" s="5" t="str">
        <f t="shared" si="29"/>
        <v>0 - 4</v>
      </c>
    </row>
    <row r="1908" spans="3:12" hidden="1">
      <c r="C1908" t="s">
        <v>31</v>
      </c>
      <c r="D1908" t="s">
        <v>55</v>
      </c>
      <c r="E1908">
        <v>2</v>
      </c>
      <c r="F1908" t="s">
        <v>10</v>
      </c>
      <c r="G1908" t="s">
        <v>59</v>
      </c>
      <c r="H1908" t="s">
        <v>397</v>
      </c>
      <c r="I1908" s="3" t="s">
        <v>69</v>
      </c>
      <c r="J1908" t="s">
        <v>54</v>
      </c>
      <c r="K1908" s="15">
        <v>750000</v>
      </c>
      <c r="L1908" s="5" t="str">
        <f t="shared" si="29"/>
        <v>0 - 4</v>
      </c>
    </row>
    <row r="1909" spans="3:12" hidden="1">
      <c r="C1909" t="s">
        <v>31</v>
      </c>
      <c r="D1909" t="s">
        <v>55</v>
      </c>
      <c r="E1909">
        <v>2</v>
      </c>
      <c r="F1909" t="s">
        <v>10</v>
      </c>
      <c r="G1909" t="s">
        <v>59</v>
      </c>
      <c r="H1909" t="s">
        <v>397</v>
      </c>
      <c r="I1909" s="3" t="s">
        <v>69</v>
      </c>
      <c r="J1909" t="s">
        <v>54</v>
      </c>
      <c r="K1909" s="15">
        <v>750000</v>
      </c>
      <c r="L1909" s="5" t="str">
        <f t="shared" si="29"/>
        <v>0 - 4</v>
      </c>
    </row>
    <row r="1910" spans="3:12" hidden="1">
      <c r="C1910" t="s">
        <v>31</v>
      </c>
      <c r="D1910" t="s">
        <v>73</v>
      </c>
      <c r="E1910">
        <v>2</v>
      </c>
      <c r="F1910" t="s">
        <v>10</v>
      </c>
      <c r="G1910" t="s">
        <v>57</v>
      </c>
      <c r="H1910" t="s">
        <v>397</v>
      </c>
      <c r="I1910" s="3" t="s">
        <v>69</v>
      </c>
      <c r="J1910" t="s">
        <v>54</v>
      </c>
      <c r="K1910" s="15">
        <v>750000</v>
      </c>
      <c r="L1910" s="5" t="str">
        <f t="shared" si="29"/>
        <v>0 - 4</v>
      </c>
    </row>
    <row r="1911" spans="3:12" hidden="1">
      <c r="C1911" t="s">
        <v>31</v>
      </c>
      <c r="D1911" t="s">
        <v>73</v>
      </c>
      <c r="E1911">
        <v>2</v>
      </c>
      <c r="F1911" t="s">
        <v>10</v>
      </c>
      <c r="G1911" t="s">
        <v>59</v>
      </c>
      <c r="H1911" t="s">
        <v>397</v>
      </c>
      <c r="I1911" s="3" t="s">
        <v>220</v>
      </c>
      <c r="J1911" t="s">
        <v>66</v>
      </c>
      <c r="K1911" s="15">
        <v>760000</v>
      </c>
      <c r="L1911" s="5" t="str">
        <f t="shared" si="29"/>
        <v>0 - 4</v>
      </c>
    </row>
    <row r="1912" spans="3:12" hidden="1">
      <c r="C1912" t="s">
        <v>31</v>
      </c>
      <c r="D1912" t="s">
        <v>55</v>
      </c>
      <c r="E1912">
        <v>2</v>
      </c>
      <c r="F1912" t="s">
        <v>10</v>
      </c>
      <c r="G1912" t="s">
        <v>59</v>
      </c>
      <c r="H1912" t="s">
        <v>397</v>
      </c>
      <c r="I1912" s="3" t="s">
        <v>161</v>
      </c>
      <c r="J1912" t="s">
        <v>54</v>
      </c>
      <c r="K1912" s="15">
        <v>765000</v>
      </c>
      <c r="L1912" s="5" t="str">
        <f t="shared" si="29"/>
        <v>0 - 4</v>
      </c>
    </row>
    <row r="1913" spans="3:12" hidden="1">
      <c r="C1913" t="s">
        <v>31</v>
      </c>
      <c r="D1913" t="s">
        <v>55</v>
      </c>
      <c r="E1913">
        <v>2</v>
      </c>
      <c r="F1913" t="s">
        <v>10</v>
      </c>
      <c r="G1913" t="s">
        <v>59</v>
      </c>
      <c r="H1913" t="s">
        <v>397</v>
      </c>
      <c r="I1913" s="3" t="s">
        <v>116</v>
      </c>
      <c r="J1913" t="s">
        <v>66</v>
      </c>
      <c r="K1913" s="15">
        <v>800000</v>
      </c>
      <c r="L1913" s="5" t="str">
        <f t="shared" si="29"/>
        <v>0 - 4</v>
      </c>
    </row>
    <row r="1914" spans="3:12" hidden="1">
      <c r="C1914" t="s">
        <v>31</v>
      </c>
      <c r="D1914" t="s">
        <v>55</v>
      </c>
      <c r="E1914">
        <v>2</v>
      </c>
      <c r="F1914" t="s">
        <v>10</v>
      </c>
      <c r="G1914" t="s">
        <v>59</v>
      </c>
      <c r="H1914" t="s">
        <v>397</v>
      </c>
      <c r="I1914" s="3" t="s">
        <v>439</v>
      </c>
      <c r="J1914" t="s">
        <v>54</v>
      </c>
      <c r="K1914" s="15">
        <v>805000</v>
      </c>
      <c r="L1914" s="5" t="str">
        <f t="shared" si="29"/>
        <v>0 - 4</v>
      </c>
    </row>
    <row r="1915" spans="3:12" hidden="1">
      <c r="C1915" t="s">
        <v>31</v>
      </c>
      <c r="D1915" t="s">
        <v>55</v>
      </c>
      <c r="E1915">
        <v>2</v>
      </c>
      <c r="F1915" t="s">
        <v>10</v>
      </c>
      <c r="G1915" t="s">
        <v>51</v>
      </c>
      <c r="H1915" t="s">
        <v>397</v>
      </c>
      <c r="I1915" s="3" t="s">
        <v>71</v>
      </c>
      <c r="J1915" t="s">
        <v>54</v>
      </c>
      <c r="K1915" s="15">
        <v>820000</v>
      </c>
      <c r="L1915" s="5" t="str">
        <f t="shared" si="29"/>
        <v>0 - 4</v>
      </c>
    </row>
    <row r="1916" spans="3:12" hidden="1">
      <c r="C1916" t="s">
        <v>31</v>
      </c>
      <c r="D1916" t="s">
        <v>73</v>
      </c>
      <c r="E1916">
        <v>2</v>
      </c>
      <c r="F1916" t="s">
        <v>10</v>
      </c>
      <c r="G1916" t="s">
        <v>51</v>
      </c>
      <c r="H1916" t="s">
        <v>397</v>
      </c>
      <c r="I1916" s="3" t="s">
        <v>233</v>
      </c>
      <c r="J1916" t="s">
        <v>54</v>
      </c>
      <c r="K1916" s="15">
        <v>830000</v>
      </c>
      <c r="L1916" s="5" t="str">
        <f t="shared" si="29"/>
        <v>0 - 4</v>
      </c>
    </row>
    <row r="1917" spans="3:12" hidden="1">
      <c r="C1917" t="s">
        <v>31</v>
      </c>
      <c r="D1917" t="s">
        <v>77</v>
      </c>
      <c r="E1917">
        <v>2</v>
      </c>
      <c r="F1917" t="s">
        <v>10</v>
      </c>
      <c r="G1917" t="s">
        <v>51</v>
      </c>
      <c r="H1917" t="s">
        <v>397</v>
      </c>
      <c r="I1917" s="3" t="s">
        <v>135</v>
      </c>
      <c r="J1917" t="s">
        <v>54</v>
      </c>
      <c r="K1917" s="15">
        <v>840000</v>
      </c>
      <c r="L1917" s="5" t="str">
        <f t="shared" si="29"/>
        <v>0 - 4</v>
      </c>
    </row>
    <row r="1918" spans="3:12" hidden="1">
      <c r="C1918" t="s">
        <v>31</v>
      </c>
      <c r="D1918" t="s">
        <v>55</v>
      </c>
      <c r="E1918">
        <v>2</v>
      </c>
      <c r="F1918" t="s">
        <v>10</v>
      </c>
      <c r="G1918" t="s">
        <v>51</v>
      </c>
      <c r="H1918" t="s">
        <v>397</v>
      </c>
      <c r="I1918" s="3" t="s">
        <v>167</v>
      </c>
      <c r="J1918" t="s">
        <v>54</v>
      </c>
      <c r="K1918" s="15">
        <v>860000</v>
      </c>
      <c r="L1918" s="5" t="str">
        <f t="shared" si="29"/>
        <v>0 - 4</v>
      </c>
    </row>
    <row r="1919" spans="3:12" hidden="1">
      <c r="C1919" t="s">
        <v>31</v>
      </c>
      <c r="D1919" t="s">
        <v>56</v>
      </c>
      <c r="E1919">
        <v>2</v>
      </c>
      <c r="F1919" t="s">
        <v>10</v>
      </c>
      <c r="G1919" t="s">
        <v>59</v>
      </c>
      <c r="H1919" t="s">
        <v>397</v>
      </c>
      <c r="I1919" s="3" t="s">
        <v>110</v>
      </c>
      <c r="J1919" t="s">
        <v>54</v>
      </c>
      <c r="K1919" s="15">
        <v>1000000</v>
      </c>
      <c r="L1919" s="5" t="str">
        <f t="shared" si="29"/>
        <v>0 - 4</v>
      </c>
    </row>
    <row r="1920" spans="3:12" hidden="1">
      <c r="C1920" t="s">
        <v>30</v>
      </c>
      <c r="D1920" t="s">
        <v>77</v>
      </c>
      <c r="E1920">
        <v>1</v>
      </c>
      <c r="F1920" t="s">
        <v>10</v>
      </c>
      <c r="G1920" t="s">
        <v>51</v>
      </c>
      <c r="H1920" t="s">
        <v>397</v>
      </c>
      <c r="I1920" s="3" t="s">
        <v>341</v>
      </c>
      <c r="J1920" t="s">
        <v>54</v>
      </c>
      <c r="K1920" s="15">
        <v>450000</v>
      </c>
      <c r="L1920" s="5" t="str">
        <f t="shared" si="29"/>
        <v>0 - 4</v>
      </c>
    </row>
    <row r="1921" spans="3:12" hidden="1">
      <c r="C1921" t="s">
        <v>30</v>
      </c>
      <c r="D1921" t="s">
        <v>55</v>
      </c>
      <c r="E1921">
        <v>1</v>
      </c>
      <c r="F1921" t="s">
        <v>10</v>
      </c>
      <c r="G1921" t="s">
        <v>57</v>
      </c>
      <c r="H1921" t="s">
        <v>397</v>
      </c>
      <c r="I1921" s="3" t="s">
        <v>337</v>
      </c>
      <c r="J1921" t="s">
        <v>54</v>
      </c>
      <c r="K1921" s="15">
        <v>624500</v>
      </c>
      <c r="L1921" s="5" t="str">
        <f t="shared" si="29"/>
        <v>0 - 4</v>
      </c>
    </row>
    <row r="1922" spans="3:12" hidden="1">
      <c r="C1922" t="s">
        <v>30</v>
      </c>
      <c r="D1922" t="s">
        <v>55</v>
      </c>
      <c r="E1922">
        <v>1</v>
      </c>
      <c r="F1922" t="s">
        <v>10</v>
      </c>
      <c r="G1922" t="s">
        <v>59</v>
      </c>
      <c r="H1922" t="s">
        <v>397</v>
      </c>
      <c r="I1922" s="3" t="s">
        <v>119</v>
      </c>
      <c r="J1922" t="s">
        <v>54</v>
      </c>
      <c r="K1922" s="15">
        <v>630000</v>
      </c>
      <c r="L1922" s="5" t="str">
        <f t="shared" si="29"/>
        <v>0 - 4</v>
      </c>
    </row>
    <row r="1923" spans="3:12" hidden="1">
      <c r="C1923" t="s">
        <v>30</v>
      </c>
      <c r="D1923" t="s">
        <v>55</v>
      </c>
      <c r="E1923">
        <v>1</v>
      </c>
      <c r="F1923" t="s">
        <v>10</v>
      </c>
      <c r="G1923" t="s">
        <v>59</v>
      </c>
      <c r="H1923" t="s">
        <v>397</v>
      </c>
      <c r="I1923" s="3" t="s">
        <v>81</v>
      </c>
      <c r="J1923" t="s">
        <v>54</v>
      </c>
      <c r="K1923" s="15">
        <v>640000</v>
      </c>
      <c r="L1923" s="5" t="str">
        <f t="shared" ref="L1923:L1986" si="30">_xlfn.XLOOKUP(E1923,$P$2:$P$5,$O$2:$O$5,,1)</f>
        <v>0 - 4</v>
      </c>
    </row>
    <row r="1924" spans="3:12" hidden="1">
      <c r="C1924" t="s">
        <v>30</v>
      </c>
      <c r="D1924" t="s">
        <v>73</v>
      </c>
      <c r="E1924">
        <v>1</v>
      </c>
      <c r="F1924" t="s">
        <v>10</v>
      </c>
      <c r="G1924" t="s">
        <v>57</v>
      </c>
      <c r="H1924" t="s">
        <v>397</v>
      </c>
      <c r="I1924" s="3" t="s">
        <v>85</v>
      </c>
      <c r="J1924" t="s">
        <v>54</v>
      </c>
      <c r="K1924" s="15">
        <v>650000</v>
      </c>
      <c r="L1924" s="5" t="str">
        <f t="shared" si="30"/>
        <v>0 - 4</v>
      </c>
    </row>
    <row r="1925" spans="3:12" hidden="1">
      <c r="C1925" t="s">
        <v>30</v>
      </c>
      <c r="D1925" t="s">
        <v>55</v>
      </c>
      <c r="E1925">
        <v>1</v>
      </c>
      <c r="F1925" t="s">
        <v>10</v>
      </c>
      <c r="G1925" t="s">
        <v>59</v>
      </c>
      <c r="H1925" t="s">
        <v>397</v>
      </c>
      <c r="I1925" s="3" t="s">
        <v>90</v>
      </c>
      <c r="J1925" t="s">
        <v>66</v>
      </c>
      <c r="K1925" s="15">
        <v>660000</v>
      </c>
      <c r="L1925" s="5" t="str">
        <f t="shared" si="30"/>
        <v>0 - 4</v>
      </c>
    </row>
    <row r="1926" spans="3:12" hidden="1">
      <c r="C1926" t="s">
        <v>30</v>
      </c>
      <c r="D1926" t="s">
        <v>73</v>
      </c>
      <c r="E1926">
        <v>1</v>
      </c>
      <c r="F1926" t="s">
        <v>10</v>
      </c>
      <c r="G1926" t="s">
        <v>59</v>
      </c>
      <c r="H1926" t="s">
        <v>397</v>
      </c>
      <c r="I1926" s="3" t="s">
        <v>440</v>
      </c>
      <c r="J1926" t="s">
        <v>54</v>
      </c>
      <c r="K1926" s="15">
        <v>667000</v>
      </c>
      <c r="L1926" s="5" t="str">
        <f t="shared" si="30"/>
        <v>0 - 4</v>
      </c>
    </row>
    <row r="1927" spans="3:12" hidden="1">
      <c r="C1927" t="s">
        <v>30</v>
      </c>
      <c r="D1927" t="s">
        <v>55</v>
      </c>
      <c r="E1927">
        <v>1</v>
      </c>
      <c r="F1927" t="s">
        <v>10</v>
      </c>
      <c r="G1927" t="s">
        <v>57</v>
      </c>
      <c r="H1927" t="s">
        <v>397</v>
      </c>
      <c r="I1927" s="3" t="s">
        <v>159</v>
      </c>
      <c r="J1927" t="s">
        <v>54</v>
      </c>
      <c r="K1927" s="15">
        <v>680000</v>
      </c>
      <c r="L1927" s="5" t="str">
        <f t="shared" si="30"/>
        <v>0 - 4</v>
      </c>
    </row>
    <row r="1928" spans="3:12" hidden="1">
      <c r="C1928" t="s">
        <v>30</v>
      </c>
      <c r="D1928" t="s">
        <v>73</v>
      </c>
      <c r="E1928">
        <v>1</v>
      </c>
      <c r="F1928" t="s">
        <v>10</v>
      </c>
      <c r="G1928" t="s">
        <v>59</v>
      </c>
      <c r="H1928" t="s">
        <v>397</v>
      </c>
      <c r="I1928" s="3" t="s">
        <v>151</v>
      </c>
      <c r="J1928" t="s">
        <v>54</v>
      </c>
      <c r="K1928" s="15">
        <v>690000</v>
      </c>
      <c r="L1928" s="5" t="str">
        <f t="shared" si="30"/>
        <v>0 - 4</v>
      </c>
    </row>
    <row r="1929" spans="3:12" hidden="1">
      <c r="C1929" t="s">
        <v>30</v>
      </c>
      <c r="D1929" t="s">
        <v>55</v>
      </c>
      <c r="E1929">
        <v>1</v>
      </c>
      <c r="F1929" t="s">
        <v>10</v>
      </c>
      <c r="G1929" t="s">
        <v>59</v>
      </c>
      <c r="H1929" t="s">
        <v>397</v>
      </c>
      <c r="I1929" s="3" t="s">
        <v>108</v>
      </c>
      <c r="J1929" t="s">
        <v>54</v>
      </c>
      <c r="K1929" s="15">
        <v>700000</v>
      </c>
      <c r="L1929" s="5" t="str">
        <f t="shared" si="30"/>
        <v>0 - 4</v>
      </c>
    </row>
    <row r="1930" spans="3:12" hidden="1">
      <c r="C1930" t="s">
        <v>30</v>
      </c>
      <c r="D1930" t="s">
        <v>55</v>
      </c>
      <c r="E1930">
        <v>1</v>
      </c>
      <c r="F1930" t="s">
        <v>10</v>
      </c>
      <c r="G1930" t="s">
        <v>51</v>
      </c>
      <c r="H1930" t="s">
        <v>397</v>
      </c>
      <c r="I1930" s="3" t="s">
        <v>425</v>
      </c>
      <c r="J1930" t="s">
        <v>54</v>
      </c>
      <c r="K1930" s="15">
        <v>751000</v>
      </c>
      <c r="L1930" s="5" t="str">
        <f t="shared" si="30"/>
        <v>0 - 4</v>
      </c>
    </row>
    <row r="1931" spans="3:12" hidden="1">
      <c r="C1931" t="s">
        <v>31</v>
      </c>
      <c r="D1931" t="s">
        <v>80</v>
      </c>
      <c r="E1931">
        <v>1</v>
      </c>
      <c r="F1931" t="s">
        <v>10</v>
      </c>
      <c r="G1931" t="s">
        <v>59</v>
      </c>
      <c r="H1931" t="s">
        <v>397</v>
      </c>
      <c r="I1931" s="3" t="s">
        <v>441</v>
      </c>
      <c r="J1931" t="s">
        <v>54</v>
      </c>
      <c r="K1931" s="15">
        <v>456000</v>
      </c>
      <c r="L1931" s="5" t="str">
        <f t="shared" si="30"/>
        <v>0 - 4</v>
      </c>
    </row>
    <row r="1932" spans="3:12" hidden="1">
      <c r="C1932" t="s">
        <v>31</v>
      </c>
      <c r="D1932" t="s">
        <v>80</v>
      </c>
      <c r="E1932">
        <v>1</v>
      </c>
      <c r="F1932" t="s">
        <v>10</v>
      </c>
      <c r="G1932" t="s">
        <v>59</v>
      </c>
      <c r="H1932" t="s">
        <v>397</v>
      </c>
      <c r="I1932" s="3" t="s">
        <v>442</v>
      </c>
      <c r="J1932" t="s">
        <v>54</v>
      </c>
      <c r="K1932" s="15">
        <v>542000</v>
      </c>
      <c r="L1932" s="5" t="str">
        <f t="shared" si="30"/>
        <v>0 - 4</v>
      </c>
    </row>
    <row r="1933" spans="3:12" hidden="1">
      <c r="C1933" t="s">
        <v>31</v>
      </c>
      <c r="D1933" t="s">
        <v>80</v>
      </c>
      <c r="E1933">
        <v>1</v>
      </c>
      <c r="F1933" t="s">
        <v>10</v>
      </c>
      <c r="G1933" t="s">
        <v>127</v>
      </c>
      <c r="H1933" t="s">
        <v>397</v>
      </c>
      <c r="I1933" s="3" t="s">
        <v>94</v>
      </c>
      <c r="J1933" t="s">
        <v>54</v>
      </c>
      <c r="K1933" s="15">
        <v>550000</v>
      </c>
      <c r="L1933" s="5" t="str">
        <f t="shared" si="30"/>
        <v>0 - 4</v>
      </c>
    </row>
    <row r="1934" spans="3:12" hidden="1">
      <c r="C1934" t="s">
        <v>31</v>
      </c>
      <c r="D1934" t="s">
        <v>77</v>
      </c>
      <c r="E1934">
        <v>1</v>
      </c>
      <c r="F1934" t="s">
        <v>10</v>
      </c>
      <c r="G1934" t="s">
        <v>59</v>
      </c>
      <c r="H1934" t="s">
        <v>397</v>
      </c>
      <c r="I1934" s="3" t="s">
        <v>112</v>
      </c>
      <c r="J1934" t="s">
        <v>54</v>
      </c>
      <c r="K1934" s="15">
        <v>560000</v>
      </c>
      <c r="L1934" s="5" t="str">
        <f t="shared" si="30"/>
        <v>0 - 4</v>
      </c>
    </row>
    <row r="1935" spans="3:12" hidden="1">
      <c r="C1935" t="s">
        <v>31</v>
      </c>
      <c r="D1935" t="s">
        <v>73</v>
      </c>
      <c r="E1935">
        <v>1</v>
      </c>
      <c r="F1935" t="s">
        <v>10</v>
      </c>
      <c r="G1935" t="s">
        <v>59</v>
      </c>
      <c r="H1935" t="s">
        <v>397</v>
      </c>
      <c r="I1935" s="3" t="s">
        <v>118</v>
      </c>
      <c r="J1935" t="s">
        <v>54</v>
      </c>
      <c r="K1935" s="15">
        <v>570000</v>
      </c>
      <c r="L1935" s="5" t="str">
        <f t="shared" si="30"/>
        <v>0 - 4</v>
      </c>
    </row>
    <row r="1936" spans="3:12" hidden="1">
      <c r="C1936" t="s">
        <v>31</v>
      </c>
      <c r="D1936" t="s">
        <v>73</v>
      </c>
      <c r="E1936">
        <v>1</v>
      </c>
      <c r="F1936" t="s">
        <v>10</v>
      </c>
      <c r="G1936" t="s">
        <v>51</v>
      </c>
      <c r="H1936" t="s">
        <v>397</v>
      </c>
      <c r="I1936" s="3" t="s">
        <v>279</v>
      </c>
      <c r="J1936" t="s">
        <v>54</v>
      </c>
      <c r="K1936" s="15">
        <v>575000</v>
      </c>
      <c r="L1936" s="5" t="str">
        <f t="shared" si="30"/>
        <v>0 - 4</v>
      </c>
    </row>
    <row r="1937" spans="3:12" hidden="1">
      <c r="C1937" t="s">
        <v>31</v>
      </c>
      <c r="D1937" t="s">
        <v>56</v>
      </c>
      <c r="E1937">
        <v>1</v>
      </c>
      <c r="F1937" t="s">
        <v>10</v>
      </c>
      <c r="G1937" t="s">
        <v>51</v>
      </c>
      <c r="H1937" t="s">
        <v>397</v>
      </c>
      <c r="I1937" s="3" t="s">
        <v>443</v>
      </c>
      <c r="J1937" t="s">
        <v>54</v>
      </c>
      <c r="K1937" s="15">
        <v>576000</v>
      </c>
      <c r="L1937" s="5" t="str">
        <f t="shared" si="30"/>
        <v>0 - 4</v>
      </c>
    </row>
    <row r="1938" spans="3:12" hidden="1">
      <c r="C1938" t="s">
        <v>31</v>
      </c>
      <c r="D1938" t="s">
        <v>49</v>
      </c>
      <c r="E1938">
        <v>1</v>
      </c>
      <c r="F1938" t="s">
        <v>10</v>
      </c>
      <c r="G1938" t="s">
        <v>59</v>
      </c>
      <c r="H1938" t="s">
        <v>397</v>
      </c>
      <c r="I1938" s="3" t="s">
        <v>86</v>
      </c>
      <c r="J1938" t="s">
        <v>54</v>
      </c>
      <c r="K1938" s="15">
        <v>595000</v>
      </c>
      <c r="L1938" s="5" t="str">
        <f t="shared" si="30"/>
        <v>0 - 4</v>
      </c>
    </row>
    <row r="1939" spans="3:12" hidden="1">
      <c r="C1939" t="s">
        <v>31</v>
      </c>
      <c r="D1939" t="s">
        <v>73</v>
      </c>
      <c r="E1939">
        <v>1</v>
      </c>
      <c r="F1939" t="s">
        <v>10</v>
      </c>
      <c r="G1939" t="s">
        <v>57</v>
      </c>
      <c r="H1939" t="s">
        <v>397</v>
      </c>
      <c r="I1939" s="3" t="s">
        <v>139</v>
      </c>
      <c r="J1939" t="s">
        <v>54</v>
      </c>
      <c r="K1939" s="15">
        <v>600000</v>
      </c>
      <c r="L1939" s="5" t="str">
        <f t="shared" si="30"/>
        <v>0 - 4</v>
      </c>
    </row>
    <row r="1940" spans="3:12" hidden="1">
      <c r="C1940" t="s">
        <v>31</v>
      </c>
      <c r="D1940" t="s">
        <v>73</v>
      </c>
      <c r="E1940">
        <v>1</v>
      </c>
      <c r="F1940" t="s">
        <v>10</v>
      </c>
      <c r="G1940" t="s">
        <v>51</v>
      </c>
      <c r="H1940" t="s">
        <v>397</v>
      </c>
      <c r="I1940" s="3" t="s">
        <v>139</v>
      </c>
      <c r="J1940" t="s">
        <v>54</v>
      </c>
      <c r="K1940" s="15">
        <v>600000</v>
      </c>
      <c r="L1940" s="5" t="str">
        <f t="shared" si="30"/>
        <v>0 - 4</v>
      </c>
    </row>
    <row r="1941" spans="3:12" hidden="1">
      <c r="C1941" t="s">
        <v>31</v>
      </c>
      <c r="D1941" t="s">
        <v>73</v>
      </c>
      <c r="E1941">
        <v>1</v>
      </c>
      <c r="F1941" t="s">
        <v>10</v>
      </c>
      <c r="G1941" t="s">
        <v>59</v>
      </c>
      <c r="H1941" t="s">
        <v>397</v>
      </c>
      <c r="I1941" s="3" t="s">
        <v>436</v>
      </c>
      <c r="J1941" t="s">
        <v>54</v>
      </c>
      <c r="K1941" s="15">
        <v>604000</v>
      </c>
      <c r="L1941" s="5" t="str">
        <f t="shared" si="30"/>
        <v>0 - 4</v>
      </c>
    </row>
    <row r="1942" spans="3:12" hidden="1">
      <c r="C1942" t="s">
        <v>31</v>
      </c>
      <c r="D1942" t="s">
        <v>73</v>
      </c>
      <c r="E1942">
        <v>1</v>
      </c>
      <c r="F1942" t="s">
        <v>10</v>
      </c>
      <c r="G1942" t="s">
        <v>57</v>
      </c>
      <c r="H1942" t="s">
        <v>397</v>
      </c>
      <c r="I1942" s="3" t="s">
        <v>281</v>
      </c>
      <c r="J1942" t="s">
        <v>54</v>
      </c>
      <c r="K1942" s="15">
        <v>610000</v>
      </c>
      <c r="L1942" s="5" t="str">
        <f t="shared" si="30"/>
        <v>0 - 4</v>
      </c>
    </row>
    <row r="1943" spans="3:12" hidden="1">
      <c r="C1943" t="s">
        <v>31</v>
      </c>
      <c r="D1943" t="s">
        <v>73</v>
      </c>
      <c r="E1943">
        <v>1</v>
      </c>
      <c r="F1943" t="s">
        <v>10</v>
      </c>
      <c r="G1943" t="s">
        <v>51</v>
      </c>
      <c r="H1943" t="s">
        <v>397</v>
      </c>
      <c r="I1943" s="3" t="s">
        <v>213</v>
      </c>
      <c r="J1943" t="s">
        <v>54</v>
      </c>
      <c r="K1943" s="15">
        <v>620000</v>
      </c>
      <c r="L1943" s="5" t="str">
        <f t="shared" si="30"/>
        <v>0 - 4</v>
      </c>
    </row>
    <row r="1944" spans="3:12" hidden="1">
      <c r="C1944" t="s">
        <v>31</v>
      </c>
      <c r="D1944" t="s">
        <v>73</v>
      </c>
      <c r="E1944">
        <v>1</v>
      </c>
      <c r="F1944" t="s">
        <v>10</v>
      </c>
      <c r="G1944" t="s">
        <v>51</v>
      </c>
      <c r="H1944" t="s">
        <v>397</v>
      </c>
      <c r="I1944" s="3" t="s">
        <v>444</v>
      </c>
      <c r="J1944" t="s">
        <v>54</v>
      </c>
      <c r="K1944" s="15">
        <v>628000</v>
      </c>
      <c r="L1944" s="5" t="str">
        <f t="shared" si="30"/>
        <v>0 - 4</v>
      </c>
    </row>
    <row r="1945" spans="3:12" hidden="1">
      <c r="C1945" t="s">
        <v>31</v>
      </c>
      <c r="D1945" t="s">
        <v>73</v>
      </c>
      <c r="E1945">
        <v>1</v>
      </c>
      <c r="F1945" t="s">
        <v>10</v>
      </c>
      <c r="G1945" t="s">
        <v>51</v>
      </c>
      <c r="H1945" t="s">
        <v>397</v>
      </c>
      <c r="I1945" s="3" t="s">
        <v>444</v>
      </c>
      <c r="J1945" t="s">
        <v>54</v>
      </c>
      <c r="K1945" s="15">
        <v>628000</v>
      </c>
      <c r="L1945" s="5" t="str">
        <f t="shared" si="30"/>
        <v>0 - 4</v>
      </c>
    </row>
    <row r="1946" spans="3:12" hidden="1">
      <c r="C1946" t="s">
        <v>31</v>
      </c>
      <c r="D1946" t="s">
        <v>55</v>
      </c>
      <c r="E1946">
        <v>1</v>
      </c>
      <c r="F1946" t="s">
        <v>10</v>
      </c>
      <c r="G1946" t="s">
        <v>59</v>
      </c>
      <c r="H1946" t="s">
        <v>397</v>
      </c>
      <c r="I1946" s="3" t="s">
        <v>119</v>
      </c>
      <c r="J1946" t="s">
        <v>54</v>
      </c>
      <c r="K1946" s="15">
        <v>630000</v>
      </c>
      <c r="L1946" s="5" t="str">
        <f t="shared" si="30"/>
        <v>0 - 4</v>
      </c>
    </row>
    <row r="1947" spans="3:12" hidden="1">
      <c r="C1947" t="s">
        <v>31</v>
      </c>
      <c r="D1947" t="s">
        <v>55</v>
      </c>
      <c r="E1947">
        <v>1</v>
      </c>
      <c r="F1947" t="s">
        <v>10</v>
      </c>
      <c r="G1947" t="s">
        <v>59</v>
      </c>
      <c r="H1947" t="s">
        <v>397</v>
      </c>
      <c r="I1947" s="3" t="s">
        <v>119</v>
      </c>
      <c r="J1947" t="s">
        <v>54</v>
      </c>
      <c r="K1947" s="15">
        <v>630000</v>
      </c>
      <c r="L1947" s="5" t="str">
        <f t="shared" si="30"/>
        <v>0 - 4</v>
      </c>
    </row>
    <row r="1948" spans="3:12" hidden="1">
      <c r="C1948" t="s">
        <v>31</v>
      </c>
      <c r="D1948" t="s">
        <v>55</v>
      </c>
      <c r="E1948">
        <v>1</v>
      </c>
      <c r="F1948" t="s">
        <v>10</v>
      </c>
      <c r="G1948" t="s">
        <v>59</v>
      </c>
      <c r="H1948" t="s">
        <v>397</v>
      </c>
      <c r="I1948" s="3" t="s">
        <v>119</v>
      </c>
      <c r="J1948" t="s">
        <v>66</v>
      </c>
      <c r="K1948" s="15">
        <v>630000</v>
      </c>
      <c r="L1948" s="5" t="str">
        <f t="shared" si="30"/>
        <v>0 - 4</v>
      </c>
    </row>
    <row r="1949" spans="3:12" hidden="1">
      <c r="C1949" t="s">
        <v>31</v>
      </c>
      <c r="D1949" t="s">
        <v>55</v>
      </c>
      <c r="E1949">
        <v>1</v>
      </c>
      <c r="F1949" t="s">
        <v>10</v>
      </c>
      <c r="G1949" t="s">
        <v>59</v>
      </c>
      <c r="H1949" t="s">
        <v>397</v>
      </c>
      <c r="I1949" s="3" t="s">
        <v>119</v>
      </c>
      <c r="J1949" t="s">
        <v>54</v>
      </c>
      <c r="K1949" s="15">
        <v>630000</v>
      </c>
      <c r="L1949" s="5" t="str">
        <f t="shared" si="30"/>
        <v>0 - 4</v>
      </c>
    </row>
    <row r="1950" spans="3:12" hidden="1">
      <c r="C1950" t="s">
        <v>31</v>
      </c>
      <c r="D1950" t="s">
        <v>55</v>
      </c>
      <c r="E1950">
        <v>1</v>
      </c>
      <c r="F1950" t="s">
        <v>10</v>
      </c>
      <c r="G1950" t="s">
        <v>59</v>
      </c>
      <c r="H1950" t="s">
        <v>397</v>
      </c>
      <c r="I1950" s="3" t="s">
        <v>119</v>
      </c>
      <c r="J1950" t="s">
        <v>54</v>
      </c>
      <c r="K1950" s="15">
        <v>630000</v>
      </c>
      <c r="L1950" s="5" t="str">
        <f t="shared" si="30"/>
        <v>0 - 4</v>
      </c>
    </row>
    <row r="1951" spans="3:12" hidden="1">
      <c r="C1951" t="s">
        <v>31</v>
      </c>
      <c r="D1951" t="s">
        <v>55</v>
      </c>
      <c r="E1951">
        <v>1</v>
      </c>
      <c r="F1951" t="s">
        <v>10</v>
      </c>
      <c r="G1951" t="s">
        <v>59</v>
      </c>
      <c r="H1951" t="s">
        <v>397</v>
      </c>
      <c r="I1951" s="3" t="s">
        <v>119</v>
      </c>
      <c r="J1951" t="s">
        <v>54</v>
      </c>
      <c r="K1951" s="15">
        <v>630000</v>
      </c>
      <c r="L1951" s="5" t="str">
        <f t="shared" si="30"/>
        <v>0 - 4</v>
      </c>
    </row>
    <row r="1952" spans="3:12" hidden="1">
      <c r="C1952" t="s">
        <v>31</v>
      </c>
      <c r="D1952" t="s">
        <v>55</v>
      </c>
      <c r="E1952">
        <v>1</v>
      </c>
      <c r="F1952" t="s">
        <v>10</v>
      </c>
      <c r="G1952" t="s">
        <v>59</v>
      </c>
      <c r="H1952" t="s">
        <v>397</v>
      </c>
      <c r="I1952" s="3" t="s">
        <v>119</v>
      </c>
      <c r="J1952" t="s">
        <v>54</v>
      </c>
      <c r="K1952" s="15">
        <v>630000</v>
      </c>
      <c r="L1952" s="5" t="str">
        <f t="shared" si="30"/>
        <v>0 - 4</v>
      </c>
    </row>
    <row r="1953" spans="3:12" hidden="1">
      <c r="C1953" t="s">
        <v>31</v>
      </c>
      <c r="D1953" t="s">
        <v>73</v>
      </c>
      <c r="E1953">
        <v>1</v>
      </c>
      <c r="F1953" t="s">
        <v>10</v>
      </c>
      <c r="G1953" t="s">
        <v>59</v>
      </c>
      <c r="H1953" t="s">
        <v>397</v>
      </c>
      <c r="I1953" s="3" t="s">
        <v>265</v>
      </c>
      <c r="J1953" t="s">
        <v>66</v>
      </c>
      <c r="K1953" s="15">
        <v>635000</v>
      </c>
      <c r="L1953" s="5" t="str">
        <f t="shared" si="30"/>
        <v>0 - 4</v>
      </c>
    </row>
    <row r="1954" spans="3:12" hidden="1">
      <c r="C1954" t="s">
        <v>31</v>
      </c>
      <c r="D1954" t="s">
        <v>55</v>
      </c>
      <c r="E1954">
        <v>1</v>
      </c>
      <c r="F1954" t="s">
        <v>10</v>
      </c>
      <c r="G1954" t="s">
        <v>59</v>
      </c>
      <c r="H1954" t="s">
        <v>397</v>
      </c>
      <c r="I1954" s="3" t="s">
        <v>81</v>
      </c>
      <c r="J1954" t="s">
        <v>54</v>
      </c>
      <c r="K1954" s="15">
        <v>640000</v>
      </c>
      <c r="L1954" s="5" t="str">
        <f t="shared" si="30"/>
        <v>0 - 4</v>
      </c>
    </row>
    <row r="1955" spans="3:12" hidden="1">
      <c r="C1955" t="s">
        <v>31</v>
      </c>
      <c r="D1955" t="s">
        <v>73</v>
      </c>
      <c r="E1955">
        <v>1</v>
      </c>
      <c r="F1955" t="s">
        <v>10</v>
      </c>
      <c r="G1955" t="s">
        <v>51</v>
      </c>
      <c r="H1955" t="s">
        <v>397</v>
      </c>
      <c r="I1955" s="3" t="s">
        <v>81</v>
      </c>
      <c r="J1955" t="s">
        <v>66</v>
      </c>
      <c r="K1955" s="15">
        <v>640000</v>
      </c>
      <c r="L1955" s="5" t="str">
        <f t="shared" si="30"/>
        <v>0 - 4</v>
      </c>
    </row>
    <row r="1956" spans="3:12" hidden="1">
      <c r="C1956" t="s">
        <v>31</v>
      </c>
      <c r="D1956" t="s">
        <v>80</v>
      </c>
      <c r="E1956">
        <v>1</v>
      </c>
      <c r="F1956" t="s">
        <v>10</v>
      </c>
      <c r="G1956" t="s">
        <v>51</v>
      </c>
      <c r="H1956" t="s">
        <v>397</v>
      </c>
      <c r="I1956" s="3" t="s">
        <v>85</v>
      </c>
      <c r="J1956" t="s">
        <v>66</v>
      </c>
      <c r="K1956" s="15">
        <v>650000</v>
      </c>
      <c r="L1956" s="5" t="str">
        <f t="shared" si="30"/>
        <v>0 - 4</v>
      </c>
    </row>
    <row r="1957" spans="3:12" hidden="1">
      <c r="C1957" t="s">
        <v>31</v>
      </c>
      <c r="D1957" t="s">
        <v>55</v>
      </c>
      <c r="E1957">
        <v>1</v>
      </c>
      <c r="F1957" t="s">
        <v>10</v>
      </c>
      <c r="G1957" t="s">
        <v>51</v>
      </c>
      <c r="H1957" t="s">
        <v>397</v>
      </c>
      <c r="I1957" s="3" t="s">
        <v>85</v>
      </c>
      <c r="J1957" t="s">
        <v>54</v>
      </c>
      <c r="K1957" s="15">
        <v>650000</v>
      </c>
      <c r="L1957" s="5" t="str">
        <f t="shared" si="30"/>
        <v>0 - 4</v>
      </c>
    </row>
    <row r="1958" spans="3:12" hidden="1">
      <c r="C1958" t="s">
        <v>31</v>
      </c>
      <c r="D1958" t="s">
        <v>80</v>
      </c>
      <c r="E1958">
        <v>1</v>
      </c>
      <c r="F1958" t="s">
        <v>10</v>
      </c>
      <c r="G1958" t="s">
        <v>51</v>
      </c>
      <c r="H1958" t="s">
        <v>397</v>
      </c>
      <c r="I1958" s="3" t="s">
        <v>85</v>
      </c>
      <c r="J1958" t="s">
        <v>54</v>
      </c>
      <c r="K1958" s="15">
        <v>650000</v>
      </c>
      <c r="L1958" s="5" t="str">
        <f t="shared" si="30"/>
        <v>0 - 4</v>
      </c>
    </row>
    <row r="1959" spans="3:12" hidden="1">
      <c r="C1959" t="s">
        <v>31</v>
      </c>
      <c r="D1959" t="s">
        <v>55</v>
      </c>
      <c r="E1959">
        <v>1</v>
      </c>
      <c r="F1959" t="s">
        <v>10</v>
      </c>
      <c r="G1959" t="s">
        <v>51</v>
      </c>
      <c r="H1959" t="s">
        <v>397</v>
      </c>
      <c r="I1959" s="3" t="s">
        <v>85</v>
      </c>
      <c r="J1959" t="s">
        <v>54</v>
      </c>
      <c r="K1959" s="15">
        <v>650000</v>
      </c>
      <c r="L1959" s="5" t="str">
        <f t="shared" si="30"/>
        <v>0 - 4</v>
      </c>
    </row>
    <row r="1960" spans="3:12" hidden="1">
      <c r="C1960" t="s">
        <v>31</v>
      </c>
      <c r="D1960" t="s">
        <v>55</v>
      </c>
      <c r="E1960">
        <v>1</v>
      </c>
      <c r="F1960" t="s">
        <v>10</v>
      </c>
      <c r="G1960" t="s">
        <v>51</v>
      </c>
      <c r="H1960" t="s">
        <v>397</v>
      </c>
      <c r="I1960" s="3" t="s">
        <v>85</v>
      </c>
      <c r="J1960" t="s">
        <v>54</v>
      </c>
      <c r="K1960" s="15">
        <v>650000</v>
      </c>
      <c r="L1960" s="5" t="str">
        <f t="shared" si="30"/>
        <v>0 - 4</v>
      </c>
    </row>
    <row r="1961" spans="3:12" hidden="1">
      <c r="C1961" t="s">
        <v>31</v>
      </c>
      <c r="D1961" t="s">
        <v>73</v>
      </c>
      <c r="E1961">
        <v>1</v>
      </c>
      <c r="F1961" t="s">
        <v>10</v>
      </c>
      <c r="G1961" t="s">
        <v>57</v>
      </c>
      <c r="H1961" t="s">
        <v>397</v>
      </c>
      <c r="I1961" s="3" t="s">
        <v>445</v>
      </c>
      <c r="J1961" t="s">
        <v>54</v>
      </c>
      <c r="K1961" s="15">
        <v>657000</v>
      </c>
      <c r="L1961" s="5" t="str">
        <f t="shared" si="30"/>
        <v>0 - 4</v>
      </c>
    </row>
    <row r="1962" spans="3:12" hidden="1">
      <c r="C1962" t="s">
        <v>31</v>
      </c>
      <c r="D1962" t="s">
        <v>73</v>
      </c>
      <c r="E1962">
        <v>1</v>
      </c>
      <c r="F1962" t="s">
        <v>10</v>
      </c>
      <c r="G1962" t="s">
        <v>57</v>
      </c>
      <c r="H1962" t="s">
        <v>397</v>
      </c>
      <c r="I1962" s="3" t="s">
        <v>440</v>
      </c>
      <c r="J1962" t="s">
        <v>54</v>
      </c>
      <c r="K1962" s="15">
        <v>667000</v>
      </c>
      <c r="L1962" s="5" t="str">
        <f t="shared" si="30"/>
        <v>0 - 4</v>
      </c>
    </row>
    <row r="1963" spans="3:12" hidden="1">
      <c r="C1963" t="s">
        <v>31</v>
      </c>
      <c r="D1963" t="s">
        <v>49</v>
      </c>
      <c r="E1963">
        <v>1</v>
      </c>
      <c r="F1963" t="s">
        <v>10</v>
      </c>
      <c r="G1963" t="s">
        <v>57</v>
      </c>
      <c r="H1963" t="s">
        <v>397</v>
      </c>
      <c r="I1963" s="3" t="s">
        <v>159</v>
      </c>
      <c r="J1963" t="s">
        <v>54</v>
      </c>
      <c r="K1963" s="15">
        <v>680000</v>
      </c>
      <c r="L1963" s="5" t="str">
        <f t="shared" si="30"/>
        <v>0 - 4</v>
      </c>
    </row>
    <row r="1964" spans="3:12" hidden="1">
      <c r="C1964" t="s">
        <v>31</v>
      </c>
      <c r="D1964" t="s">
        <v>55</v>
      </c>
      <c r="E1964">
        <v>1</v>
      </c>
      <c r="F1964" t="s">
        <v>10</v>
      </c>
      <c r="G1964" t="s">
        <v>51</v>
      </c>
      <c r="H1964" t="s">
        <v>397</v>
      </c>
      <c r="I1964" s="3" t="s">
        <v>159</v>
      </c>
      <c r="J1964" t="s">
        <v>66</v>
      </c>
      <c r="K1964" s="15">
        <v>680000</v>
      </c>
      <c r="L1964" s="5" t="str">
        <f t="shared" si="30"/>
        <v>0 - 4</v>
      </c>
    </row>
    <row r="1965" spans="3:12" hidden="1">
      <c r="C1965" t="s">
        <v>31</v>
      </c>
      <c r="D1965" t="s">
        <v>67</v>
      </c>
      <c r="E1965">
        <v>1</v>
      </c>
      <c r="F1965" t="s">
        <v>10</v>
      </c>
      <c r="G1965" t="s">
        <v>59</v>
      </c>
      <c r="H1965" t="s">
        <v>397</v>
      </c>
      <c r="I1965" s="3" t="s">
        <v>151</v>
      </c>
      <c r="J1965" t="s">
        <v>66</v>
      </c>
      <c r="K1965" s="15">
        <v>690000</v>
      </c>
      <c r="L1965" s="5" t="str">
        <f t="shared" si="30"/>
        <v>0 - 4</v>
      </c>
    </row>
    <row r="1966" spans="3:12" hidden="1">
      <c r="C1966" t="s">
        <v>31</v>
      </c>
      <c r="D1966" t="s">
        <v>55</v>
      </c>
      <c r="E1966">
        <v>1</v>
      </c>
      <c r="F1966" t="s">
        <v>10</v>
      </c>
      <c r="G1966" t="s">
        <v>59</v>
      </c>
      <c r="H1966" t="s">
        <v>397</v>
      </c>
      <c r="I1966" s="3" t="s">
        <v>108</v>
      </c>
      <c r="J1966" t="s">
        <v>66</v>
      </c>
      <c r="K1966" s="15">
        <v>700000</v>
      </c>
      <c r="L1966" s="5" t="str">
        <f t="shared" si="30"/>
        <v>0 - 4</v>
      </c>
    </row>
    <row r="1967" spans="3:12" hidden="1">
      <c r="C1967" t="s">
        <v>31</v>
      </c>
      <c r="D1967" t="s">
        <v>55</v>
      </c>
      <c r="E1967">
        <v>1</v>
      </c>
      <c r="F1967" t="s">
        <v>10</v>
      </c>
      <c r="G1967" t="s">
        <v>59</v>
      </c>
      <c r="H1967" t="s">
        <v>397</v>
      </c>
      <c r="I1967" s="3" t="s">
        <v>108</v>
      </c>
      <c r="J1967" t="s">
        <v>54</v>
      </c>
      <c r="K1967" s="15">
        <v>700000</v>
      </c>
      <c r="L1967" s="5" t="str">
        <f t="shared" si="30"/>
        <v>0 - 4</v>
      </c>
    </row>
    <row r="1968" spans="3:12" hidden="1">
      <c r="C1968" t="s">
        <v>31</v>
      </c>
      <c r="D1968" t="s">
        <v>55</v>
      </c>
      <c r="E1968">
        <v>1</v>
      </c>
      <c r="F1968" t="s">
        <v>10</v>
      </c>
      <c r="G1968" t="s">
        <v>59</v>
      </c>
      <c r="H1968" t="s">
        <v>397</v>
      </c>
      <c r="I1968" s="3" t="s">
        <v>272</v>
      </c>
      <c r="J1968" t="s">
        <v>54</v>
      </c>
      <c r="K1968" s="15">
        <v>705000</v>
      </c>
      <c r="L1968" s="5" t="str">
        <f t="shared" si="30"/>
        <v>0 - 4</v>
      </c>
    </row>
    <row r="1969" spans="3:12" hidden="1">
      <c r="C1969" t="s">
        <v>31</v>
      </c>
      <c r="D1969" t="s">
        <v>73</v>
      </c>
      <c r="E1969">
        <v>1</v>
      </c>
      <c r="F1969" t="s">
        <v>10</v>
      </c>
      <c r="G1969" t="s">
        <v>51</v>
      </c>
      <c r="H1969" t="s">
        <v>397</v>
      </c>
      <c r="I1969" s="3" t="s">
        <v>165</v>
      </c>
      <c r="J1969" t="s">
        <v>54</v>
      </c>
      <c r="K1969" s="15">
        <v>720000</v>
      </c>
      <c r="L1969" s="5" t="str">
        <f t="shared" si="30"/>
        <v>0 - 4</v>
      </c>
    </row>
    <row r="1970" spans="3:12" hidden="1">
      <c r="C1970" t="s">
        <v>31</v>
      </c>
      <c r="D1970" t="s">
        <v>67</v>
      </c>
      <c r="E1970">
        <v>1</v>
      </c>
      <c r="F1970" t="s">
        <v>10</v>
      </c>
      <c r="G1970" t="s">
        <v>51</v>
      </c>
      <c r="H1970" t="s">
        <v>397</v>
      </c>
      <c r="I1970" s="3" t="s">
        <v>172</v>
      </c>
      <c r="J1970" t="s">
        <v>54</v>
      </c>
      <c r="K1970" s="15">
        <v>775000</v>
      </c>
      <c r="L1970" s="5" t="str">
        <f t="shared" si="30"/>
        <v>0 - 4</v>
      </c>
    </row>
    <row r="1971" spans="3:12" hidden="1">
      <c r="C1971" t="s">
        <v>31</v>
      </c>
      <c r="D1971" t="s">
        <v>55</v>
      </c>
      <c r="E1971">
        <v>1</v>
      </c>
      <c r="F1971" t="s">
        <v>10</v>
      </c>
      <c r="G1971" t="s">
        <v>51</v>
      </c>
      <c r="H1971" t="s">
        <v>397</v>
      </c>
      <c r="I1971" s="3" t="s">
        <v>116</v>
      </c>
      <c r="J1971" t="s">
        <v>66</v>
      </c>
      <c r="K1971" s="15">
        <v>800000</v>
      </c>
      <c r="L1971" s="5" t="str">
        <f t="shared" si="30"/>
        <v>0 - 4</v>
      </c>
    </row>
    <row r="1972" spans="3:12" hidden="1">
      <c r="C1972" t="s">
        <v>31</v>
      </c>
      <c r="D1972" t="s">
        <v>55</v>
      </c>
      <c r="E1972">
        <v>1</v>
      </c>
      <c r="F1972" t="s">
        <v>10</v>
      </c>
      <c r="G1972" t="s">
        <v>51</v>
      </c>
      <c r="H1972" t="s">
        <v>397</v>
      </c>
      <c r="I1972" s="3" t="s">
        <v>135</v>
      </c>
      <c r="J1972" t="s">
        <v>54</v>
      </c>
      <c r="K1972" s="15">
        <v>840000</v>
      </c>
      <c r="L1972" s="5" t="str">
        <f t="shared" si="30"/>
        <v>0 - 4</v>
      </c>
    </row>
    <row r="1973" spans="3:12" hidden="1">
      <c r="C1973" t="s">
        <v>30</v>
      </c>
      <c r="D1973" t="s">
        <v>73</v>
      </c>
      <c r="E1973">
        <v>0</v>
      </c>
      <c r="F1973" t="s">
        <v>10</v>
      </c>
      <c r="G1973" t="s">
        <v>57</v>
      </c>
      <c r="H1973" t="s">
        <v>397</v>
      </c>
      <c r="I1973" s="3" t="s">
        <v>94</v>
      </c>
      <c r="J1973" t="s">
        <v>66</v>
      </c>
      <c r="K1973" s="15">
        <v>550000</v>
      </c>
      <c r="L1973" s="5" t="str">
        <f t="shared" si="30"/>
        <v>0 - 4</v>
      </c>
    </row>
    <row r="1974" spans="3:12" hidden="1">
      <c r="C1974" t="s">
        <v>30</v>
      </c>
      <c r="D1974" t="s">
        <v>55</v>
      </c>
      <c r="E1974">
        <v>0</v>
      </c>
      <c r="F1974" t="s">
        <v>10</v>
      </c>
      <c r="G1974" t="s">
        <v>59</v>
      </c>
      <c r="H1974" t="s">
        <v>397</v>
      </c>
      <c r="I1974" s="3" t="s">
        <v>119</v>
      </c>
      <c r="J1974" t="s">
        <v>54</v>
      </c>
      <c r="K1974" s="15">
        <v>630000</v>
      </c>
      <c r="L1974" s="5" t="str">
        <f t="shared" si="30"/>
        <v>0 - 4</v>
      </c>
    </row>
    <row r="1975" spans="3:12" hidden="1">
      <c r="C1975" t="s">
        <v>30</v>
      </c>
      <c r="D1975" t="s">
        <v>55</v>
      </c>
      <c r="E1975">
        <v>0</v>
      </c>
      <c r="F1975" t="s">
        <v>10</v>
      </c>
      <c r="G1975" t="s">
        <v>59</v>
      </c>
      <c r="H1975" t="s">
        <v>397</v>
      </c>
      <c r="I1975" s="3" t="s">
        <v>272</v>
      </c>
      <c r="J1975" t="s">
        <v>66</v>
      </c>
      <c r="K1975" s="15">
        <v>705000</v>
      </c>
      <c r="L1975" s="5" t="str">
        <f t="shared" si="30"/>
        <v>0 - 4</v>
      </c>
    </row>
    <row r="1976" spans="3:12" hidden="1">
      <c r="C1976" t="s">
        <v>31</v>
      </c>
      <c r="D1976" t="s">
        <v>49</v>
      </c>
      <c r="E1976">
        <v>0</v>
      </c>
      <c r="F1976" t="s">
        <v>10</v>
      </c>
      <c r="G1976" t="s">
        <v>59</v>
      </c>
      <c r="H1976" t="s">
        <v>397</v>
      </c>
      <c r="I1976" s="3" t="s">
        <v>354</v>
      </c>
      <c r="J1976" t="s">
        <v>66</v>
      </c>
      <c r="K1976" s="15">
        <v>520000</v>
      </c>
      <c r="L1976" s="5" t="str">
        <f t="shared" si="30"/>
        <v>0 - 4</v>
      </c>
    </row>
    <row r="1977" spans="3:12" hidden="1">
      <c r="C1977" t="s">
        <v>31</v>
      </c>
      <c r="D1977" t="s">
        <v>56</v>
      </c>
      <c r="E1977">
        <v>0</v>
      </c>
      <c r="F1977" t="s">
        <v>10</v>
      </c>
      <c r="G1977" t="s">
        <v>59</v>
      </c>
      <c r="H1977" t="s">
        <v>397</v>
      </c>
      <c r="I1977" s="3" t="s">
        <v>191</v>
      </c>
      <c r="J1977" t="s">
        <v>54</v>
      </c>
      <c r="K1977" s="15">
        <v>530000</v>
      </c>
      <c r="L1977" s="5" t="str">
        <f t="shared" si="30"/>
        <v>0 - 4</v>
      </c>
    </row>
    <row r="1978" spans="3:12" hidden="1">
      <c r="C1978" t="s">
        <v>31</v>
      </c>
      <c r="D1978" t="s">
        <v>73</v>
      </c>
      <c r="E1978">
        <v>0</v>
      </c>
      <c r="F1978" t="s">
        <v>10</v>
      </c>
      <c r="G1978" t="s">
        <v>59</v>
      </c>
      <c r="H1978" t="s">
        <v>397</v>
      </c>
      <c r="I1978" s="3" t="s">
        <v>118</v>
      </c>
      <c r="J1978" t="s">
        <v>54</v>
      </c>
      <c r="K1978" s="15">
        <v>570000</v>
      </c>
      <c r="L1978" s="5" t="str">
        <f t="shared" si="30"/>
        <v>0 - 4</v>
      </c>
    </row>
    <row r="1979" spans="3:12" hidden="1">
      <c r="C1979" t="s">
        <v>31</v>
      </c>
      <c r="D1979" t="s">
        <v>73</v>
      </c>
      <c r="E1979">
        <v>0</v>
      </c>
      <c r="F1979" t="s">
        <v>10</v>
      </c>
      <c r="G1979" t="s">
        <v>57</v>
      </c>
      <c r="H1979" t="s">
        <v>397</v>
      </c>
      <c r="I1979" s="3" t="s">
        <v>123</v>
      </c>
      <c r="J1979" t="s">
        <v>54</v>
      </c>
      <c r="K1979" s="15">
        <v>580000</v>
      </c>
      <c r="L1979" s="5" t="str">
        <f t="shared" si="30"/>
        <v>0 - 4</v>
      </c>
    </row>
    <row r="1980" spans="3:12" hidden="1">
      <c r="C1980" t="s">
        <v>31</v>
      </c>
      <c r="D1980" t="s">
        <v>55</v>
      </c>
      <c r="E1980">
        <v>0</v>
      </c>
      <c r="F1980" t="s">
        <v>10</v>
      </c>
      <c r="G1980" t="s">
        <v>59</v>
      </c>
      <c r="H1980" t="s">
        <v>397</v>
      </c>
      <c r="I1980" s="3" t="s">
        <v>86</v>
      </c>
      <c r="J1980" t="s">
        <v>54</v>
      </c>
      <c r="K1980" s="15">
        <v>595000</v>
      </c>
      <c r="L1980" s="5" t="str">
        <f t="shared" si="30"/>
        <v>0 - 4</v>
      </c>
    </row>
    <row r="1981" spans="3:12" hidden="1">
      <c r="C1981" t="s">
        <v>31</v>
      </c>
      <c r="D1981" t="s">
        <v>55</v>
      </c>
      <c r="E1981">
        <v>0</v>
      </c>
      <c r="F1981" t="s">
        <v>10</v>
      </c>
      <c r="G1981" t="s">
        <v>59</v>
      </c>
      <c r="H1981" t="s">
        <v>397</v>
      </c>
      <c r="I1981" s="3" t="s">
        <v>86</v>
      </c>
      <c r="J1981" t="s">
        <v>54</v>
      </c>
      <c r="K1981" s="15">
        <v>595000</v>
      </c>
      <c r="L1981" s="5" t="str">
        <f t="shared" si="30"/>
        <v>0 - 4</v>
      </c>
    </row>
    <row r="1982" spans="3:12" hidden="1">
      <c r="C1982" t="s">
        <v>31</v>
      </c>
      <c r="D1982" t="s">
        <v>73</v>
      </c>
      <c r="E1982">
        <v>0</v>
      </c>
      <c r="F1982" t="s">
        <v>10</v>
      </c>
      <c r="G1982" t="s">
        <v>59</v>
      </c>
      <c r="H1982" t="s">
        <v>397</v>
      </c>
      <c r="I1982" s="3" t="s">
        <v>139</v>
      </c>
      <c r="J1982" t="s">
        <v>54</v>
      </c>
      <c r="K1982" s="15">
        <v>600000</v>
      </c>
      <c r="L1982" s="5" t="str">
        <f t="shared" si="30"/>
        <v>0 - 4</v>
      </c>
    </row>
    <row r="1983" spans="3:12" hidden="1">
      <c r="C1983" t="s">
        <v>31</v>
      </c>
      <c r="D1983" t="s">
        <v>73</v>
      </c>
      <c r="E1983">
        <v>0</v>
      </c>
      <c r="F1983" t="s">
        <v>10</v>
      </c>
      <c r="G1983" t="s">
        <v>57</v>
      </c>
      <c r="H1983" t="s">
        <v>397</v>
      </c>
      <c r="I1983" s="3" t="s">
        <v>446</v>
      </c>
      <c r="J1983" t="s">
        <v>54</v>
      </c>
      <c r="K1983" s="15">
        <v>604900</v>
      </c>
      <c r="L1983" s="5" t="str">
        <f t="shared" si="30"/>
        <v>0 - 4</v>
      </c>
    </row>
    <row r="1984" spans="3:12" hidden="1">
      <c r="C1984" t="s">
        <v>31</v>
      </c>
      <c r="D1984" t="s">
        <v>73</v>
      </c>
      <c r="E1984">
        <v>0</v>
      </c>
      <c r="F1984" t="s">
        <v>10</v>
      </c>
      <c r="G1984" t="s">
        <v>59</v>
      </c>
      <c r="H1984" t="s">
        <v>397</v>
      </c>
      <c r="I1984" s="3" t="s">
        <v>281</v>
      </c>
      <c r="J1984" t="s">
        <v>54</v>
      </c>
      <c r="K1984" s="15">
        <v>610000</v>
      </c>
      <c r="L1984" s="5" t="str">
        <f t="shared" si="30"/>
        <v>0 - 4</v>
      </c>
    </row>
    <row r="1985" spans="3:12" hidden="1">
      <c r="C1985" t="s">
        <v>31</v>
      </c>
      <c r="D1985" t="s">
        <v>55</v>
      </c>
      <c r="E1985">
        <v>0</v>
      </c>
      <c r="F1985" t="s">
        <v>10</v>
      </c>
      <c r="G1985" t="s">
        <v>59</v>
      </c>
      <c r="H1985" t="s">
        <v>397</v>
      </c>
      <c r="I1985" s="3" t="s">
        <v>213</v>
      </c>
      <c r="J1985" t="s">
        <v>54</v>
      </c>
      <c r="K1985" s="15">
        <v>620000</v>
      </c>
      <c r="L1985" s="5" t="str">
        <f t="shared" si="30"/>
        <v>0 - 4</v>
      </c>
    </row>
    <row r="1986" spans="3:12" hidden="1">
      <c r="C1986" t="s">
        <v>31</v>
      </c>
      <c r="D1986" t="s">
        <v>55</v>
      </c>
      <c r="E1986">
        <v>0</v>
      </c>
      <c r="F1986" t="s">
        <v>10</v>
      </c>
      <c r="G1986" t="s">
        <v>59</v>
      </c>
      <c r="H1986" t="s">
        <v>397</v>
      </c>
      <c r="I1986" s="3" t="s">
        <v>213</v>
      </c>
      <c r="J1986" t="s">
        <v>54</v>
      </c>
      <c r="K1986" s="15">
        <v>620000</v>
      </c>
      <c r="L1986" s="5" t="str">
        <f t="shared" si="30"/>
        <v>0 - 4</v>
      </c>
    </row>
    <row r="1987" spans="3:12" hidden="1">
      <c r="C1987" t="s">
        <v>31</v>
      </c>
      <c r="D1987" t="s">
        <v>55</v>
      </c>
      <c r="E1987">
        <v>0</v>
      </c>
      <c r="F1987" t="s">
        <v>10</v>
      </c>
      <c r="G1987" t="s">
        <v>51</v>
      </c>
      <c r="H1987" t="s">
        <v>397</v>
      </c>
      <c r="I1987" s="3" t="s">
        <v>157</v>
      </c>
      <c r="J1987" t="s">
        <v>66</v>
      </c>
      <c r="K1987" s="15">
        <v>625000</v>
      </c>
      <c r="L1987" s="5" t="str">
        <f t="shared" ref="L1987:L2050" si="31">_xlfn.XLOOKUP(E1987,$P$2:$P$5,$O$2:$O$5,,1)</f>
        <v>0 - 4</v>
      </c>
    </row>
    <row r="1988" spans="3:12" hidden="1">
      <c r="C1988" t="s">
        <v>31</v>
      </c>
      <c r="D1988" t="s">
        <v>55</v>
      </c>
      <c r="E1988">
        <v>0</v>
      </c>
      <c r="F1988" t="s">
        <v>10</v>
      </c>
      <c r="G1988" t="s">
        <v>59</v>
      </c>
      <c r="H1988" t="s">
        <v>397</v>
      </c>
      <c r="I1988" s="3" t="s">
        <v>119</v>
      </c>
      <c r="J1988" t="s">
        <v>54</v>
      </c>
      <c r="K1988" s="15">
        <v>630000</v>
      </c>
      <c r="L1988" s="5" t="str">
        <f t="shared" si="31"/>
        <v>0 - 4</v>
      </c>
    </row>
    <row r="1989" spans="3:12" hidden="1">
      <c r="C1989" t="s">
        <v>31</v>
      </c>
      <c r="D1989" t="s">
        <v>55</v>
      </c>
      <c r="E1989">
        <v>0</v>
      </c>
      <c r="F1989" t="s">
        <v>10</v>
      </c>
      <c r="G1989" t="s">
        <v>59</v>
      </c>
      <c r="H1989" t="s">
        <v>397</v>
      </c>
      <c r="I1989" s="3" t="s">
        <v>119</v>
      </c>
      <c r="J1989" t="s">
        <v>54</v>
      </c>
      <c r="K1989" s="15">
        <v>630000</v>
      </c>
      <c r="L1989" s="5" t="str">
        <f t="shared" si="31"/>
        <v>0 - 4</v>
      </c>
    </row>
    <row r="1990" spans="3:12" hidden="1">
      <c r="C1990" t="s">
        <v>31</v>
      </c>
      <c r="D1990" t="s">
        <v>55</v>
      </c>
      <c r="E1990">
        <v>0</v>
      </c>
      <c r="F1990" t="s">
        <v>10</v>
      </c>
      <c r="G1990" t="s">
        <v>59</v>
      </c>
      <c r="H1990" t="s">
        <v>397</v>
      </c>
      <c r="I1990" s="3" t="s">
        <v>119</v>
      </c>
      <c r="J1990" t="s">
        <v>54</v>
      </c>
      <c r="K1990" s="15">
        <v>630000</v>
      </c>
      <c r="L1990" s="5" t="str">
        <f t="shared" si="31"/>
        <v>0 - 4</v>
      </c>
    </row>
    <row r="1991" spans="3:12" hidden="1">
      <c r="C1991" t="s">
        <v>31</v>
      </c>
      <c r="D1991" t="s">
        <v>55</v>
      </c>
      <c r="E1991">
        <v>0</v>
      </c>
      <c r="F1991" t="s">
        <v>10</v>
      </c>
      <c r="G1991" t="s">
        <v>51</v>
      </c>
      <c r="H1991" t="s">
        <v>397</v>
      </c>
      <c r="I1991" s="3" t="s">
        <v>119</v>
      </c>
      <c r="J1991" t="s">
        <v>54</v>
      </c>
      <c r="K1991" s="15">
        <v>630000</v>
      </c>
      <c r="L1991" s="5" t="str">
        <f t="shared" si="31"/>
        <v>0 - 4</v>
      </c>
    </row>
    <row r="1992" spans="3:12" hidden="1">
      <c r="C1992" t="s">
        <v>31</v>
      </c>
      <c r="D1992" t="s">
        <v>55</v>
      </c>
      <c r="E1992">
        <v>0</v>
      </c>
      <c r="F1992" t="s">
        <v>10</v>
      </c>
      <c r="G1992" t="s">
        <v>59</v>
      </c>
      <c r="H1992" t="s">
        <v>397</v>
      </c>
      <c r="I1992" s="3" t="s">
        <v>119</v>
      </c>
      <c r="J1992" t="s">
        <v>54</v>
      </c>
      <c r="K1992" s="15">
        <v>630000</v>
      </c>
      <c r="L1992" s="5" t="str">
        <f t="shared" si="31"/>
        <v>0 - 4</v>
      </c>
    </row>
    <row r="1993" spans="3:12" hidden="1">
      <c r="C1993" t="s">
        <v>31</v>
      </c>
      <c r="D1993" t="s">
        <v>55</v>
      </c>
      <c r="E1993">
        <v>0</v>
      </c>
      <c r="F1993" t="s">
        <v>10</v>
      </c>
      <c r="G1993" t="s">
        <v>51</v>
      </c>
      <c r="H1993" t="s">
        <v>397</v>
      </c>
      <c r="I1993" s="3" t="s">
        <v>265</v>
      </c>
      <c r="J1993" t="s">
        <v>54</v>
      </c>
      <c r="K1993" s="15">
        <v>635000</v>
      </c>
      <c r="L1993" s="5" t="str">
        <f t="shared" si="31"/>
        <v>0 - 4</v>
      </c>
    </row>
    <row r="1994" spans="3:12" hidden="1">
      <c r="C1994" t="s">
        <v>31</v>
      </c>
      <c r="D1994" t="s">
        <v>73</v>
      </c>
      <c r="E1994">
        <v>0</v>
      </c>
      <c r="F1994" t="s">
        <v>10</v>
      </c>
      <c r="G1994" t="s">
        <v>51</v>
      </c>
      <c r="H1994" t="s">
        <v>397</v>
      </c>
      <c r="I1994" s="3" t="s">
        <v>85</v>
      </c>
      <c r="J1994" t="s">
        <v>66</v>
      </c>
      <c r="K1994" s="15">
        <v>650000</v>
      </c>
      <c r="L1994" s="5" t="str">
        <f t="shared" si="31"/>
        <v>0 - 4</v>
      </c>
    </row>
    <row r="1995" spans="3:12" hidden="1">
      <c r="C1995" t="s">
        <v>31</v>
      </c>
      <c r="D1995" t="s">
        <v>55</v>
      </c>
      <c r="E1995">
        <v>0</v>
      </c>
      <c r="F1995" t="s">
        <v>10</v>
      </c>
      <c r="G1995" t="s">
        <v>51</v>
      </c>
      <c r="H1995" t="s">
        <v>397</v>
      </c>
      <c r="I1995" s="3" t="s">
        <v>85</v>
      </c>
      <c r="J1995" t="s">
        <v>54</v>
      </c>
      <c r="K1995" s="15">
        <v>650000</v>
      </c>
      <c r="L1995" s="5" t="str">
        <f t="shared" si="31"/>
        <v>0 - 4</v>
      </c>
    </row>
    <row r="1996" spans="3:12" hidden="1">
      <c r="C1996" t="s">
        <v>31</v>
      </c>
      <c r="D1996" t="s">
        <v>73</v>
      </c>
      <c r="E1996">
        <v>0</v>
      </c>
      <c r="F1996" t="s">
        <v>10</v>
      </c>
      <c r="G1996" t="s">
        <v>51</v>
      </c>
      <c r="H1996" t="s">
        <v>397</v>
      </c>
      <c r="I1996" s="3" t="s">
        <v>440</v>
      </c>
      <c r="J1996" t="s">
        <v>54</v>
      </c>
      <c r="K1996" s="15">
        <v>667000</v>
      </c>
      <c r="L1996" s="5" t="str">
        <f t="shared" si="31"/>
        <v>0 - 4</v>
      </c>
    </row>
    <row r="1997" spans="3:12" hidden="1">
      <c r="C1997" t="s">
        <v>31</v>
      </c>
      <c r="D1997" t="s">
        <v>55</v>
      </c>
      <c r="E1997">
        <v>0</v>
      </c>
      <c r="F1997" t="s">
        <v>10</v>
      </c>
      <c r="G1997" t="s">
        <v>59</v>
      </c>
      <c r="H1997" t="s">
        <v>397</v>
      </c>
      <c r="I1997" s="3" t="s">
        <v>222</v>
      </c>
      <c r="J1997" t="s">
        <v>66</v>
      </c>
      <c r="K1997" s="15">
        <v>670000</v>
      </c>
      <c r="L1997" s="5" t="str">
        <f t="shared" si="31"/>
        <v>0 - 4</v>
      </c>
    </row>
    <row r="1998" spans="3:12" hidden="1">
      <c r="C1998" t="s">
        <v>31</v>
      </c>
      <c r="D1998" t="s">
        <v>55</v>
      </c>
      <c r="E1998">
        <v>0</v>
      </c>
      <c r="F1998" t="s">
        <v>10</v>
      </c>
      <c r="G1998" t="s">
        <v>51</v>
      </c>
      <c r="H1998" t="s">
        <v>397</v>
      </c>
      <c r="I1998" s="3" t="s">
        <v>159</v>
      </c>
      <c r="J1998" t="s">
        <v>54</v>
      </c>
      <c r="K1998" s="15">
        <v>680000</v>
      </c>
      <c r="L1998" s="5" t="str">
        <f t="shared" si="31"/>
        <v>0 - 4</v>
      </c>
    </row>
    <row r="1999" spans="3:12" hidden="1">
      <c r="C1999" t="s">
        <v>31</v>
      </c>
      <c r="D1999" t="s">
        <v>77</v>
      </c>
      <c r="E1999">
        <v>0</v>
      </c>
      <c r="F1999" t="s">
        <v>10</v>
      </c>
      <c r="G1999" t="s">
        <v>51</v>
      </c>
      <c r="H1999" t="s">
        <v>397</v>
      </c>
      <c r="I1999" s="3" t="s">
        <v>151</v>
      </c>
      <c r="J1999" t="s">
        <v>54</v>
      </c>
      <c r="K1999" s="15">
        <v>690000</v>
      </c>
      <c r="L1999" s="5" t="str">
        <f t="shared" si="31"/>
        <v>0 - 4</v>
      </c>
    </row>
    <row r="2000" spans="3:12" hidden="1">
      <c r="C2000" t="s">
        <v>31</v>
      </c>
      <c r="D2000" t="s">
        <v>55</v>
      </c>
      <c r="E2000">
        <v>0</v>
      </c>
      <c r="F2000" t="s">
        <v>10</v>
      </c>
      <c r="G2000" t="s">
        <v>59</v>
      </c>
      <c r="H2000" t="s">
        <v>397</v>
      </c>
      <c r="I2000" s="3" t="s">
        <v>108</v>
      </c>
      <c r="J2000" t="s">
        <v>54</v>
      </c>
      <c r="K2000" s="15">
        <v>700000</v>
      </c>
      <c r="L2000" s="5" t="str">
        <f t="shared" si="31"/>
        <v>0 - 4</v>
      </c>
    </row>
    <row r="2001" spans="3:12" hidden="1">
      <c r="C2001" t="s">
        <v>31</v>
      </c>
      <c r="D2001" t="s">
        <v>55</v>
      </c>
      <c r="E2001">
        <v>0</v>
      </c>
      <c r="F2001" t="s">
        <v>10</v>
      </c>
      <c r="G2001" t="s">
        <v>59</v>
      </c>
      <c r="H2001" t="s">
        <v>397</v>
      </c>
      <c r="I2001" s="3" t="s">
        <v>115</v>
      </c>
      <c r="J2001" t="s">
        <v>66</v>
      </c>
      <c r="K2001" s="15">
        <v>715000</v>
      </c>
      <c r="L2001" s="5" t="str">
        <f t="shared" si="31"/>
        <v>0 - 4</v>
      </c>
    </row>
    <row r="2002" spans="3:12" hidden="1">
      <c r="C2002" t="s">
        <v>31</v>
      </c>
      <c r="D2002" t="s">
        <v>55</v>
      </c>
      <c r="E2002">
        <v>0</v>
      </c>
      <c r="F2002" t="s">
        <v>10</v>
      </c>
      <c r="G2002" t="s">
        <v>59</v>
      </c>
      <c r="H2002" t="s">
        <v>397</v>
      </c>
      <c r="I2002" s="3" t="s">
        <v>165</v>
      </c>
      <c r="J2002" t="s">
        <v>66</v>
      </c>
      <c r="K2002" s="15">
        <v>720000</v>
      </c>
      <c r="L2002" s="5" t="str">
        <f t="shared" si="31"/>
        <v>0 - 4</v>
      </c>
    </row>
    <row r="2003" spans="3:12" hidden="1">
      <c r="C2003" t="s">
        <v>31</v>
      </c>
      <c r="D2003" t="s">
        <v>55</v>
      </c>
      <c r="E2003">
        <v>0</v>
      </c>
      <c r="F2003" t="s">
        <v>10</v>
      </c>
      <c r="G2003" t="s">
        <v>51</v>
      </c>
      <c r="H2003" t="s">
        <v>397</v>
      </c>
      <c r="I2003" s="3" t="s">
        <v>69</v>
      </c>
      <c r="J2003" t="s">
        <v>54</v>
      </c>
      <c r="K2003" s="15">
        <v>750000</v>
      </c>
      <c r="L2003" s="5" t="str">
        <f t="shared" si="31"/>
        <v>0 - 4</v>
      </c>
    </row>
    <row r="2004" spans="3:12" hidden="1">
      <c r="C2004" t="s">
        <v>31</v>
      </c>
      <c r="D2004" t="s">
        <v>67</v>
      </c>
      <c r="E2004">
        <v>30</v>
      </c>
      <c r="F2004" t="s">
        <v>11</v>
      </c>
      <c r="G2004" t="s">
        <v>51</v>
      </c>
      <c r="H2004" t="s">
        <v>397</v>
      </c>
      <c r="I2004" s="3" t="s">
        <v>106</v>
      </c>
      <c r="J2004" t="s">
        <v>66</v>
      </c>
      <c r="K2004" s="15">
        <v>1100000</v>
      </c>
      <c r="L2004" s="5" t="str">
        <f t="shared" si="31"/>
        <v>15 +</v>
      </c>
    </row>
    <row r="2005" spans="3:12" hidden="1">
      <c r="C2005" t="s">
        <v>31</v>
      </c>
      <c r="D2005" t="s">
        <v>91</v>
      </c>
      <c r="E2005">
        <v>25</v>
      </c>
      <c r="F2005" t="s">
        <v>11</v>
      </c>
      <c r="G2005" t="s">
        <v>51</v>
      </c>
      <c r="H2005" t="s">
        <v>397</v>
      </c>
      <c r="I2005" s="3" t="s">
        <v>148</v>
      </c>
      <c r="J2005" t="s">
        <v>54</v>
      </c>
      <c r="K2005" s="15">
        <v>1050000</v>
      </c>
      <c r="L2005" s="5" t="str">
        <f t="shared" si="31"/>
        <v>15 +</v>
      </c>
    </row>
    <row r="2006" spans="3:12" hidden="1">
      <c r="C2006" t="s">
        <v>31</v>
      </c>
      <c r="D2006" t="s">
        <v>73</v>
      </c>
      <c r="E2006">
        <v>25</v>
      </c>
      <c r="F2006" t="s">
        <v>11</v>
      </c>
      <c r="G2006" t="s">
        <v>51</v>
      </c>
      <c r="H2006" t="s">
        <v>397</v>
      </c>
      <c r="I2006" s="3" t="s">
        <v>148</v>
      </c>
      <c r="J2006" t="s">
        <v>66</v>
      </c>
      <c r="K2006" s="15">
        <v>1050000</v>
      </c>
      <c r="L2006" s="5" t="str">
        <f t="shared" si="31"/>
        <v>15 +</v>
      </c>
    </row>
    <row r="2007" spans="3:12" hidden="1">
      <c r="C2007" t="s">
        <v>31</v>
      </c>
      <c r="D2007" t="s">
        <v>49</v>
      </c>
      <c r="E2007">
        <v>25</v>
      </c>
      <c r="F2007" t="s">
        <v>11</v>
      </c>
      <c r="G2007" t="s">
        <v>51</v>
      </c>
      <c r="H2007" t="s">
        <v>397</v>
      </c>
      <c r="I2007" s="3" t="s">
        <v>104</v>
      </c>
      <c r="J2007" t="s">
        <v>54</v>
      </c>
      <c r="K2007" s="15">
        <v>1300000</v>
      </c>
      <c r="L2007" s="5" t="str">
        <f t="shared" si="31"/>
        <v>15 +</v>
      </c>
    </row>
    <row r="2008" spans="3:12" hidden="1">
      <c r="C2008" t="s">
        <v>31</v>
      </c>
      <c r="D2008" t="s">
        <v>56</v>
      </c>
      <c r="E2008">
        <v>24</v>
      </c>
      <c r="F2008" t="s">
        <v>11</v>
      </c>
      <c r="G2008" t="s">
        <v>57</v>
      </c>
      <c r="H2008" t="s">
        <v>397</v>
      </c>
      <c r="I2008" s="3" t="s">
        <v>130</v>
      </c>
      <c r="J2008" t="s">
        <v>54</v>
      </c>
      <c r="K2008" s="15">
        <v>950000</v>
      </c>
      <c r="L2008" s="5" t="str">
        <f t="shared" si="31"/>
        <v>15 +</v>
      </c>
    </row>
    <row r="2009" spans="3:12" hidden="1">
      <c r="C2009" t="s">
        <v>31</v>
      </c>
      <c r="D2009" t="s">
        <v>49</v>
      </c>
      <c r="E2009">
        <v>21</v>
      </c>
      <c r="F2009" t="s">
        <v>11</v>
      </c>
      <c r="G2009" t="s">
        <v>57</v>
      </c>
      <c r="H2009" t="s">
        <v>397</v>
      </c>
      <c r="I2009" s="3" t="s">
        <v>141</v>
      </c>
      <c r="J2009" t="s">
        <v>54</v>
      </c>
      <c r="K2009" s="15">
        <v>940000</v>
      </c>
      <c r="L2009" s="5" t="str">
        <f t="shared" si="31"/>
        <v>15 +</v>
      </c>
    </row>
    <row r="2010" spans="3:12" hidden="1">
      <c r="C2010" t="s">
        <v>31</v>
      </c>
      <c r="D2010" t="s">
        <v>80</v>
      </c>
      <c r="E2010">
        <v>18</v>
      </c>
      <c r="F2010" t="s">
        <v>11</v>
      </c>
      <c r="G2010" t="s">
        <v>51</v>
      </c>
      <c r="H2010" t="s">
        <v>397</v>
      </c>
      <c r="I2010" s="3" t="s">
        <v>167</v>
      </c>
      <c r="J2010" t="s">
        <v>54</v>
      </c>
      <c r="K2010" s="15">
        <v>860000</v>
      </c>
      <c r="L2010" s="5" t="str">
        <f t="shared" si="31"/>
        <v>15 +</v>
      </c>
    </row>
    <row r="2011" spans="3:12" hidden="1">
      <c r="C2011" t="s">
        <v>31</v>
      </c>
      <c r="D2011" t="s">
        <v>55</v>
      </c>
      <c r="E2011">
        <v>18</v>
      </c>
      <c r="F2011" t="s">
        <v>11</v>
      </c>
      <c r="G2011" t="s">
        <v>51</v>
      </c>
      <c r="H2011" t="s">
        <v>397</v>
      </c>
      <c r="I2011" s="3" t="s">
        <v>189</v>
      </c>
      <c r="J2011" t="s">
        <v>54</v>
      </c>
      <c r="K2011" s="15">
        <v>955000</v>
      </c>
      <c r="L2011" s="5" t="str">
        <f t="shared" si="31"/>
        <v>15 +</v>
      </c>
    </row>
    <row r="2012" spans="3:12" hidden="1">
      <c r="C2012" t="s">
        <v>31</v>
      </c>
      <c r="D2012" t="s">
        <v>49</v>
      </c>
      <c r="E2012">
        <v>16</v>
      </c>
      <c r="F2012" t="s">
        <v>11</v>
      </c>
      <c r="G2012" t="s">
        <v>51</v>
      </c>
      <c r="H2012" t="s">
        <v>397</v>
      </c>
      <c r="I2012" s="3" t="s">
        <v>96</v>
      </c>
      <c r="J2012" t="s">
        <v>54</v>
      </c>
      <c r="K2012" s="15">
        <v>780000</v>
      </c>
      <c r="L2012" s="5" t="str">
        <f t="shared" si="31"/>
        <v>15 +</v>
      </c>
    </row>
    <row r="2013" spans="3:12" hidden="1">
      <c r="C2013" t="s">
        <v>31</v>
      </c>
      <c r="D2013" t="s">
        <v>73</v>
      </c>
      <c r="E2013">
        <v>16</v>
      </c>
      <c r="F2013" t="s">
        <v>11</v>
      </c>
      <c r="G2013" t="s">
        <v>59</v>
      </c>
      <c r="H2013" t="s">
        <v>397</v>
      </c>
      <c r="I2013" s="3" t="s">
        <v>72</v>
      </c>
      <c r="J2013" t="s">
        <v>66</v>
      </c>
      <c r="K2013" s="15">
        <v>850000</v>
      </c>
      <c r="L2013" s="5" t="str">
        <f t="shared" si="31"/>
        <v>15 +</v>
      </c>
    </row>
    <row r="2014" spans="3:12" hidden="1">
      <c r="C2014" t="s">
        <v>31</v>
      </c>
      <c r="D2014" t="s">
        <v>77</v>
      </c>
      <c r="E2014">
        <v>16</v>
      </c>
      <c r="F2014" t="s">
        <v>11</v>
      </c>
      <c r="G2014" t="s">
        <v>51</v>
      </c>
      <c r="H2014" t="s">
        <v>397</v>
      </c>
      <c r="I2014" s="3" t="s">
        <v>209</v>
      </c>
      <c r="J2014" t="s">
        <v>54</v>
      </c>
      <c r="K2014" s="15">
        <v>1010000</v>
      </c>
      <c r="L2014" s="5" t="str">
        <f t="shared" si="31"/>
        <v>15 +</v>
      </c>
    </row>
    <row r="2015" spans="3:12" hidden="1">
      <c r="C2015" t="s">
        <v>31</v>
      </c>
      <c r="D2015" t="s">
        <v>49</v>
      </c>
      <c r="E2015">
        <v>15</v>
      </c>
      <c r="F2015" t="s">
        <v>11</v>
      </c>
      <c r="G2015" t="s">
        <v>51</v>
      </c>
      <c r="H2015" t="s">
        <v>397</v>
      </c>
      <c r="I2015" s="3" t="s">
        <v>110</v>
      </c>
      <c r="J2015" t="s">
        <v>66</v>
      </c>
      <c r="K2015" s="15">
        <v>1000000</v>
      </c>
      <c r="L2015" s="5" t="str">
        <f t="shared" si="31"/>
        <v>15 +</v>
      </c>
    </row>
    <row r="2016" spans="3:12" hidden="1">
      <c r="C2016" t="s">
        <v>31</v>
      </c>
      <c r="D2016" t="s">
        <v>55</v>
      </c>
      <c r="E2016">
        <v>14</v>
      </c>
      <c r="F2016" t="s">
        <v>11</v>
      </c>
      <c r="G2016" t="s">
        <v>59</v>
      </c>
      <c r="H2016" t="s">
        <v>397</v>
      </c>
      <c r="I2016" s="3" t="s">
        <v>104</v>
      </c>
      <c r="J2016" t="s">
        <v>54</v>
      </c>
      <c r="K2016" s="15">
        <v>1300000</v>
      </c>
      <c r="L2016" s="5" t="str">
        <f t="shared" si="31"/>
        <v>9 - 14</v>
      </c>
    </row>
    <row r="2017" spans="3:12" hidden="1">
      <c r="C2017" t="s">
        <v>31</v>
      </c>
      <c r="D2017" t="s">
        <v>77</v>
      </c>
      <c r="E2017">
        <v>13</v>
      </c>
      <c r="F2017" t="s">
        <v>11</v>
      </c>
      <c r="G2017" t="s">
        <v>59</v>
      </c>
      <c r="H2017" t="s">
        <v>397</v>
      </c>
      <c r="I2017" s="3" t="s">
        <v>306</v>
      </c>
      <c r="J2017" t="s">
        <v>54</v>
      </c>
      <c r="K2017" s="15">
        <v>785000</v>
      </c>
      <c r="L2017" s="5" t="str">
        <f t="shared" si="31"/>
        <v>9 - 14</v>
      </c>
    </row>
    <row r="2018" spans="3:12" hidden="1">
      <c r="C2018" t="s">
        <v>31</v>
      </c>
      <c r="D2018" t="s">
        <v>73</v>
      </c>
      <c r="E2018">
        <v>13</v>
      </c>
      <c r="F2018" t="s">
        <v>11</v>
      </c>
      <c r="G2018" t="s">
        <v>51</v>
      </c>
      <c r="H2018" t="s">
        <v>397</v>
      </c>
      <c r="I2018" s="3" t="s">
        <v>116</v>
      </c>
      <c r="J2018" t="s">
        <v>54</v>
      </c>
      <c r="K2018" s="15">
        <v>800000</v>
      </c>
      <c r="L2018" s="5" t="str">
        <f t="shared" si="31"/>
        <v>9 - 14</v>
      </c>
    </row>
    <row r="2019" spans="3:12" hidden="1">
      <c r="C2019" t="s">
        <v>31</v>
      </c>
      <c r="D2019" t="s">
        <v>73</v>
      </c>
      <c r="E2019">
        <v>13</v>
      </c>
      <c r="F2019" t="s">
        <v>11</v>
      </c>
      <c r="G2019" t="s">
        <v>51</v>
      </c>
      <c r="H2019" t="s">
        <v>397</v>
      </c>
      <c r="I2019" s="3" t="s">
        <v>110</v>
      </c>
      <c r="J2019" t="s">
        <v>54</v>
      </c>
      <c r="K2019" s="15">
        <v>1000000</v>
      </c>
      <c r="L2019" s="5" t="str">
        <f t="shared" si="31"/>
        <v>9 - 14</v>
      </c>
    </row>
    <row r="2020" spans="3:12" hidden="1">
      <c r="C2020" t="s">
        <v>31</v>
      </c>
      <c r="D2020" t="s">
        <v>73</v>
      </c>
      <c r="E2020">
        <v>13</v>
      </c>
      <c r="F2020" t="s">
        <v>11</v>
      </c>
      <c r="G2020" t="s">
        <v>51</v>
      </c>
      <c r="H2020" t="s">
        <v>397</v>
      </c>
      <c r="I2020" s="3" t="s">
        <v>104</v>
      </c>
      <c r="J2020" t="s">
        <v>66</v>
      </c>
      <c r="K2020" s="15">
        <v>1300000</v>
      </c>
      <c r="L2020" s="5" t="str">
        <f t="shared" si="31"/>
        <v>9 - 14</v>
      </c>
    </row>
    <row r="2021" spans="3:12" hidden="1">
      <c r="C2021" t="s">
        <v>31</v>
      </c>
      <c r="D2021" t="s">
        <v>169</v>
      </c>
      <c r="E2021">
        <v>12</v>
      </c>
      <c r="F2021" t="s">
        <v>11</v>
      </c>
      <c r="G2021" t="s">
        <v>59</v>
      </c>
      <c r="H2021" t="s">
        <v>397</v>
      </c>
      <c r="I2021" s="3" t="s">
        <v>360</v>
      </c>
      <c r="J2021" t="s">
        <v>66</v>
      </c>
      <c r="K2021" s="15">
        <v>1070000</v>
      </c>
      <c r="L2021" s="5" t="str">
        <f t="shared" si="31"/>
        <v>9 - 14</v>
      </c>
    </row>
    <row r="2022" spans="3:12" hidden="1">
      <c r="C2022" t="s">
        <v>31</v>
      </c>
      <c r="D2022" t="s">
        <v>77</v>
      </c>
      <c r="E2022">
        <v>12</v>
      </c>
      <c r="F2022" t="s">
        <v>11</v>
      </c>
      <c r="G2022" t="s">
        <v>59</v>
      </c>
      <c r="H2022" t="s">
        <v>397</v>
      </c>
      <c r="I2022" s="3" t="s">
        <v>447</v>
      </c>
      <c r="J2022" t="s">
        <v>54</v>
      </c>
      <c r="K2022" s="15">
        <v>1175000</v>
      </c>
      <c r="L2022" s="5" t="str">
        <f t="shared" si="31"/>
        <v>9 - 14</v>
      </c>
    </row>
    <row r="2023" spans="3:12" hidden="1">
      <c r="C2023" t="s">
        <v>30</v>
      </c>
      <c r="D2023" t="s">
        <v>73</v>
      </c>
      <c r="E2023">
        <v>9</v>
      </c>
      <c r="F2023" t="s">
        <v>11</v>
      </c>
      <c r="G2023" t="s">
        <v>51</v>
      </c>
      <c r="H2023" t="s">
        <v>397</v>
      </c>
      <c r="I2023" s="3" t="s">
        <v>130</v>
      </c>
      <c r="J2023" t="s">
        <v>54</v>
      </c>
      <c r="K2023" s="15">
        <v>950000</v>
      </c>
      <c r="L2023" s="5" t="str">
        <f t="shared" si="31"/>
        <v>9 - 14</v>
      </c>
    </row>
    <row r="2024" spans="3:12" hidden="1">
      <c r="C2024" t="s">
        <v>31</v>
      </c>
      <c r="D2024" t="s">
        <v>55</v>
      </c>
      <c r="E2024">
        <v>8</v>
      </c>
      <c r="F2024" t="s">
        <v>11</v>
      </c>
      <c r="G2024" t="s">
        <v>51</v>
      </c>
      <c r="H2024" t="s">
        <v>397</v>
      </c>
      <c r="I2024" s="3" t="s">
        <v>106</v>
      </c>
      <c r="J2024" t="s">
        <v>54</v>
      </c>
      <c r="K2024" s="15">
        <v>1100000</v>
      </c>
      <c r="L2024" s="5" t="str">
        <f t="shared" si="31"/>
        <v>5  - 8</v>
      </c>
    </row>
    <row r="2025" spans="3:12" hidden="1">
      <c r="C2025" t="s">
        <v>31</v>
      </c>
      <c r="D2025" t="s">
        <v>55</v>
      </c>
      <c r="E2025">
        <v>6</v>
      </c>
      <c r="F2025" t="s">
        <v>11</v>
      </c>
      <c r="G2025" t="s">
        <v>59</v>
      </c>
      <c r="H2025" t="s">
        <v>397</v>
      </c>
      <c r="I2025" s="3" t="s">
        <v>72</v>
      </c>
      <c r="J2025" t="s">
        <v>66</v>
      </c>
      <c r="K2025" s="15">
        <v>850000</v>
      </c>
      <c r="L2025" s="5" t="str">
        <f t="shared" si="31"/>
        <v>5  - 8</v>
      </c>
    </row>
    <row r="2026" spans="3:12" hidden="1">
      <c r="C2026" t="s">
        <v>31</v>
      </c>
      <c r="D2026" t="s">
        <v>73</v>
      </c>
      <c r="E2026">
        <v>6</v>
      </c>
      <c r="F2026" t="s">
        <v>11</v>
      </c>
      <c r="G2026" t="s">
        <v>59</v>
      </c>
      <c r="H2026" t="s">
        <v>397</v>
      </c>
      <c r="I2026" s="3" t="s">
        <v>79</v>
      </c>
      <c r="J2026" t="s">
        <v>54</v>
      </c>
      <c r="K2026" s="15">
        <v>900000</v>
      </c>
      <c r="L2026" s="5" t="str">
        <f t="shared" si="31"/>
        <v>5  - 8</v>
      </c>
    </row>
    <row r="2027" spans="3:12" hidden="1">
      <c r="C2027" t="s">
        <v>31</v>
      </c>
      <c r="D2027" t="s">
        <v>73</v>
      </c>
      <c r="E2027">
        <v>6</v>
      </c>
      <c r="F2027" t="s">
        <v>11</v>
      </c>
      <c r="G2027" t="s">
        <v>59</v>
      </c>
      <c r="H2027" t="s">
        <v>397</v>
      </c>
      <c r="I2027" s="3" t="s">
        <v>193</v>
      </c>
      <c r="J2027" t="s">
        <v>66</v>
      </c>
      <c r="K2027" s="15">
        <v>990000</v>
      </c>
      <c r="L2027" s="5" t="str">
        <f t="shared" si="31"/>
        <v>5  - 8</v>
      </c>
    </row>
    <row r="2028" spans="3:12" hidden="1">
      <c r="C2028" t="s">
        <v>31</v>
      </c>
      <c r="D2028" t="s">
        <v>77</v>
      </c>
      <c r="E2028">
        <v>6</v>
      </c>
      <c r="F2028" t="s">
        <v>11</v>
      </c>
      <c r="G2028" t="s">
        <v>59</v>
      </c>
      <c r="H2028" t="s">
        <v>397</v>
      </c>
      <c r="I2028" s="3" t="s">
        <v>110</v>
      </c>
      <c r="J2028" t="s">
        <v>66</v>
      </c>
      <c r="K2028" s="15">
        <v>1000000</v>
      </c>
      <c r="L2028" s="5" t="str">
        <f t="shared" si="31"/>
        <v>5  - 8</v>
      </c>
    </row>
    <row r="2029" spans="3:12" hidden="1">
      <c r="C2029" t="s">
        <v>31</v>
      </c>
      <c r="D2029" t="s">
        <v>55</v>
      </c>
      <c r="E2029">
        <v>6</v>
      </c>
      <c r="F2029" t="s">
        <v>11</v>
      </c>
      <c r="G2029" t="s">
        <v>59</v>
      </c>
      <c r="H2029" t="s">
        <v>397</v>
      </c>
      <c r="I2029" s="3" t="s">
        <v>110</v>
      </c>
      <c r="J2029" t="s">
        <v>66</v>
      </c>
      <c r="K2029" s="15">
        <v>1000000</v>
      </c>
      <c r="L2029" s="5" t="str">
        <f t="shared" si="31"/>
        <v>5  - 8</v>
      </c>
    </row>
    <row r="2030" spans="3:12" hidden="1">
      <c r="C2030" t="s">
        <v>31</v>
      </c>
      <c r="D2030" t="s">
        <v>55</v>
      </c>
      <c r="E2030">
        <v>6</v>
      </c>
      <c r="F2030" t="s">
        <v>11</v>
      </c>
      <c r="G2030" t="s">
        <v>59</v>
      </c>
      <c r="H2030" t="s">
        <v>397</v>
      </c>
      <c r="I2030" s="3" t="s">
        <v>110</v>
      </c>
      <c r="J2030" t="s">
        <v>54</v>
      </c>
      <c r="K2030" s="15">
        <v>1000000</v>
      </c>
      <c r="L2030" s="5" t="str">
        <f t="shared" si="31"/>
        <v>5  - 8</v>
      </c>
    </row>
    <row r="2031" spans="3:12" hidden="1">
      <c r="C2031" t="s">
        <v>31</v>
      </c>
      <c r="D2031" t="s">
        <v>55</v>
      </c>
      <c r="E2031">
        <v>6</v>
      </c>
      <c r="F2031" t="s">
        <v>11</v>
      </c>
      <c r="G2031" t="s">
        <v>59</v>
      </c>
      <c r="H2031" t="s">
        <v>397</v>
      </c>
      <c r="I2031" s="3" t="s">
        <v>243</v>
      </c>
      <c r="J2031" t="s">
        <v>54</v>
      </c>
      <c r="K2031" s="15">
        <v>1155000</v>
      </c>
      <c r="L2031" s="5" t="str">
        <f t="shared" si="31"/>
        <v>5  - 8</v>
      </c>
    </row>
    <row r="2032" spans="3:12" hidden="1">
      <c r="C2032" t="s">
        <v>32</v>
      </c>
      <c r="D2032" t="s">
        <v>55</v>
      </c>
      <c r="E2032">
        <v>5</v>
      </c>
      <c r="F2032" t="s">
        <v>11</v>
      </c>
      <c r="G2032" t="s">
        <v>51</v>
      </c>
      <c r="H2032" t="s">
        <v>397</v>
      </c>
      <c r="I2032" s="3" t="s">
        <v>167</v>
      </c>
      <c r="J2032" t="s">
        <v>54</v>
      </c>
      <c r="K2032" s="15">
        <v>860000</v>
      </c>
      <c r="L2032" s="5" t="str">
        <f t="shared" si="31"/>
        <v>5  - 8</v>
      </c>
    </row>
    <row r="2033" spans="3:12" hidden="1">
      <c r="C2033" t="s">
        <v>31</v>
      </c>
      <c r="D2033" t="s">
        <v>73</v>
      </c>
      <c r="E2033">
        <v>5</v>
      </c>
      <c r="F2033" t="s">
        <v>11</v>
      </c>
      <c r="G2033" t="s">
        <v>59</v>
      </c>
      <c r="H2033" t="s">
        <v>397</v>
      </c>
      <c r="I2033" s="3" t="s">
        <v>223</v>
      </c>
      <c r="J2033" t="s">
        <v>66</v>
      </c>
      <c r="K2033" s="15">
        <v>790000</v>
      </c>
      <c r="L2033" s="5" t="str">
        <f t="shared" si="31"/>
        <v>5  - 8</v>
      </c>
    </row>
    <row r="2034" spans="3:12" hidden="1">
      <c r="C2034" t="s">
        <v>31</v>
      </c>
      <c r="D2034" t="s">
        <v>49</v>
      </c>
      <c r="E2034">
        <v>5</v>
      </c>
      <c r="F2034" t="s">
        <v>11</v>
      </c>
      <c r="G2034" t="s">
        <v>51</v>
      </c>
      <c r="H2034" t="s">
        <v>397</v>
      </c>
      <c r="I2034" s="3" t="s">
        <v>116</v>
      </c>
      <c r="J2034" t="s">
        <v>54</v>
      </c>
      <c r="K2034" s="15">
        <v>800000</v>
      </c>
      <c r="L2034" s="5" t="str">
        <f t="shared" si="31"/>
        <v>5  - 8</v>
      </c>
    </row>
    <row r="2035" spans="3:12" hidden="1">
      <c r="C2035" t="s">
        <v>31</v>
      </c>
      <c r="D2035" t="s">
        <v>55</v>
      </c>
      <c r="E2035">
        <v>5</v>
      </c>
      <c r="F2035" t="s">
        <v>11</v>
      </c>
      <c r="G2035" t="s">
        <v>51</v>
      </c>
      <c r="H2035" t="s">
        <v>397</v>
      </c>
      <c r="I2035" s="3" t="s">
        <v>116</v>
      </c>
      <c r="J2035" t="s">
        <v>54</v>
      </c>
      <c r="K2035" s="15">
        <v>800000</v>
      </c>
      <c r="L2035" s="5" t="str">
        <f t="shared" si="31"/>
        <v>5  - 8</v>
      </c>
    </row>
    <row r="2036" spans="3:12" hidden="1">
      <c r="C2036" t="s">
        <v>31</v>
      </c>
      <c r="D2036" t="s">
        <v>73</v>
      </c>
      <c r="E2036">
        <v>5</v>
      </c>
      <c r="F2036" t="s">
        <v>11</v>
      </c>
      <c r="G2036" t="s">
        <v>59</v>
      </c>
      <c r="H2036" t="s">
        <v>397</v>
      </c>
      <c r="I2036" s="3" t="s">
        <v>79</v>
      </c>
      <c r="J2036" t="s">
        <v>66</v>
      </c>
      <c r="K2036" s="15">
        <v>900000</v>
      </c>
      <c r="L2036" s="5" t="str">
        <f t="shared" si="31"/>
        <v>5  - 8</v>
      </c>
    </row>
    <row r="2037" spans="3:12" hidden="1">
      <c r="C2037" t="s">
        <v>31</v>
      </c>
      <c r="D2037" t="s">
        <v>77</v>
      </c>
      <c r="E2037">
        <v>4</v>
      </c>
      <c r="F2037" t="s">
        <v>11</v>
      </c>
      <c r="G2037" t="s">
        <v>51</v>
      </c>
      <c r="H2037" t="s">
        <v>397</v>
      </c>
      <c r="I2037" s="3" t="s">
        <v>139</v>
      </c>
      <c r="J2037" t="s">
        <v>54</v>
      </c>
      <c r="K2037" s="15">
        <v>600000</v>
      </c>
      <c r="L2037" s="5" t="str">
        <f t="shared" si="31"/>
        <v>0 - 4</v>
      </c>
    </row>
    <row r="2038" spans="3:12" hidden="1">
      <c r="C2038" t="s">
        <v>31</v>
      </c>
      <c r="D2038" t="s">
        <v>73</v>
      </c>
      <c r="E2038">
        <v>4</v>
      </c>
      <c r="F2038" t="s">
        <v>11</v>
      </c>
      <c r="G2038" t="s">
        <v>51</v>
      </c>
      <c r="H2038" t="s">
        <v>397</v>
      </c>
      <c r="I2038" s="3" t="s">
        <v>114</v>
      </c>
      <c r="J2038" t="s">
        <v>54</v>
      </c>
      <c r="K2038" s="15">
        <v>685000</v>
      </c>
      <c r="L2038" s="5" t="str">
        <f t="shared" si="31"/>
        <v>0 - 4</v>
      </c>
    </row>
    <row r="2039" spans="3:12" hidden="1">
      <c r="C2039" t="s">
        <v>31</v>
      </c>
      <c r="D2039" t="s">
        <v>56</v>
      </c>
      <c r="E2039">
        <v>4</v>
      </c>
      <c r="F2039" t="s">
        <v>11</v>
      </c>
      <c r="G2039" t="s">
        <v>59</v>
      </c>
      <c r="H2039" t="s">
        <v>397</v>
      </c>
      <c r="I2039" s="3" t="s">
        <v>69</v>
      </c>
      <c r="J2039" t="s">
        <v>66</v>
      </c>
      <c r="K2039" s="15">
        <v>750000</v>
      </c>
      <c r="L2039" s="5" t="str">
        <f t="shared" si="31"/>
        <v>0 - 4</v>
      </c>
    </row>
    <row r="2040" spans="3:12" hidden="1">
      <c r="C2040" t="s">
        <v>31</v>
      </c>
      <c r="D2040" t="s">
        <v>91</v>
      </c>
      <c r="E2040">
        <v>4</v>
      </c>
      <c r="F2040" t="s">
        <v>11</v>
      </c>
      <c r="G2040" t="s">
        <v>51</v>
      </c>
      <c r="H2040" t="s">
        <v>397</v>
      </c>
      <c r="I2040" s="3" t="s">
        <v>116</v>
      </c>
      <c r="J2040" t="s">
        <v>54</v>
      </c>
      <c r="K2040" s="15">
        <v>800000</v>
      </c>
      <c r="L2040" s="5" t="str">
        <f t="shared" si="31"/>
        <v>0 - 4</v>
      </c>
    </row>
    <row r="2041" spans="3:12" hidden="1">
      <c r="C2041" t="s">
        <v>31</v>
      </c>
      <c r="D2041" t="s">
        <v>77</v>
      </c>
      <c r="E2041">
        <v>4</v>
      </c>
      <c r="F2041" t="s">
        <v>11</v>
      </c>
      <c r="G2041" t="s">
        <v>127</v>
      </c>
      <c r="H2041" t="s">
        <v>397</v>
      </c>
      <c r="I2041" s="3" t="s">
        <v>111</v>
      </c>
      <c r="J2041" t="s">
        <v>54</v>
      </c>
      <c r="K2041" s="15">
        <v>870000</v>
      </c>
      <c r="L2041" s="5" t="str">
        <f t="shared" si="31"/>
        <v>0 - 4</v>
      </c>
    </row>
    <row r="2042" spans="3:12" hidden="1">
      <c r="C2042" t="s">
        <v>31</v>
      </c>
      <c r="D2042" t="s">
        <v>73</v>
      </c>
      <c r="E2042">
        <v>4</v>
      </c>
      <c r="F2042" t="s">
        <v>11</v>
      </c>
      <c r="G2042" t="s">
        <v>59</v>
      </c>
      <c r="H2042" t="s">
        <v>397</v>
      </c>
      <c r="I2042" s="3" t="s">
        <v>79</v>
      </c>
      <c r="J2042" t="s">
        <v>54</v>
      </c>
      <c r="K2042" s="15">
        <v>900000</v>
      </c>
      <c r="L2042" s="5" t="str">
        <f t="shared" si="31"/>
        <v>0 - 4</v>
      </c>
    </row>
    <row r="2043" spans="3:12" hidden="1">
      <c r="C2043" t="s">
        <v>31</v>
      </c>
      <c r="D2043" t="s">
        <v>67</v>
      </c>
      <c r="E2043">
        <v>4</v>
      </c>
      <c r="F2043" t="s">
        <v>11</v>
      </c>
      <c r="G2043" t="s">
        <v>59</v>
      </c>
      <c r="H2043" t="s">
        <v>397</v>
      </c>
      <c r="I2043" s="3" t="s">
        <v>98</v>
      </c>
      <c r="J2043" t="s">
        <v>66</v>
      </c>
      <c r="K2043" s="15">
        <v>920000</v>
      </c>
      <c r="L2043" s="5" t="str">
        <f t="shared" si="31"/>
        <v>0 - 4</v>
      </c>
    </row>
    <row r="2044" spans="3:12" hidden="1">
      <c r="C2044" t="s">
        <v>31</v>
      </c>
      <c r="D2044" t="s">
        <v>55</v>
      </c>
      <c r="E2044">
        <v>4</v>
      </c>
      <c r="F2044" t="s">
        <v>11</v>
      </c>
      <c r="G2044" t="s">
        <v>59</v>
      </c>
      <c r="H2044" t="s">
        <v>397</v>
      </c>
      <c r="I2044" s="3" t="s">
        <v>122</v>
      </c>
      <c r="J2044" t="s">
        <v>66</v>
      </c>
      <c r="K2044" s="15">
        <v>930000</v>
      </c>
      <c r="L2044" s="5" t="str">
        <f t="shared" si="31"/>
        <v>0 - 4</v>
      </c>
    </row>
    <row r="2045" spans="3:12" hidden="1">
      <c r="C2045" t="s">
        <v>30</v>
      </c>
      <c r="D2045" t="s">
        <v>73</v>
      </c>
      <c r="E2045">
        <v>3</v>
      </c>
      <c r="F2045" t="s">
        <v>11</v>
      </c>
      <c r="G2045" t="s">
        <v>51</v>
      </c>
      <c r="H2045" t="s">
        <v>397</v>
      </c>
      <c r="I2045" s="3" t="s">
        <v>272</v>
      </c>
      <c r="J2045" t="s">
        <v>54</v>
      </c>
      <c r="K2045" s="15">
        <v>705000</v>
      </c>
      <c r="L2045" s="5" t="str">
        <f t="shared" si="31"/>
        <v>0 - 4</v>
      </c>
    </row>
    <row r="2046" spans="3:12" hidden="1">
      <c r="C2046" t="s">
        <v>31</v>
      </c>
      <c r="D2046" t="s">
        <v>73</v>
      </c>
      <c r="E2046">
        <v>3</v>
      </c>
      <c r="F2046" t="s">
        <v>11</v>
      </c>
      <c r="G2046" t="s">
        <v>51</v>
      </c>
      <c r="H2046" t="s">
        <v>397</v>
      </c>
      <c r="I2046" s="3" t="s">
        <v>448</v>
      </c>
      <c r="J2046" t="s">
        <v>54</v>
      </c>
      <c r="K2046" s="15">
        <v>684000</v>
      </c>
      <c r="L2046" s="5" t="str">
        <f t="shared" si="31"/>
        <v>0 - 4</v>
      </c>
    </row>
    <row r="2047" spans="3:12" hidden="1">
      <c r="C2047" t="s">
        <v>31</v>
      </c>
      <c r="D2047" t="s">
        <v>56</v>
      </c>
      <c r="E2047">
        <v>3</v>
      </c>
      <c r="F2047" t="s">
        <v>11</v>
      </c>
      <c r="G2047" t="s">
        <v>51</v>
      </c>
      <c r="H2047" t="s">
        <v>397</v>
      </c>
      <c r="I2047" s="3" t="s">
        <v>156</v>
      </c>
      <c r="J2047" t="s">
        <v>54</v>
      </c>
      <c r="K2047" s="15">
        <v>770000</v>
      </c>
      <c r="L2047" s="5" t="str">
        <f t="shared" si="31"/>
        <v>0 - 4</v>
      </c>
    </row>
    <row r="2048" spans="3:12" hidden="1">
      <c r="C2048" t="s">
        <v>31</v>
      </c>
      <c r="D2048" t="s">
        <v>73</v>
      </c>
      <c r="E2048">
        <v>3</v>
      </c>
      <c r="F2048" t="s">
        <v>11</v>
      </c>
      <c r="G2048" t="s">
        <v>59</v>
      </c>
      <c r="H2048" t="s">
        <v>397</v>
      </c>
      <c r="I2048" s="3" t="s">
        <v>156</v>
      </c>
      <c r="J2048" t="s">
        <v>66</v>
      </c>
      <c r="K2048" s="15">
        <v>770000</v>
      </c>
      <c r="L2048" s="5" t="str">
        <f t="shared" si="31"/>
        <v>0 - 4</v>
      </c>
    </row>
    <row r="2049" spans="3:12" hidden="1">
      <c r="C2049" t="s">
        <v>31</v>
      </c>
      <c r="D2049" t="s">
        <v>73</v>
      </c>
      <c r="E2049">
        <v>3</v>
      </c>
      <c r="F2049" t="s">
        <v>11</v>
      </c>
      <c r="G2049" t="s">
        <v>51</v>
      </c>
      <c r="H2049" t="s">
        <v>397</v>
      </c>
      <c r="I2049" s="3" t="s">
        <v>96</v>
      </c>
      <c r="J2049" t="s">
        <v>66</v>
      </c>
      <c r="K2049" s="15">
        <v>780000</v>
      </c>
      <c r="L2049" s="5" t="str">
        <f t="shared" si="31"/>
        <v>0 - 4</v>
      </c>
    </row>
    <row r="2050" spans="3:12" hidden="1">
      <c r="C2050" t="s">
        <v>31</v>
      </c>
      <c r="D2050" t="s">
        <v>73</v>
      </c>
      <c r="E2050">
        <v>2</v>
      </c>
      <c r="F2050" t="s">
        <v>11</v>
      </c>
      <c r="G2050" t="s">
        <v>51</v>
      </c>
      <c r="H2050" t="s">
        <v>397</v>
      </c>
      <c r="I2050" s="3" t="s">
        <v>90</v>
      </c>
      <c r="J2050" t="s">
        <v>54</v>
      </c>
      <c r="K2050" s="15">
        <v>660000</v>
      </c>
      <c r="L2050" s="5" t="str">
        <f t="shared" si="31"/>
        <v>0 - 4</v>
      </c>
    </row>
    <row r="2051" spans="3:12" hidden="1">
      <c r="C2051" t="s">
        <v>31</v>
      </c>
      <c r="D2051" t="s">
        <v>73</v>
      </c>
      <c r="E2051">
        <v>2</v>
      </c>
      <c r="F2051" t="s">
        <v>11</v>
      </c>
      <c r="G2051" t="s">
        <v>51</v>
      </c>
      <c r="H2051" t="s">
        <v>397</v>
      </c>
      <c r="I2051" s="3" t="s">
        <v>422</v>
      </c>
      <c r="J2051" t="s">
        <v>54</v>
      </c>
      <c r="K2051" s="15">
        <v>678000</v>
      </c>
      <c r="L2051" s="5" t="str">
        <f t="shared" ref="L2051:L2114" si="32">_xlfn.XLOOKUP(E2051,$P$2:$P$5,$O$2:$O$5,,1)</f>
        <v>0 - 4</v>
      </c>
    </row>
    <row r="2052" spans="3:12" hidden="1">
      <c r="C2052" t="s">
        <v>31</v>
      </c>
      <c r="D2052" t="s">
        <v>73</v>
      </c>
      <c r="E2052">
        <v>2</v>
      </c>
      <c r="F2052" t="s">
        <v>11</v>
      </c>
      <c r="G2052" t="s">
        <v>51</v>
      </c>
      <c r="H2052" t="s">
        <v>397</v>
      </c>
      <c r="I2052" s="3" t="s">
        <v>165</v>
      </c>
      <c r="J2052" t="s">
        <v>54</v>
      </c>
      <c r="K2052" s="15">
        <v>720000</v>
      </c>
      <c r="L2052" s="5" t="str">
        <f t="shared" si="32"/>
        <v>0 - 4</v>
      </c>
    </row>
    <row r="2053" spans="3:12" hidden="1">
      <c r="C2053" t="s">
        <v>31</v>
      </c>
      <c r="D2053" t="s">
        <v>73</v>
      </c>
      <c r="E2053">
        <v>2</v>
      </c>
      <c r="F2053" t="s">
        <v>11</v>
      </c>
      <c r="G2053" t="s">
        <v>59</v>
      </c>
      <c r="H2053" t="s">
        <v>397</v>
      </c>
      <c r="I2053" s="3" t="s">
        <v>69</v>
      </c>
      <c r="J2053" t="s">
        <v>54</v>
      </c>
      <c r="K2053" s="15">
        <v>750000</v>
      </c>
      <c r="L2053" s="5" t="str">
        <f t="shared" si="32"/>
        <v>0 - 4</v>
      </c>
    </row>
    <row r="2054" spans="3:12" hidden="1">
      <c r="C2054" t="s">
        <v>31</v>
      </c>
      <c r="D2054" t="s">
        <v>55</v>
      </c>
      <c r="E2054">
        <v>2</v>
      </c>
      <c r="F2054" t="s">
        <v>11</v>
      </c>
      <c r="G2054" t="s">
        <v>51</v>
      </c>
      <c r="H2054" t="s">
        <v>397</v>
      </c>
      <c r="I2054" s="3" t="s">
        <v>172</v>
      </c>
      <c r="J2054" t="s">
        <v>54</v>
      </c>
      <c r="K2054" s="15">
        <v>775000</v>
      </c>
      <c r="L2054" s="5" t="str">
        <f t="shared" si="32"/>
        <v>0 - 4</v>
      </c>
    </row>
    <row r="2055" spans="3:12" hidden="1">
      <c r="C2055" t="s">
        <v>31</v>
      </c>
      <c r="D2055" t="s">
        <v>55</v>
      </c>
      <c r="E2055">
        <v>2</v>
      </c>
      <c r="F2055" t="s">
        <v>11</v>
      </c>
      <c r="G2055" t="s">
        <v>59</v>
      </c>
      <c r="H2055" t="s">
        <v>397</v>
      </c>
      <c r="I2055" s="3" t="s">
        <v>223</v>
      </c>
      <c r="J2055" t="s">
        <v>66</v>
      </c>
      <c r="K2055" s="15">
        <v>790000</v>
      </c>
      <c r="L2055" s="5" t="str">
        <f t="shared" si="32"/>
        <v>0 - 4</v>
      </c>
    </row>
    <row r="2056" spans="3:12" hidden="1">
      <c r="C2056" t="s">
        <v>31</v>
      </c>
      <c r="D2056" t="s">
        <v>55</v>
      </c>
      <c r="E2056">
        <v>2</v>
      </c>
      <c r="F2056" t="s">
        <v>11</v>
      </c>
      <c r="G2056" t="s">
        <v>59</v>
      </c>
      <c r="H2056" t="s">
        <v>397</v>
      </c>
      <c r="I2056" s="3" t="s">
        <v>116</v>
      </c>
      <c r="J2056" t="s">
        <v>66</v>
      </c>
      <c r="K2056" s="15">
        <v>800000</v>
      </c>
      <c r="L2056" s="5" t="str">
        <f t="shared" si="32"/>
        <v>0 - 4</v>
      </c>
    </row>
    <row r="2057" spans="3:12" hidden="1">
      <c r="C2057" t="s">
        <v>31</v>
      </c>
      <c r="D2057" t="s">
        <v>67</v>
      </c>
      <c r="E2057">
        <v>2</v>
      </c>
      <c r="F2057" t="s">
        <v>11</v>
      </c>
      <c r="G2057" t="s">
        <v>59</v>
      </c>
      <c r="H2057" t="s">
        <v>397</v>
      </c>
      <c r="I2057" s="3" t="s">
        <v>153</v>
      </c>
      <c r="J2057" t="s">
        <v>54</v>
      </c>
      <c r="K2057" s="15">
        <v>835000</v>
      </c>
      <c r="L2057" s="5" t="str">
        <f t="shared" si="32"/>
        <v>0 - 4</v>
      </c>
    </row>
    <row r="2058" spans="3:12" hidden="1">
      <c r="C2058" t="s">
        <v>31</v>
      </c>
      <c r="D2058" t="s">
        <v>55</v>
      </c>
      <c r="E2058">
        <v>1</v>
      </c>
      <c r="F2058" t="s">
        <v>11</v>
      </c>
      <c r="G2058" t="s">
        <v>59</v>
      </c>
      <c r="H2058" t="s">
        <v>397</v>
      </c>
      <c r="I2058" s="3" t="s">
        <v>265</v>
      </c>
      <c r="J2058" t="s">
        <v>54</v>
      </c>
      <c r="K2058" s="15">
        <v>635000</v>
      </c>
      <c r="L2058" s="5" t="str">
        <f t="shared" si="32"/>
        <v>0 - 4</v>
      </c>
    </row>
    <row r="2059" spans="3:12" hidden="1">
      <c r="C2059" t="s">
        <v>31</v>
      </c>
      <c r="D2059" t="s">
        <v>73</v>
      </c>
      <c r="E2059">
        <v>1</v>
      </c>
      <c r="F2059" t="s">
        <v>11</v>
      </c>
      <c r="G2059" t="s">
        <v>57</v>
      </c>
      <c r="H2059" t="s">
        <v>397</v>
      </c>
      <c r="I2059" s="3" t="s">
        <v>445</v>
      </c>
      <c r="J2059" t="s">
        <v>54</v>
      </c>
      <c r="K2059" s="15">
        <v>657000</v>
      </c>
      <c r="L2059" s="5" t="str">
        <f t="shared" si="32"/>
        <v>0 - 4</v>
      </c>
    </row>
    <row r="2060" spans="3:12" hidden="1">
      <c r="C2060" t="s">
        <v>31</v>
      </c>
      <c r="D2060" t="s">
        <v>73</v>
      </c>
      <c r="E2060">
        <v>0</v>
      </c>
      <c r="F2060" t="s">
        <v>11</v>
      </c>
      <c r="G2060" t="s">
        <v>59</v>
      </c>
      <c r="H2060" t="s">
        <v>397</v>
      </c>
      <c r="I2060" s="3" t="s">
        <v>206</v>
      </c>
      <c r="J2060" t="s">
        <v>54</v>
      </c>
      <c r="K2060" s="15">
        <v>540000</v>
      </c>
      <c r="L2060" s="5" t="str">
        <f t="shared" si="32"/>
        <v>0 - 4</v>
      </c>
    </row>
    <row r="2061" spans="3:12" hidden="1">
      <c r="C2061" t="s">
        <v>31</v>
      </c>
      <c r="D2061" t="s">
        <v>55</v>
      </c>
      <c r="E2061">
        <v>0</v>
      </c>
      <c r="F2061" t="s">
        <v>11</v>
      </c>
      <c r="G2061" t="s">
        <v>59</v>
      </c>
      <c r="H2061" t="s">
        <v>397</v>
      </c>
      <c r="I2061" s="3" t="s">
        <v>139</v>
      </c>
      <c r="J2061" t="s">
        <v>54</v>
      </c>
      <c r="K2061" s="15">
        <v>600000</v>
      </c>
      <c r="L2061" s="5" t="str">
        <f t="shared" si="32"/>
        <v>0 - 4</v>
      </c>
    </row>
    <row r="2062" spans="3:12" hidden="1">
      <c r="C2062" t="s">
        <v>31</v>
      </c>
      <c r="D2062" t="s">
        <v>73</v>
      </c>
      <c r="E2062">
        <v>26</v>
      </c>
      <c r="F2062" t="s">
        <v>12</v>
      </c>
      <c r="G2062" t="s">
        <v>59</v>
      </c>
      <c r="H2062" t="s">
        <v>397</v>
      </c>
      <c r="I2062" s="3" t="s">
        <v>130</v>
      </c>
      <c r="J2062" t="s">
        <v>66</v>
      </c>
      <c r="K2062" s="15">
        <v>950000</v>
      </c>
      <c r="L2062" s="5" t="str">
        <f t="shared" si="32"/>
        <v>15 +</v>
      </c>
    </row>
    <row r="2063" spans="3:12" hidden="1">
      <c r="C2063" t="s">
        <v>31</v>
      </c>
      <c r="D2063" t="s">
        <v>56</v>
      </c>
      <c r="E2063">
        <v>26</v>
      </c>
      <c r="F2063" t="s">
        <v>12</v>
      </c>
      <c r="G2063" t="s">
        <v>51</v>
      </c>
      <c r="H2063" t="s">
        <v>397</v>
      </c>
      <c r="I2063" s="3" t="s">
        <v>110</v>
      </c>
      <c r="J2063" t="s">
        <v>66</v>
      </c>
      <c r="K2063" s="15">
        <v>1000000</v>
      </c>
      <c r="L2063" s="5" t="str">
        <f t="shared" si="32"/>
        <v>15 +</v>
      </c>
    </row>
    <row r="2064" spans="3:12" hidden="1">
      <c r="C2064" t="s">
        <v>31</v>
      </c>
      <c r="D2064" t="s">
        <v>55</v>
      </c>
      <c r="E2064">
        <v>17</v>
      </c>
      <c r="F2064" t="s">
        <v>12</v>
      </c>
      <c r="G2064" t="s">
        <v>59</v>
      </c>
      <c r="H2064" t="s">
        <v>397</v>
      </c>
      <c r="I2064" s="3" t="s">
        <v>110</v>
      </c>
      <c r="J2064" t="s">
        <v>66</v>
      </c>
      <c r="K2064" s="15">
        <v>1000000</v>
      </c>
      <c r="L2064" s="5" t="str">
        <f t="shared" si="32"/>
        <v>15 +</v>
      </c>
    </row>
    <row r="2065" spans="3:12" hidden="1">
      <c r="C2065" t="s">
        <v>31</v>
      </c>
      <c r="D2065" t="s">
        <v>73</v>
      </c>
      <c r="E2065">
        <v>9</v>
      </c>
      <c r="F2065" t="s">
        <v>12</v>
      </c>
      <c r="G2065" t="s">
        <v>51</v>
      </c>
      <c r="H2065" t="s">
        <v>397</v>
      </c>
      <c r="I2065" s="3" t="s">
        <v>72</v>
      </c>
      <c r="J2065" t="s">
        <v>66</v>
      </c>
      <c r="K2065" s="15">
        <v>850000</v>
      </c>
      <c r="L2065" s="5" t="str">
        <f t="shared" si="32"/>
        <v>9 - 14</v>
      </c>
    </row>
    <row r="2066" spans="3:12" hidden="1">
      <c r="C2066" t="s">
        <v>31</v>
      </c>
      <c r="D2066" t="s">
        <v>55</v>
      </c>
      <c r="E2066">
        <v>8</v>
      </c>
      <c r="F2066" t="s">
        <v>12</v>
      </c>
      <c r="G2066" t="s">
        <v>51</v>
      </c>
      <c r="H2066" t="s">
        <v>397</v>
      </c>
      <c r="I2066" s="3" t="s">
        <v>303</v>
      </c>
      <c r="J2066" t="s">
        <v>54</v>
      </c>
      <c r="K2066" s="15">
        <v>958000</v>
      </c>
      <c r="L2066" s="5" t="str">
        <f t="shared" si="32"/>
        <v>5  - 8</v>
      </c>
    </row>
    <row r="2067" spans="3:12" hidden="1">
      <c r="C2067" t="s">
        <v>31</v>
      </c>
      <c r="D2067" t="s">
        <v>91</v>
      </c>
      <c r="E2067">
        <v>6</v>
      </c>
      <c r="F2067" t="s">
        <v>12</v>
      </c>
      <c r="G2067" t="s">
        <v>57</v>
      </c>
      <c r="H2067" t="s">
        <v>397</v>
      </c>
      <c r="I2067" s="3" t="s">
        <v>83</v>
      </c>
      <c r="J2067" t="s">
        <v>54</v>
      </c>
      <c r="K2067" s="15">
        <v>810000</v>
      </c>
      <c r="L2067" s="5" t="str">
        <f t="shared" si="32"/>
        <v>5  - 8</v>
      </c>
    </row>
    <row r="2068" spans="3:12" hidden="1">
      <c r="C2068" t="s">
        <v>31</v>
      </c>
      <c r="D2068" t="s">
        <v>77</v>
      </c>
      <c r="E2068">
        <v>5</v>
      </c>
      <c r="F2068" t="s">
        <v>12</v>
      </c>
      <c r="G2068" t="s">
        <v>51</v>
      </c>
      <c r="H2068" t="s">
        <v>397</v>
      </c>
      <c r="I2068" s="3" t="s">
        <v>74</v>
      </c>
      <c r="J2068" t="s">
        <v>54</v>
      </c>
      <c r="K2068" s="15">
        <v>730000</v>
      </c>
      <c r="L2068" s="5" t="str">
        <f t="shared" si="32"/>
        <v>5  - 8</v>
      </c>
    </row>
    <row r="2069" spans="3:12" hidden="1">
      <c r="C2069" t="s">
        <v>31</v>
      </c>
      <c r="D2069" t="s">
        <v>55</v>
      </c>
      <c r="E2069">
        <v>5</v>
      </c>
      <c r="F2069" t="s">
        <v>12</v>
      </c>
      <c r="G2069" t="s">
        <v>51</v>
      </c>
      <c r="H2069" t="s">
        <v>397</v>
      </c>
      <c r="I2069" s="3" t="s">
        <v>96</v>
      </c>
      <c r="J2069" t="s">
        <v>54</v>
      </c>
      <c r="K2069" s="15">
        <v>780000</v>
      </c>
      <c r="L2069" s="5" t="str">
        <f t="shared" si="32"/>
        <v>5  - 8</v>
      </c>
    </row>
    <row r="2070" spans="3:12" hidden="1">
      <c r="C2070" t="s">
        <v>31</v>
      </c>
      <c r="D2070" t="s">
        <v>102</v>
      </c>
      <c r="E2070">
        <v>4</v>
      </c>
      <c r="F2070" t="s">
        <v>12</v>
      </c>
      <c r="G2070" t="s">
        <v>57</v>
      </c>
      <c r="H2070" t="s">
        <v>397</v>
      </c>
      <c r="I2070" s="3" t="s">
        <v>222</v>
      </c>
      <c r="J2070" t="s">
        <v>54</v>
      </c>
      <c r="K2070" s="15">
        <v>670000</v>
      </c>
      <c r="L2070" s="5" t="str">
        <f t="shared" si="32"/>
        <v>0 - 4</v>
      </c>
    </row>
    <row r="2071" spans="3:12" hidden="1">
      <c r="C2071" t="s">
        <v>31</v>
      </c>
      <c r="D2071" t="s">
        <v>73</v>
      </c>
      <c r="E2071">
        <v>2</v>
      </c>
      <c r="F2071" t="s">
        <v>12</v>
      </c>
      <c r="G2071" t="s">
        <v>57</v>
      </c>
      <c r="H2071" t="s">
        <v>397</v>
      </c>
      <c r="I2071" s="3" t="s">
        <v>206</v>
      </c>
      <c r="J2071" t="s">
        <v>54</v>
      </c>
      <c r="K2071" s="15">
        <v>540000</v>
      </c>
      <c r="L2071" s="5" t="str">
        <f t="shared" si="32"/>
        <v>0 - 4</v>
      </c>
    </row>
    <row r="2072" spans="3:12" hidden="1">
      <c r="C2072" t="s">
        <v>31</v>
      </c>
      <c r="D2072" t="s">
        <v>62</v>
      </c>
      <c r="E2072">
        <v>1</v>
      </c>
      <c r="F2072" t="s">
        <v>12</v>
      </c>
      <c r="G2072" t="s">
        <v>57</v>
      </c>
      <c r="H2072" t="s">
        <v>397</v>
      </c>
      <c r="I2072" s="3" t="s">
        <v>272</v>
      </c>
      <c r="J2072" t="s">
        <v>54</v>
      </c>
      <c r="K2072" s="15">
        <v>705000</v>
      </c>
      <c r="L2072" s="5" t="str">
        <f t="shared" si="32"/>
        <v>0 - 4</v>
      </c>
    </row>
    <row r="2073" spans="3:12" hidden="1">
      <c r="C2073" t="s">
        <v>31</v>
      </c>
      <c r="D2073" t="s">
        <v>73</v>
      </c>
      <c r="E2073">
        <v>0</v>
      </c>
      <c r="F2073" t="s">
        <v>12</v>
      </c>
      <c r="G2073" t="s">
        <v>51</v>
      </c>
      <c r="H2073" t="s">
        <v>397</v>
      </c>
      <c r="I2073" s="3" t="s">
        <v>85</v>
      </c>
      <c r="J2073" t="s">
        <v>66</v>
      </c>
      <c r="K2073" s="15">
        <v>650000</v>
      </c>
      <c r="L2073" s="5" t="str">
        <f t="shared" si="32"/>
        <v>0 - 4</v>
      </c>
    </row>
    <row r="2074" spans="3:12" hidden="1">
      <c r="C2074" t="s">
        <v>31</v>
      </c>
      <c r="D2074" t="s">
        <v>55</v>
      </c>
      <c r="E2074">
        <v>27</v>
      </c>
      <c r="F2074" t="s">
        <v>13</v>
      </c>
      <c r="G2074" t="s">
        <v>51</v>
      </c>
      <c r="H2074" t="s">
        <v>397</v>
      </c>
      <c r="I2074" s="3" t="s">
        <v>106</v>
      </c>
      <c r="J2074" t="s">
        <v>66</v>
      </c>
      <c r="K2074" s="15">
        <v>1100000</v>
      </c>
      <c r="L2074" s="5" t="str">
        <f t="shared" si="32"/>
        <v>15 +</v>
      </c>
    </row>
    <row r="2075" spans="3:12" hidden="1">
      <c r="C2075" t="s">
        <v>31</v>
      </c>
      <c r="D2075" t="s">
        <v>49</v>
      </c>
      <c r="E2075">
        <v>26</v>
      </c>
      <c r="F2075" t="s">
        <v>13</v>
      </c>
      <c r="G2075" t="s">
        <v>59</v>
      </c>
      <c r="H2075" t="s">
        <v>397</v>
      </c>
      <c r="I2075" s="3" t="s">
        <v>61</v>
      </c>
      <c r="J2075" t="s">
        <v>66</v>
      </c>
      <c r="K2075" s="15">
        <v>1200000</v>
      </c>
      <c r="L2075" s="5" t="str">
        <f t="shared" si="32"/>
        <v>15 +</v>
      </c>
    </row>
    <row r="2076" spans="3:12" hidden="1">
      <c r="C2076" t="s">
        <v>31</v>
      </c>
      <c r="D2076" t="s">
        <v>121</v>
      </c>
      <c r="E2076">
        <v>24</v>
      </c>
      <c r="F2076" t="s">
        <v>13</v>
      </c>
      <c r="G2076" t="s">
        <v>59</v>
      </c>
      <c r="H2076" t="s">
        <v>397</v>
      </c>
      <c r="I2076" s="3" t="s">
        <v>70</v>
      </c>
      <c r="J2076" t="s">
        <v>54</v>
      </c>
      <c r="K2076" s="15">
        <v>910000</v>
      </c>
      <c r="L2076" s="5" t="str">
        <f t="shared" si="32"/>
        <v>15 +</v>
      </c>
    </row>
    <row r="2077" spans="3:12" hidden="1">
      <c r="C2077" t="s">
        <v>31</v>
      </c>
      <c r="D2077" t="s">
        <v>121</v>
      </c>
      <c r="E2077">
        <v>20</v>
      </c>
      <c r="F2077" t="s">
        <v>13</v>
      </c>
      <c r="G2077" t="s">
        <v>59</v>
      </c>
      <c r="H2077" t="s">
        <v>397</v>
      </c>
      <c r="I2077" s="3" t="s">
        <v>116</v>
      </c>
      <c r="J2077" t="s">
        <v>54</v>
      </c>
      <c r="K2077" s="15">
        <v>800000</v>
      </c>
      <c r="L2077" s="5" t="str">
        <f t="shared" si="32"/>
        <v>15 +</v>
      </c>
    </row>
    <row r="2078" spans="3:12" hidden="1">
      <c r="C2078" t="s">
        <v>31</v>
      </c>
      <c r="D2078" t="s">
        <v>73</v>
      </c>
      <c r="E2078">
        <v>20</v>
      </c>
      <c r="F2078" t="s">
        <v>13</v>
      </c>
      <c r="G2078" t="s">
        <v>57</v>
      </c>
      <c r="H2078" t="s">
        <v>397</v>
      </c>
      <c r="I2078" s="3" t="s">
        <v>449</v>
      </c>
      <c r="J2078" t="s">
        <v>54</v>
      </c>
      <c r="K2078" s="15">
        <v>811000</v>
      </c>
      <c r="L2078" s="5" t="str">
        <f t="shared" si="32"/>
        <v>15 +</v>
      </c>
    </row>
    <row r="2079" spans="3:12" hidden="1">
      <c r="C2079" t="s">
        <v>31</v>
      </c>
      <c r="D2079" t="s">
        <v>80</v>
      </c>
      <c r="E2079">
        <v>20</v>
      </c>
      <c r="F2079" t="s">
        <v>13</v>
      </c>
      <c r="G2079" t="s">
        <v>51</v>
      </c>
      <c r="H2079" t="s">
        <v>397</v>
      </c>
      <c r="I2079" s="3" t="s">
        <v>110</v>
      </c>
      <c r="J2079" t="s">
        <v>66</v>
      </c>
      <c r="K2079" s="15">
        <v>1000000</v>
      </c>
      <c r="L2079" s="5" t="str">
        <f t="shared" si="32"/>
        <v>15 +</v>
      </c>
    </row>
    <row r="2080" spans="3:12" hidden="1">
      <c r="C2080" t="s">
        <v>31</v>
      </c>
      <c r="D2080" t="s">
        <v>50</v>
      </c>
      <c r="E2080">
        <v>16</v>
      </c>
      <c r="F2080" t="s">
        <v>13</v>
      </c>
      <c r="G2080" t="s">
        <v>51</v>
      </c>
      <c r="H2080" t="s">
        <v>397</v>
      </c>
      <c r="I2080" s="3" t="s">
        <v>316</v>
      </c>
      <c r="J2080" t="s">
        <v>54</v>
      </c>
      <c r="K2080" s="15">
        <v>895000</v>
      </c>
      <c r="L2080" s="5" t="str">
        <f t="shared" si="32"/>
        <v>15 +</v>
      </c>
    </row>
    <row r="2081" spans="3:12" hidden="1">
      <c r="C2081" t="s">
        <v>31</v>
      </c>
      <c r="D2081" t="s">
        <v>49</v>
      </c>
      <c r="E2081">
        <v>16</v>
      </c>
      <c r="F2081" t="s">
        <v>13</v>
      </c>
      <c r="G2081" t="s">
        <v>59</v>
      </c>
      <c r="H2081" t="s">
        <v>397</v>
      </c>
      <c r="I2081" s="3" t="s">
        <v>104</v>
      </c>
      <c r="J2081" t="s">
        <v>54</v>
      </c>
      <c r="K2081" s="15">
        <v>1300000</v>
      </c>
      <c r="L2081" s="5" t="str">
        <f t="shared" si="32"/>
        <v>15 +</v>
      </c>
    </row>
    <row r="2082" spans="3:12" hidden="1">
      <c r="C2082" t="s">
        <v>31</v>
      </c>
      <c r="D2082" t="s">
        <v>73</v>
      </c>
      <c r="E2082">
        <v>16</v>
      </c>
      <c r="F2082" t="s">
        <v>13</v>
      </c>
      <c r="G2082" t="s">
        <v>51</v>
      </c>
      <c r="H2082" t="s">
        <v>397</v>
      </c>
      <c r="I2082" s="3" t="s">
        <v>175</v>
      </c>
      <c r="J2082" t="s">
        <v>54</v>
      </c>
      <c r="K2082" s="15">
        <v>1400000</v>
      </c>
      <c r="L2082" s="5" t="str">
        <f t="shared" si="32"/>
        <v>15 +</v>
      </c>
    </row>
    <row r="2083" spans="3:12" hidden="1">
      <c r="C2083" t="s">
        <v>31</v>
      </c>
      <c r="D2083" t="s">
        <v>73</v>
      </c>
      <c r="E2083">
        <v>15</v>
      </c>
      <c r="F2083" t="s">
        <v>13</v>
      </c>
      <c r="G2083" t="s">
        <v>59</v>
      </c>
      <c r="H2083" t="s">
        <v>397</v>
      </c>
      <c r="I2083" s="3" t="s">
        <v>129</v>
      </c>
      <c r="J2083" t="s">
        <v>66</v>
      </c>
      <c r="K2083" s="15">
        <v>1150000</v>
      </c>
      <c r="L2083" s="5" t="str">
        <f t="shared" si="32"/>
        <v>15 +</v>
      </c>
    </row>
    <row r="2084" spans="3:12" hidden="1">
      <c r="C2084" t="s">
        <v>31</v>
      </c>
      <c r="D2084" t="s">
        <v>77</v>
      </c>
      <c r="E2084">
        <v>14</v>
      </c>
      <c r="F2084" t="s">
        <v>13</v>
      </c>
      <c r="G2084" t="s">
        <v>59</v>
      </c>
      <c r="H2084" t="s">
        <v>397</v>
      </c>
      <c r="I2084" s="3" t="s">
        <v>130</v>
      </c>
      <c r="J2084" t="s">
        <v>54</v>
      </c>
      <c r="K2084" s="15">
        <v>950000</v>
      </c>
      <c r="L2084" s="5" t="str">
        <f t="shared" si="32"/>
        <v>9 - 14</v>
      </c>
    </row>
    <row r="2085" spans="3:12" hidden="1">
      <c r="C2085" t="s">
        <v>31</v>
      </c>
      <c r="D2085" t="s">
        <v>55</v>
      </c>
      <c r="E2085">
        <v>14</v>
      </c>
      <c r="F2085" t="s">
        <v>13</v>
      </c>
      <c r="G2085" t="s">
        <v>59</v>
      </c>
      <c r="H2085" t="s">
        <v>397</v>
      </c>
      <c r="I2085" s="3" t="s">
        <v>61</v>
      </c>
      <c r="J2085" t="s">
        <v>66</v>
      </c>
      <c r="K2085" s="15">
        <v>1200000</v>
      </c>
      <c r="L2085" s="5" t="str">
        <f t="shared" si="32"/>
        <v>9 - 14</v>
      </c>
    </row>
    <row r="2086" spans="3:12" hidden="1">
      <c r="C2086" t="s">
        <v>31</v>
      </c>
      <c r="D2086" t="s">
        <v>73</v>
      </c>
      <c r="E2086">
        <v>13</v>
      </c>
      <c r="F2086" t="s">
        <v>13</v>
      </c>
      <c r="G2086" t="s">
        <v>59</v>
      </c>
      <c r="H2086" t="s">
        <v>397</v>
      </c>
      <c r="I2086" s="3" t="s">
        <v>79</v>
      </c>
      <c r="J2086" t="s">
        <v>54</v>
      </c>
      <c r="K2086" s="15">
        <v>900000</v>
      </c>
      <c r="L2086" s="5" t="str">
        <f t="shared" si="32"/>
        <v>9 - 14</v>
      </c>
    </row>
    <row r="2087" spans="3:12" hidden="1">
      <c r="C2087" t="s">
        <v>31</v>
      </c>
      <c r="D2087" t="s">
        <v>102</v>
      </c>
      <c r="E2087">
        <v>12</v>
      </c>
      <c r="F2087" t="s">
        <v>13</v>
      </c>
      <c r="G2087" t="s">
        <v>51</v>
      </c>
      <c r="H2087" t="s">
        <v>397</v>
      </c>
      <c r="I2087" s="3" t="s">
        <v>272</v>
      </c>
      <c r="J2087" t="s">
        <v>54</v>
      </c>
      <c r="K2087" s="15">
        <v>705000</v>
      </c>
      <c r="L2087" s="5" t="str">
        <f t="shared" si="32"/>
        <v>9 - 14</v>
      </c>
    </row>
    <row r="2088" spans="3:12" hidden="1">
      <c r="C2088" t="s">
        <v>31</v>
      </c>
      <c r="D2088" t="s">
        <v>91</v>
      </c>
      <c r="E2088">
        <v>12</v>
      </c>
      <c r="F2088" t="s">
        <v>13</v>
      </c>
      <c r="G2088" t="s">
        <v>59</v>
      </c>
      <c r="H2088" t="s">
        <v>397</v>
      </c>
      <c r="I2088" s="3" t="s">
        <v>450</v>
      </c>
      <c r="J2088" t="s">
        <v>54</v>
      </c>
      <c r="K2088" s="15">
        <v>892000</v>
      </c>
      <c r="L2088" s="5" t="str">
        <f t="shared" si="32"/>
        <v>9 - 14</v>
      </c>
    </row>
    <row r="2089" spans="3:12" hidden="1">
      <c r="C2089" t="s">
        <v>31</v>
      </c>
      <c r="D2089" t="s">
        <v>49</v>
      </c>
      <c r="E2089">
        <v>12</v>
      </c>
      <c r="F2089" t="s">
        <v>13</v>
      </c>
      <c r="G2089" t="s">
        <v>59</v>
      </c>
      <c r="H2089" t="s">
        <v>397</v>
      </c>
      <c r="I2089" s="3" t="s">
        <v>346</v>
      </c>
      <c r="J2089" t="s">
        <v>66</v>
      </c>
      <c r="K2089" s="15">
        <v>1075000</v>
      </c>
      <c r="L2089" s="5" t="str">
        <f t="shared" si="32"/>
        <v>9 - 14</v>
      </c>
    </row>
    <row r="2090" spans="3:12" hidden="1">
      <c r="C2090" t="s">
        <v>31</v>
      </c>
      <c r="D2090" t="s">
        <v>55</v>
      </c>
      <c r="E2090">
        <v>12</v>
      </c>
      <c r="F2090" t="s">
        <v>13</v>
      </c>
      <c r="G2090" t="s">
        <v>59</v>
      </c>
      <c r="H2090" t="s">
        <v>397</v>
      </c>
      <c r="I2090" s="3" t="s">
        <v>146</v>
      </c>
      <c r="J2090" t="s">
        <v>54</v>
      </c>
      <c r="K2090" s="15">
        <v>1090000</v>
      </c>
      <c r="L2090" s="5" t="str">
        <f t="shared" si="32"/>
        <v>9 - 14</v>
      </c>
    </row>
    <row r="2091" spans="3:12" hidden="1">
      <c r="C2091" t="s">
        <v>31</v>
      </c>
      <c r="D2091" t="s">
        <v>77</v>
      </c>
      <c r="E2091">
        <v>11</v>
      </c>
      <c r="F2091" t="s">
        <v>13</v>
      </c>
      <c r="G2091" t="s">
        <v>51</v>
      </c>
      <c r="H2091" t="s">
        <v>397</v>
      </c>
      <c r="I2091" s="3" t="s">
        <v>108</v>
      </c>
      <c r="J2091" t="s">
        <v>54</v>
      </c>
      <c r="K2091" s="15">
        <v>700000</v>
      </c>
      <c r="L2091" s="5" t="str">
        <f t="shared" si="32"/>
        <v>9 - 14</v>
      </c>
    </row>
    <row r="2092" spans="3:12" hidden="1">
      <c r="C2092" t="s">
        <v>31</v>
      </c>
      <c r="D2092" t="s">
        <v>55</v>
      </c>
      <c r="E2092">
        <v>11</v>
      </c>
      <c r="F2092" t="s">
        <v>13</v>
      </c>
      <c r="G2092" t="s">
        <v>59</v>
      </c>
      <c r="H2092" t="s">
        <v>397</v>
      </c>
      <c r="I2092" s="3" t="s">
        <v>133</v>
      </c>
      <c r="J2092" t="s">
        <v>66</v>
      </c>
      <c r="K2092" s="15">
        <v>960000</v>
      </c>
      <c r="L2092" s="5" t="str">
        <f t="shared" si="32"/>
        <v>9 - 14</v>
      </c>
    </row>
    <row r="2093" spans="3:12" hidden="1">
      <c r="C2093" t="s">
        <v>31</v>
      </c>
      <c r="D2093" t="s">
        <v>73</v>
      </c>
      <c r="E2093">
        <v>10</v>
      </c>
      <c r="F2093" t="s">
        <v>13</v>
      </c>
      <c r="G2093" t="s">
        <v>51</v>
      </c>
      <c r="H2093" t="s">
        <v>397</v>
      </c>
      <c r="I2093" s="3" t="s">
        <v>451</v>
      </c>
      <c r="J2093" t="s">
        <v>54</v>
      </c>
      <c r="K2093" s="15">
        <v>810942</v>
      </c>
      <c r="L2093" s="5" t="str">
        <f t="shared" si="32"/>
        <v>9 - 14</v>
      </c>
    </row>
    <row r="2094" spans="3:12" hidden="1">
      <c r="C2094" t="s">
        <v>31</v>
      </c>
      <c r="D2094" t="s">
        <v>55</v>
      </c>
      <c r="E2094">
        <v>10</v>
      </c>
      <c r="F2094" t="s">
        <v>13</v>
      </c>
      <c r="G2094" t="s">
        <v>59</v>
      </c>
      <c r="H2094" t="s">
        <v>397</v>
      </c>
      <c r="I2094" s="3" t="s">
        <v>160</v>
      </c>
      <c r="J2094" t="s">
        <v>66</v>
      </c>
      <c r="K2094" s="15">
        <v>903000</v>
      </c>
      <c r="L2094" s="5" t="str">
        <f t="shared" si="32"/>
        <v>9 - 14</v>
      </c>
    </row>
    <row r="2095" spans="3:12" hidden="1">
      <c r="C2095" t="s">
        <v>31</v>
      </c>
      <c r="D2095" t="s">
        <v>77</v>
      </c>
      <c r="E2095">
        <v>8</v>
      </c>
      <c r="F2095" t="s">
        <v>13</v>
      </c>
      <c r="G2095" t="s">
        <v>51</v>
      </c>
      <c r="H2095" t="s">
        <v>397</v>
      </c>
      <c r="I2095" s="3" t="s">
        <v>360</v>
      </c>
      <c r="J2095" t="s">
        <v>54</v>
      </c>
      <c r="K2095" s="15">
        <v>1070000</v>
      </c>
      <c r="L2095" s="5" t="str">
        <f t="shared" si="32"/>
        <v>5  - 8</v>
      </c>
    </row>
    <row r="2096" spans="3:12" hidden="1">
      <c r="C2096" t="s">
        <v>31</v>
      </c>
      <c r="D2096" t="s">
        <v>77</v>
      </c>
      <c r="E2096">
        <v>7</v>
      </c>
      <c r="F2096" t="s">
        <v>13</v>
      </c>
      <c r="G2096" t="s">
        <v>51</v>
      </c>
      <c r="H2096" t="s">
        <v>397</v>
      </c>
      <c r="I2096" s="3" t="s">
        <v>213</v>
      </c>
      <c r="J2096" t="s">
        <v>54</v>
      </c>
      <c r="K2096" s="15">
        <v>620000</v>
      </c>
      <c r="L2096" s="5" t="str">
        <f t="shared" si="32"/>
        <v>5  - 8</v>
      </c>
    </row>
    <row r="2097" spans="3:12" hidden="1">
      <c r="C2097" t="s">
        <v>31</v>
      </c>
      <c r="D2097" t="s">
        <v>73</v>
      </c>
      <c r="E2097">
        <v>7</v>
      </c>
      <c r="F2097" t="s">
        <v>13</v>
      </c>
      <c r="G2097" t="s">
        <v>59</v>
      </c>
      <c r="H2097" t="s">
        <v>397</v>
      </c>
      <c r="I2097" s="3" t="s">
        <v>166</v>
      </c>
      <c r="J2097" t="s">
        <v>66</v>
      </c>
      <c r="K2097" s="15">
        <v>890000</v>
      </c>
      <c r="L2097" s="5" t="str">
        <f t="shared" si="32"/>
        <v>5  - 8</v>
      </c>
    </row>
    <row r="2098" spans="3:12" hidden="1">
      <c r="C2098" t="s">
        <v>31</v>
      </c>
      <c r="D2098" t="s">
        <v>73</v>
      </c>
      <c r="E2098">
        <v>7</v>
      </c>
      <c r="F2098" t="s">
        <v>13</v>
      </c>
      <c r="G2098" t="s">
        <v>59</v>
      </c>
      <c r="H2098" t="s">
        <v>397</v>
      </c>
      <c r="I2098" s="3" t="s">
        <v>79</v>
      </c>
      <c r="J2098" t="s">
        <v>54</v>
      </c>
      <c r="K2098" s="15">
        <v>900000</v>
      </c>
      <c r="L2098" s="5" t="str">
        <f t="shared" si="32"/>
        <v>5  - 8</v>
      </c>
    </row>
    <row r="2099" spans="3:12" hidden="1">
      <c r="C2099" t="s">
        <v>31</v>
      </c>
      <c r="D2099" t="s">
        <v>55</v>
      </c>
      <c r="E2099">
        <v>7</v>
      </c>
      <c r="F2099" t="s">
        <v>13</v>
      </c>
      <c r="G2099" t="s">
        <v>51</v>
      </c>
      <c r="H2099" t="s">
        <v>397</v>
      </c>
      <c r="I2099" s="3" t="s">
        <v>79</v>
      </c>
      <c r="J2099" t="s">
        <v>66</v>
      </c>
      <c r="K2099" s="15">
        <v>900000</v>
      </c>
      <c r="L2099" s="5" t="str">
        <f t="shared" si="32"/>
        <v>5  - 8</v>
      </c>
    </row>
    <row r="2100" spans="3:12" hidden="1">
      <c r="C2100" t="s">
        <v>31</v>
      </c>
      <c r="D2100" t="s">
        <v>55</v>
      </c>
      <c r="E2100">
        <v>7</v>
      </c>
      <c r="F2100" t="s">
        <v>13</v>
      </c>
      <c r="G2100" t="s">
        <v>59</v>
      </c>
      <c r="H2100" t="s">
        <v>397</v>
      </c>
      <c r="I2100" s="3" t="s">
        <v>452</v>
      </c>
      <c r="J2100" t="s">
        <v>66</v>
      </c>
      <c r="K2100" s="15">
        <v>1160000</v>
      </c>
      <c r="L2100" s="5" t="str">
        <f t="shared" si="32"/>
        <v>5  - 8</v>
      </c>
    </row>
    <row r="2101" spans="3:12" hidden="1">
      <c r="C2101" t="s">
        <v>30</v>
      </c>
      <c r="D2101" t="s">
        <v>73</v>
      </c>
      <c r="E2101">
        <v>6</v>
      </c>
      <c r="F2101" t="s">
        <v>13</v>
      </c>
      <c r="G2101" t="s">
        <v>57</v>
      </c>
      <c r="H2101" t="s">
        <v>397</v>
      </c>
      <c r="I2101" s="3" t="s">
        <v>453</v>
      </c>
      <c r="J2101" t="s">
        <v>54</v>
      </c>
      <c r="K2101" s="15">
        <v>716000</v>
      </c>
      <c r="L2101" s="5" t="str">
        <f t="shared" si="32"/>
        <v>5  - 8</v>
      </c>
    </row>
    <row r="2102" spans="3:12" hidden="1">
      <c r="C2102" t="s">
        <v>31</v>
      </c>
      <c r="D2102" t="s">
        <v>77</v>
      </c>
      <c r="E2102">
        <v>6</v>
      </c>
      <c r="F2102" t="s">
        <v>13</v>
      </c>
      <c r="G2102" t="s">
        <v>57</v>
      </c>
      <c r="H2102" t="s">
        <v>397</v>
      </c>
      <c r="I2102" s="3" t="s">
        <v>81</v>
      </c>
      <c r="J2102" t="s">
        <v>54</v>
      </c>
      <c r="K2102" s="15">
        <v>640000</v>
      </c>
      <c r="L2102" s="5" t="str">
        <f t="shared" si="32"/>
        <v>5  - 8</v>
      </c>
    </row>
    <row r="2103" spans="3:12" hidden="1">
      <c r="C2103" t="s">
        <v>31</v>
      </c>
      <c r="D2103" t="s">
        <v>49</v>
      </c>
      <c r="E2103">
        <v>6</v>
      </c>
      <c r="F2103" t="s">
        <v>13</v>
      </c>
      <c r="G2103" t="s">
        <v>57</v>
      </c>
      <c r="H2103" t="s">
        <v>397</v>
      </c>
      <c r="I2103" s="3" t="s">
        <v>165</v>
      </c>
      <c r="J2103" t="s">
        <v>54</v>
      </c>
      <c r="K2103" s="15">
        <v>720000</v>
      </c>
      <c r="L2103" s="5" t="str">
        <f t="shared" si="32"/>
        <v>5  - 8</v>
      </c>
    </row>
    <row r="2104" spans="3:12" hidden="1">
      <c r="C2104" t="s">
        <v>31</v>
      </c>
      <c r="D2104" t="s">
        <v>49</v>
      </c>
      <c r="E2104">
        <v>6</v>
      </c>
      <c r="F2104" t="s">
        <v>13</v>
      </c>
      <c r="G2104" t="s">
        <v>57</v>
      </c>
      <c r="H2104" t="s">
        <v>397</v>
      </c>
      <c r="I2104" s="3" t="s">
        <v>96</v>
      </c>
      <c r="J2104" t="s">
        <v>54</v>
      </c>
      <c r="K2104" s="15">
        <v>780000</v>
      </c>
      <c r="L2104" s="5" t="str">
        <f t="shared" si="32"/>
        <v>5  - 8</v>
      </c>
    </row>
    <row r="2105" spans="3:12" hidden="1">
      <c r="C2105" t="s">
        <v>31</v>
      </c>
      <c r="D2105" t="s">
        <v>67</v>
      </c>
      <c r="E2105">
        <v>6</v>
      </c>
      <c r="F2105" t="s">
        <v>13</v>
      </c>
      <c r="G2105" t="s">
        <v>51</v>
      </c>
      <c r="H2105" t="s">
        <v>397</v>
      </c>
      <c r="I2105" s="3" t="s">
        <v>233</v>
      </c>
      <c r="J2105" t="s">
        <v>66</v>
      </c>
      <c r="K2105" s="15">
        <v>830000</v>
      </c>
      <c r="L2105" s="5" t="str">
        <f t="shared" si="32"/>
        <v>5  - 8</v>
      </c>
    </row>
    <row r="2106" spans="3:12" hidden="1">
      <c r="C2106" t="s">
        <v>31</v>
      </c>
      <c r="D2106" t="s">
        <v>73</v>
      </c>
      <c r="E2106">
        <v>6</v>
      </c>
      <c r="F2106" t="s">
        <v>13</v>
      </c>
      <c r="G2106" t="s">
        <v>57</v>
      </c>
      <c r="H2106" t="s">
        <v>397</v>
      </c>
      <c r="I2106" s="3" t="s">
        <v>72</v>
      </c>
      <c r="J2106" t="s">
        <v>54</v>
      </c>
      <c r="K2106" s="15">
        <v>850000</v>
      </c>
      <c r="L2106" s="5" t="str">
        <f t="shared" si="32"/>
        <v>5  - 8</v>
      </c>
    </row>
    <row r="2107" spans="3:12" hidden="1">
      <c r="C2107" t="s">
        <v>31</v>
      </c>
      <c r="D2107" t="s">
        <v>55</v>
      </c>
      <c r="E2107">
        <v>6</v>
      </c>
      <c r="F2107" t="s">
        <v>13</v>
      </c>
      <c r="G2107" t="s">
        <v>59</v>
      </c>
      <c r="H2107" t="s">
        <v>397</v>
      </c>
      <c r="I2107" s="3" t="s">
        <v>72</v>
      </c>
      <c r="J2107" t="s">
        <v>66</v>
      </c>
      <c r="K2107" s="15">
        <v>850000</v>
      </c>
      <c r="L2107" s="5" t="str">
        <f t="shared" si="32"/>
        <v>5  - 8</v>
      </c>
    </row>
    <row r="2108" spans="3:12" hidden="1">
      <c r="C2108" t="s">
        <v>31</v>
      </c>
      <c r="D2108" t="s">
        <v>67</v>
      </c>
      <c r="E2108">
        <v>6</v>
      </c>
      <c r="F2108" t="s">
        <v>13</v>
      </c>
      <c r="G2108" t="s">
        <v>59</v>
      </c>
      <c r="H2108" t="s">
        <v>397</v>
      </c>
      <c r="I2108" s="3" t="s">
        <v>130</v>
      </c>
      <c r="J2108" t="s">
        <v>54</v>
      </c>
      <c r="K2108" s="15">
        <v>950000</v>
      </c>
      <c r="L2108" s="5" t="str">
        <f t="shared" si="32"/>
        <v>5  - 8</v>
      </c>
    </row>
    <row r="2109" spans="3:12" hidden="1">
      <c r="C2109" t="s">
        <v>31</v>
      </c>
      <c r="D2109" t="s">
        <v>55</v>
      </c>
      <c r="E2109">
        <v>6</v>
      </c>
      <c r="F2109" t="s">
        <v>13</v>
      </c>
      <c r="G2109" t="s">
        <v>59</v>
      </c>
      <c r="H2109" t="s">
        <v>397</v>
      </c>
      <c r="I2109" s="3" t="s">
        <v>110</v>
      </c>
      <c r="J2109" t="s">
        <v>66</v>
      </c>
      <c r="K2109" s="15">
        <v>1000000</v>
      </c>
      <c r="L2109" s="5" t="str">
        <f t="shared" si="32"/>
        <v>5  - 8</v>
      </c>
    </row>
    <row r="2110" spans="3:12" hidden="1">
      <c r="C2110" t="s">
        <v>31</v>
      </c>
      <c r="D2110" t="s">
        <v>73</v>
      </c>
      <c r="E2110">
        <v>6</v>
      </c>
      <c r="F2110" t="s">
        <v>13</v>
      </c>
      <c r="G2110" t="s">
        <v>59</v>
      </c>
      <c r="H2110" t="s">
        <v>397</v>
      </c>
      <c r="I2110" s="3" t="s">
        <v>454</v>
      </c>
      <c r="J2110" t="s">
        <v>54</v>
      </c>
      <c r="K2110" s="15">
        <v>1050119</v>
      </c>
      <c r="L2110" s="5" t="str">
        <f t="shared" si="32"/>
        <v>5  - 8</v>
      </c>
    </row>
    <row r="2111" spans="3:12" hidden="1">
      <c r="C2111" t="s">
        <v>31</v>
      </c>
      <c r="D2111" t="s">
        <v>73</v>
      </c>
      <c r="E2111">
        <v>5</v>
      </c>
      <c r="F2111" t="s">
        <v>13</v>
      </c>
      <c r="G2111" t="s">
        <v>51</v>
      </c>
      <c r="H2111" t="s">
        <v>397</v>
      </c>
      <c r="I2111" s="3" t="s">
        <v>75</v>
      </c>
      <c r="J2111" t="s">
        <v>54</v>
      </c>
      <c r="K2111" s="15">
        <v>710000</v>
      </c>
      <c r="L2111" s="5" t="str">
        <f t="shared" si="32"/>
        <v>5  - 8</v>
      </c>
    </row>
    <row r="2112" spans="3:12" hidden="1">
      <c r="C2112" t="s">
        <v>31</v>
      </c>
      <c r="D2112" t="s">
        <v>55</v>
      </c>
      <c r="E2112">
        <v>5</v>
      </c>
      <c r="F2112" t="s">
        <v>13</v>
      </c>
      <c r="G2112" t="s">
        <v>51</v>
      </c>
      <c r="H2112" t="s">
        <v>397</v>
      </c>
      <c r="I2112" s="3" t="s">
        <v>165</v>
      </c>
      <c r="J2112" t="s">
        <v>54</v>
      </c>
      <c r="K2112" s="15">
        <v>720000</v>
      </c>
      <c r="L2112" s="5" t="str">
        <f t="shared" si="32"/>
        <v>5  - 8</v>
      </c>
    </row>
    <row r="2113" spans="3:12" hidden="1">
      <c r="C2113" t="s">
        <v>31</v>
      </c>
      <c r="D2113" t="s">
        <v>55</v>
      </c>
      <c r="E2113">
        <v>5</v>
      </c>
      <c r="F2113" t="s">
        <v>13</v>
      </c>
      <c r="G2113" t="s">
        <v>51</v>
      </c>
      <c r="H2113" t="s">
        <v>397</v>
      </c>
      <c r="I2113" s="3" t="s">
        <v>69</v>
      </c>
      <c r="J2113" t="s">
        <v>54</v>
      </c>
      <c r="K2113" s="15">
        <v>750000</v>
      </c>
      <c r="L2113" s="5" t="str">
        <f t="shared" si="32"/>
        <v>5  - 8</v>
      </c>
    </row>
    <row r="2114" spans="3:12" hidden="1">
      <c r="C2114" t="s">
        <v>31</v>
      </c>
      <c r="D2114" t="s">
        <v>77</v>
      </c>
      <c r="E2114">
        <v>5</v>
      </c>
      <c r="F2114" t="s">
        <v>13</v>
      </c>
      <c r="G2114" t="s">
        <v>59</v>
      </c>
      <c r="H2114" t="s">
        <v>397</v>
      </c>
      <c r="I2114" s="3" t="s">
        <v>116</v>
      </c>
      <c r="J2114" t="s">
        <v>54</v>
      </c>
      <c r="K2114" s="15">
        <v>800000</v>
      </c>
      <c r="L2114" s="5" t="str">
        <f t="shared" si="32"/>
        <v>5  - 8</v>
      </c>
    </row>
    <row r="2115" spans="3:12" hidden="1">
      <c r="C2115" t="s">
        <v>31</v>
      </c>
      <c r="D2115" t="s">
        <v>73</v>
      </c>
      <c r="E2115">
        <v>5</v>
      </c>
      <c r="F2115" t="s">
        <v>13</v>
      </c>
      <c r="G2115" t="s">
        <v>59</v>
      </c>
      <c r="H2115" t="s">
        <v>397</v>
      </c>
      <c r="I2115" s="3" t="s">
        <v>130</v>
      </c>
      <c r="J2115" t="s">
        <v>54</v>
      </c>
      <c r="K2115" s="15">
        <v>950000</v>
      </c>
      <c r="L2115" s="5" t="str">
        <f t="shared" ref="L2115:L2178" si="33">_xlfn.XLOOKUP(E2115,$P$2:$P$5,$O$2:$O$5,,1)</f>
        <v>5  - 8</v>
      </c>
    </row>
    <row r="2116" spans="3:12" hidden="1">
      <c r="C2116" t="s">
        <v>30</v>
      </c>
      <c r="D2116" t="s">
        <v>55</v>
      </c>
      <c r="E2116">
        <v>4</v>
      </c>
      <c r="F2116" t="s">
        <v>13</v>
      </c>
      <c r="G2116" t="s">
        <v>59</v>
      </c>
      <c r="H2116" t="s">
        <v>397</v>
      </c>
      <c r="I2116" s="3" t="s">
        <v>455</v>
      </c>
      <c r="J2116" t="s">
        <v>66</v>
      </c>
      <c r="K2116" s="15">
        <v>792000</v>
      </c>
      <c r="L2116" s="5" t="str">
        <f t="shared" si="33"/>
        <v>0 - 4</v>
      </c>
    </row>
    <row r="2117" spans="3:12" hidden="1">
      <c r="C2117" t="s">
        <v>31</v>
      </c>
      <c r="D2117" t="s">
        <v>49</v>
      </c>
      <c r="E2117">
        <v>4</v>
      </c>
      <c r="F2117" t="s">
        <v>13</v>
      </c>
      <c r="G2117" t="s">
        <v>57</v>
      </c>
      <c r="H2117" t="s">
        <v>397</v>
      </c>
      <c r="I2117" s="3" t="s">
        <v>445</v>
      </c>
      <c r="J2117" t="s">
        <v>54</v>
      </c>
      <c r="K2117" s="15">
        <v>657000</v>
      </c>
      <c r="L2117" s="5" t="str">
        <f t="shared" si="33"/>
        <v>0 - 4</v>
      </c>
    </row>
    <row r="2118" spans="3:12" hidden="1">
      <c r="C2118" t="s">
        <v>31</v>
      </c>
      <c r="D2118" t="s">
        <v>55</v>
      </c>
      <c r="E2118">
        <v>4</v>
      </c>
      <c r="F2118" t="s">
        <v>13</v>
      </c>
      <c r="G2118" t="s">
        <v>51</v>
      </c>
      <c r="H2118" t="s">
        <v>397</v>
      </c>
      <c r="I2118" s="3" t="s">
        <v>75</v>
      </c>
      <c r="J2118" t="s">
        <v>54</v>
      </c>
      <c r="K2118" s="15">
        <v>710000</v>
      </c>
      <c r="L2118" s="5" t="str">
        <f t="shared" si="33"/>
        <v>0 - 4</v>
      </c>
    </row>
    <row r="2119" spans="3:12" hidden="1">
      <c r="C2119" t="s">
        <v>31</v>
      </c>
      <c r="D2119" t="s">
        <v>55</v>
      </c>
      <c r="E2119">
        <v>4</v>
      </c>
      <c r="F2119" t="s">
        <v>13</v>
      </c>
      <c r="G2119" t="s">
        <v>51</v>
      </c>
      <c r="H2119" t="s">
        <v>397</v>
      </c>
      <c r="I2119" s="3" t="s">
        <v>267</v>
      </c>
      <c r="J2119" t="s">
        <v>54</v>
      </c>
      <c r="K2119" s="15">
        <v>745000</v>
      </c>
      <c r="L2119" s="5" t="str">
        <f t="shared" si="33"/>
        <v>0 - 4</v>
      </c>
    </row>
    <row r="2120" spans="3:12" hidden="1">
      <c r="C2120" t="s">
        <v>31</v>
      </c>
      <c r="D2120" t="s">
        <v>73</v>
      </c>
      <c r="E2120">
        <v>4</v>
      </c>
      <c r="F2120" t="s">
        <v>13</v>
      </c>
      <c r="G2120" t="s">
        <v>59</v>
      </c>
      <c r="H2120" t="s">
        <v>397</v>
      </c>
      <c r="I2120" s="3" t="s">
        <v>69</v>
      </c>
      <c r="J2120" t="s">
        <v>54</v>
      </c>
      <c r="K2120" s="15">
        <v>750000</v>
      </c>
      <c r="L2120" s="5" t="str">
        <f t="shared" si="33"/>
        <v>0 - 4</v>
      </c>
    </row>
    <row r="2121" spans="3:12" hidden="1">
      <c r="C2121" t="s">
        <v>31</v>
      </c>
      <c r="D2121" t="s">
        <v>73</v>
      </c>
      <c r="E2121">
        <v>4</v>
      </c>
      <c r="F2121" t="s">
        <v>13</v>
      </c>
      <c r="G2121" t="s">
        <v>57</v>
      </c>
      <c r="H2121" t="s">
        <v>397</v>
      </c>
      <c r="I2121" s="3" t="s">
        <v>116</v>
      </c>
      <c r="J2121" t="s">
        <v>54</v>
      </c>
      <c r="K2121" s="15">
        <v>800000</v>
      </c>
      <c r="L2121" s="5" t="str">
        <f t="shared" si="33"/>
        <v>0 - 4</v>
      </c>
    </row>
    <row r="2122" spans="3:12" hidden="1">
      <c r="C2122" t="s">
        <v>31</v>
      </c>
      <c r="D2122" t="s">
        <v>56</v>
      </c>
      <c r="E2122">
        <v>4</v>
      </c>
      <c r="F2122" t="s">
        <v>13</v>
      </c>
      <c r="G2122" t="s">
        <v>59</v>
      </c>
      <c r="H2122" t="s">
        <v>397</v>
      </c>
      <c r="I2122" s="3" t="s">
        <v>167</v>
      </c>
      <c r="J2122" t="s">
        <v>66</v>
      </c>
      <c r="K2122" s="15">
        <v>860000</v>
      </c>
      <c r="L2122" s="5" t="str">
        <f t="shared" si="33"/>
        <v>0 - 4</v>
      </c>
    </row>
    <row r="2123" spans="3:12" hidden="1">
      <c r="C2123" t="s">
        <v>30</v>
      </c>
      <c r="D2123" t="s">
        <v>73</v>
      </c>
      <c r="E2123">
        <v>3</v>
      </c>
      <c r="F2123" t="s">
        <v>13</v>
      </c>
      <c r="G2123" t="s">
        <v>51</v>
      </c>
      <c r="H2123" t="s">
        <v>397</v>
      </c>
      <c r="I2123" s="3" t="s">
        <v>108</v>
      </c>
      <c r="J2123" t="s">
        <v>54</v>
      </c>
      <c r="K2123" s="15">
        <v>700000</v>
      </c>
      <c r="L2123" s="5" t="str">
        <f t="shared" si="33"/>
        <v>0 - 4</v>
      </c>
    </row>
    <row r="2124" spans="3:12" hidden="1">
      <c r="C2124" t="s">
        <v>30</v>
      </c>
      <c r="D2124" t="s">
        <v>55</v>
      </c>
      <c r="E2124">
        <v>3</v>
      </c>
      <c r="F2124" t="s">
        <v>13</v>
      </c>
      <c r="G2124" t="s">
        <v>59</v>
      </c>
      <c r="H2124" t="s">
        <v>397</v>
      </c>
      <c r="I2124" s="3" t="s">
        <v>71</v>
      </c>
      <c r="J2124" t="s">
        <v>54</v>
      </c>
      <c r="K2124" s="15">
        <v>820000</v>
      </c>
      <c r="L2124" s="5" t="str">
        <f t="shared" si="33"/>
        <v>0 - 4</v>
      </c>
    </row>
    <row r="2125" spans="3:12" hidden="1">
      <c r="C2125" t="s">
        <v>30</v>
      </c>
      <c r="D2125" t="s">
        <v>55</v>
      </c>
      <c r="E2125">
        <v>3</v>
      </c>
      <c r="F2125" t="s">
        <v>13</v>
      </c>
      <c r="G2125" t="s">
        <v>51</v>
      </c>
      <c r="H2125" t="s">
        <v>397</v>
      </c>
      <c r="I2125" s="3" t="s">
        <v>70</v>
      </c>
      <c r="J2125" t="s">
        <v>66</v>
      </c>
      <c r="K2125" s="15">
        <v>910000</v>
      </c>
      <c r="L2125" s="5" t="str">
        <f t="shared" si="33"/>
        <v>0 - 4</v>
      </c>
    </row>
    <row r="2126" spans="3:12" hidden="1">
      <c r="C2126" t="s">
        <v>31</v>
      </c>
      <c r="D2126" t="s">
        <v>73</v>
      </c>
      <c r="E2126">
        <v>3</v>
      </c>
      <c r="F2126" t="s">
        <v>13</v>
      </c>
      <c r="G2126" t="s">
        <v>57</v>
      </c>
      <c r="H2126" t="s">
        <v>397</v>
      </c>
      <c r="I2126" s="3" t="s">
        <v>123</v>
      </c>
      <c r="J2126" t="s">
        <v>54</v>
      </c>
      <c r="K2126" s="15">
        <v>580000</v>
      </c>
      <c r="L2126" s="5" t="str">
        <f t="shared" si="33"/>
        <v>0 - 4</v>
      </c>
    </row>
    <row r="2127" spans="3:12" hidden="1">
      <c r="C2127" t="s">
        <v>31</v>
      </c>
      <c r="D2127" t="s">
        <v>73</v>
      </c>
      <c r="E2127">
        <v>3</v>
      </c>
      <c r="F2127" t="s">
        <v>13</v>
      </c>
      <c r="G2127" t="s">
        <v>51</v>
      </c>
      <c r="H2127" t="s">
        <v>397</v>
      </c>
      <c r="I2127" s="3" t="s">
        <v>456</v>
      </c>
      <c r="J2127" t="s">
        <v>54</v>
      </c>
      <c r="K2127" s="15">
        <v>609500</v>
      </c>
      <c r="L2127" s="5" t="str">
        <f t="shared" si="33"/>
        <v>0 - 4</v>
      </c>
    </row>
    <row r="2128" spans="3:12" hidden="1">
      <c r="C2128" t="s">
        <v>31</v>
      </c>
      <c r="D2128" t="s">
        <v>121</v>
      </c>
      <c r="E2128">
        <v>3</v>
      </c>
      <c r="F2128" t="s">
        <v>13</v>
      </c>
      <c r="G2128" t="s">
        <v>57</v>
      </c>
      <c r="H2128" t="s">
        <v>397</v>
      </c>
      <c r="I2128" s="3" t="s">
        <v>85</v>
      </c>
      <c r="J2128" t="s">
        <v>54</v>
      </c>
      <c r="K2128" s="15">
        <v>650000</v>
      </c>
      <c r="L2128" s="5" t="str">
        <f t="shared" si="33"/>
        <v>0 - 4</v>
      </c>
    </row>
    <row r="2129" spans="3:12" hidden="1">
      <c r="C2129" t="s">
        <v>31</v>
      </c>
      <c r="D2129" t="s">
        <v>56</v>
      </c>
      <c r="E2129">
        <v>3</v>
      </c>
      <c r="F2129" t="s">
        <v>13</v>
      </c>
      <c r="G2129" t="s">
        <v>51</v>
      </c>
      <c r="H2129" t="s">
        <v>397</v>
      </c>
      <c r="I2129" s="3" t="s">
        <v>75</v>
      </c>
      <c r="J2129" t="s">
        <v>66</v>
      </c>
      <c r="K2129" s="15">
        <v>710000</v>
      </c>
      <c r="L2129" s="5" t="str">
        <f t="shared" si="33"/>
        <v>0 - 4</v>
      </c>
    </row>
    <row r="2130" spans="3:12" hidden="1">
      <c r="C2130" t="s">
        <v>31</v>
      </c>
      <c r="D2130" t="s">
        <v>73</v>
      </c>
      <c r="E2130">
        <v>3</v>
      </c>
      <c r="F2130" t="s">
        <v>13</v>
      </c>
      <c r="G2130" t="s">
        <v>59</v>
      </c>
      <c r="H2130" t="s">
        <v>397</v>
      </c>
      <c r="I2130" s="3" t="s">
        <v>74</v>
      </c>
      <c r="J2130" t="s">
        <v>66</v>
      </c>
      <c r="K2130" s="15">
        <v>730000</v>
      </c>
      <c r="L2130" s="5" t="str">
        <f t="shared" si="33"/>
        <v>0 - 4</v>
      </c>
    </row>
    <row r="2131" spans="3:12" hidden="1">
      <c r="C2131" t="s">
        <v>31</v>
      </c>
      <c r="D2131" t="s">
        <v>55</v>
      </c>
      <c r="E2131">
        <v>3</v>
      </c>
      <c r="F2131" t="s">
        <v>13</v>
      </c>
      <c r="G2131" t="s">
        <v>59</v>
      </c>
      <c r="H2131" t="s">
        <v>397</v>
      </c>
      <c r="I2131" s="3" t="s">
        <v>135</v>
      </c>
      <c r="J2131" t="s">
        <v>66</v>
      </c>
      <c r="K2131" s="15">
        <v>840000</v>
      </c>
      <c r="L2131" s="5" t="str">
        <f t="shared" si="33"/>
        <v>0 - 4</v>
      </c>
    </row>
    <row r="2132" spans="3:12" hidden="1">
      <c r="C2132" t="s">
        <v>31</v>
      </c>
      <c r="D2132" t="s">
        <v>55</v>
      </c>
      <c r="E2132">
        <v>3</v>
      </c>
      <c r="F2132" t="s">
        <v>13</v>
      </c>
      <c r="G2132" t="s">
        <v>59</v>
      </c>
      <c r="H2132" t="s">
        <v>397</v>
      </c>
      <c r="I2132" s="3" t="s">
        <v>106</v>
      </c>
      <c r="J2132" t="s">
        <v>66</v>
      </c>
      <c r="K2132" s="15">
        <v>1100000</v>
      </c>
      <c r="L2132" s="5" t="str">
        <f t="shared" si="33"/>
        <v>0 - 4</v>
      </c>
    </row>
    <row r="2133" spans="3:12" hidden="1">
      <c r="C2133" t="s">
        <v>30</v>
      </c>
      <c r="D2133" t="s">
        <v>49</v>
      </c>
      <c r="E2133">
        <v>2</v>
      </c>
      <c r="F2133" t="s">
        <v>13</v>
      </c>
      <c r="G2133" t="s">
        <v>51</v>
      </c>
      <c r="H2133" t="s">
        <v>397</v>
      </c>
      <c r="I2133" s="3" t="s">
        <v>85</v>
      </c>
      <c r="J2133" t="s">
        <v>54</v>
      </c>
      <c r="K2133" s="15">
        <v>650000</v>
      </c>
      <c r="L2133" s="5" t="str">
        <f t="shared" si="33"/>
        <v>0 - 4</v>
      </c>
    </row>
    <row r="2134" spans="3:12" hidden="1">
      <c r="C2134" t="s">
        <v>31</v>
      </c>
      <c r="D2134" t="s">
        <v>55</v>
      </c>
      <c r="E2134">
        <v>2</v>
      </c>
      <c r="F2134" t="s">
        <v>13</v>
      </c>
      <c r="G2134" t="s">
        <v>51</v>
      </c>
      <c r="H2134" t="s">
        <v>397</v>
      </c>
      <c r="I2134" s="3" t="s">
        <v>112</v>
      </c>
      <c r="J2134" t="s">
        <v>54</v>
      </c>
      <c r="K2134" s="15">
        <v>560000</v>
      </c>
      <c r="L2134" s="5" t="str">
        <f t="shared" si="33"/>
        <v>0 - 4</v>
      </c>
    </row>
    <row r="2135" spans="3:12" hidden="1">
      <c r="C2135" t="s">
        <v>31</v>
      </c>
      <c r="D2135" t="s">
        <v>73</v>
      </c>
      <c r="E2135">
        <v>2</v>
      </c>
      <c r="F2135" t="s">
        <v>13</v>
      </c>
      <c r="G2135" t="s">
        <v>51</v>
      </c>
      <c r="H2135" t="s">
        <v>397</v>
      </c>
      <c r="I2135" s="3" t="s">
        <v>457</v>
      </c>
      <c r="J2135" t="s">
        <v>54</v>
      </c>
      <c r="K2135" s="15">
        <v>588000</v>
      </c>
      <c r="L2135" s="5" t="str">
        <f t="shared" si="33"/>
        <v>0 - 4</v>
      </c>
    </row>
    <row r="2136" spans="3:12" hidden="1">
      <c r="C2136" t="s">
        <v>31</v>
      </c>
      <c r="D2136" t="s">
        <v>73</v>
      </c>
      <c r="E2136">
        <v>2</v>
      </c>
      <c r="F2136" t="s">
        <v>13</v>
      </c>
      <c r="G2136" t="s">
        <v>59</v>
      </c>
      <c r="H2136" t="s">
        <v>397</v>
      </c>
      <c r="I2136" s="3" t="s">
        <v>157</v>
      </c>
      <c r="J2136" t="s">
        <v>54</v>
      </c>
      <c r="K2136" s="15">
        <v>625000</v>
      </c>
      <c r="L2136" s="5" t="str">
        <f t="shared" si="33"/>
        <v>0 - 4</v>
      </c>
    </row>
    <row r="2137" spans="3:12" hidden="1">
      <c r="C2137" t="s">
        <v>31</v>
      </c>
      <c r="D2137" t="s">
        <v>73</v>
      </c>
      <c r="E2137">
        <v>2</v>
      </c>
      <c r="F2137" t="s">
        <v>13</v>
      </c>
      <c r="G2137" t="s">
        <v>59</v>
      </c>
      <c r="H2137" t="s">
        <v>397</v>
      </c>
      <c r="I2137" s="3" t="s">
        <v>265</v>
      </c>
      <c r="J2137" t="s">
        <v>54</v>
      </c>
      <c r="K2137" s="15">
        <v>635000</v>
      </c>
      <c r="L2137" s="5" t="str">
        <f t="shared" si="33"/>
        <v>0 - 4</v>
      </c>
    </row>
    <row r="2138" spans="3:12" hidden="1">
      <c r="C2138" t="s">
        <v>31</v>
      </c>
      <c r="D2138" t="s">
        <v>55</v>
      </c>
      <c r="E2138">
        <v>2</v>
      </c>
      <c r="F2138" t="s">
        <v>13</v>
      </c>
      <c r="G2138" t="s">
        <v>59</v>
      </c>
      <c r="H2138" t="s">
        <v>397</v>
      </c>
      <c r="I2138" s="3" t="s">
        <v>272</v>
      </c>
      <c r="J2138" t="s">
        <v>54</v>
      </c>
      <c r="K2138" s="15">
        <v>705000</v>
      </c>
      <c r="L2138" s="5" t="str">
        <f t="shared" si="33"/>
        <v>0 - 4</v>
      </c>
    </row>
    <row r="2139" spans="3:12" hidden="1">
      <c r="C2139" t="s">
        <v>31</v>
      </c>
      <c r="D2139" t="s">
        <v>56</v>
      </c>
      <c r="E2139">
        <v>1</v>
      </c>
      <c r="F2139" t="s">
        <v>13</v>
      </c>
      <c r="G2139" t="s">
        <v>51</v>
      </c>
      <c r="H2139" t="s">
        <v>397</v>
      </c>
      <c r="I2139" s="3" t="s">
        <v>339</v>
      </c>
      <c r="J2139" t="s">
        <v>54</v>
      </c>
      <c r="K2139" s="15">
        <v>500000</v>
      </c>
      <c r="L2139" s="5" t="str">
        <f t="shared" si="33"/>
        <v>0 - 4</v>
      </c>
    </row>
    <row r="2140" spans="3:12" hidden="1">
      <c r="C2140" t="s">
        <v>31</v>
      </c>
      <c r="D2140" t="s">
        <v>77</v>
      </c>
      <c r="E2140">
        <v>1</v>
      </c>
      <c r="F2140" t="s">
        <v>13</v>
      </c>
      <c r="G2140" t="s">
        <v>51</v>
      </c>
      <c r="H2140" t="s">
        <v>397</v>
      </c>
      <c r="I2140" s="3" t="s">
        <v>339</v>
      </c>
      <c r="J2140" t="s">
        <v>54</v>
      </c>
      <c r="K2140" s="15">
        <v>500000</v>
      </c>
      <c r="L2140" s="5" t="str">
        <f t="shared" si="33"/>
        <v>0 - 4</v>
      </c>
    </row>
    <row r="2141" spans="3:12" hidden="1">
      <c r="C2141" t="s">
        <v>31</v>
      </c>
      <c r="D2141" t="s">
        <v>73</v>
      </c>
      <c r="E2141">
        <v>1</v>
      </c>
      <c r="F2141" t="s">
        <v>13</v>
      </c>
      <c r="G2141" t="s">
        <v>51</v>
      </c>
      <c r="H2141" t="s">
        <v>397</v>
      </c>
      <c r="I2141" s="3" t="s">
        <v>457</v>
      </c>
      <c r="J2141" t="s">
        <v>54</v>
      </c>
      <c r="K2141" s="15">
        <v>588000</v>
      </c>
      <c r="L2141" s="5" t="str">
        <f t="shared" si="33"/>
        <v>0 - 4</v>
      </c>
    </row>
    <row r="2142" spans="3:12" hidden="1">
      <c r="C2142" t="s">
        <v>31</v>
      </c>
      <c r="D2142" t="s">
        <v>73</v>
      </c>
      <c r="E2142">
        <v>1</v>
      </c>
      <c r="F2142" t="s">
        <v>13</v>
      </c>
      <c r="G2142" t="s">
        <v>51</v>
      </c>
      <c r="H2142" t="s">
        <v>397</v>
      </c>
      <c r="I2142" s="3" t="s">
        <v>458</v>
      </c>
      <c r="J2142" t="s">
        <v>54</v>
      </c>
      <c r="K2142" s="15">
        <v>605500</v>
      </c>
      <c r="L2142" s="5" t="str">
        <f t="shared" si="33"/>
        <v>0 - 4</v>
      </c>
    </row>
    <row r="2143" spans="3:12" hidden="1">
      <c r="C2143" t="s">
        <v>31</v>
      </c>
      <c r="D2143" t="s">
        <v>55</v>
      </c>
      <c r="E2143">
        <v>1</v>
      </c>
      <c r="F2143" t="s">
        <v>13</v>
      </c>
      <c r="G2143" t="s">
        <v>59</v>
      </c>
      <c r="H2143" t="s">
        <v>397</v>
      </c>
      <c r="I2143" s="3" t="s">
        <v>108</v>
      </c>
      <c r="J2143" t="s">
        <v>66</v>
      </c>
      <c r="K2143" s="15">
        <v>700000</v>
      </c>
      <c r="L2143" s="5" t="str">
        <f t="shared" si="33"/>
        <v>0 - 4</v>
      </c>
    </row>
    <row r="2144" spans="3:12" hidden="1">
      <c r="C2144" t="s">
        <v>31</v>
      </c>
      <c r="D2144" t="s">
        <v>55</v>
      </c>
      <c r="E2144">
        <v>1</v>
      </c>
      <c r="F2144" t="s">
        <v>13</v>
      </c>
      <c r="G2144" t="s">
        <v>59</v>
      </c>
      <c r="H2144" t="s">
        <v>397</v>
      </c>
      <c r="I2144" s="3" t="s">
        <v>74</v>
      </c>
      <c r="J2144" t="s">
        <v>66</v>
      </c>
      <c r="K2144" s="15">
        <v>730000</v>
      </c>
      <c r="L2144" s="5" t="str">
        <f t="shared" si="33"/>
        <v>0 - 4</v>
      </c>
    </row>
    <row r="2145" spans="3:12" hidden="1">
      <c r="C2145" t="s">
        <v>30</v>
      </c>
      <c r="D2145" t="s">
        <v>55</v>
      </c>
      <c r="E2145">
        <v>0</v>
      </c>
      <c r="F2145" t="s">
        <v>13</v>
      </c>
      <c r="G2145" t="s">
        <v>59</v>
      </c>
      <c r="H2145" t="s">
        <v>397</v>
      </c>
      <c r="I2145" s="3" t="s">
        <v>119</v>
      </c>
      <c r="J2145" t="s">
        <v>54</v>
      </c>
      <c r="K2145" s="15">
        <v>630000</v>
      </c>
      <c r="L2145" s="5" t="str">
        <f t="shared" si="33"/>
        <v>0 - 4</v>
      </c>
    </row>
    <row r="2146" spans="3:12" hidden="1">
      <c r="C2146" t="s">
        <v>31</v>
      </c>
      <c r="D2146" t="s">
        <v>73</v>
      </c>
      <c r="E2146">
        <v>0</v>
      </c>
      <c r="F2146" t="s">
        <v>13</v>
      </c>
      <c r="G2146" t="s">
        <v>59</v>
      </c>
      <c r="H2146" t="s">
        <v>397</v>
      </c>
      <c r="I2146" s="3" t="s">
        <v>94</v>
      </c>
      <c r="J2146" t="s">
        <v>54</v>
      </c>
      <c r="K2146" s="15">
        <v>550000</v>
      </c>
      <c r="L2146" s="5" t="str">
        <f t="shared" si="33"/>
        <v>0 - 4</v>
      </c>
    </row>
    <row r="2147" spans="3:12" hidden="1">
      <c r="C2147" t="s">
        <v>31</v>
      </c>
      <c r="D2147" t="s">
        <v>73</v>
      </c>
      <c r="E2147">
        <v>0</v>
      </c>
      <c r="F2147" t="s">
        <v>13</v>
      </c>
      <c r="G2147" t="s">
        <v>59</v>
      </c>
      <c r="H2147" t="s">
        <v>397</v>
      </c>
      <c r="I2147" s="3" t="s">
        <v>94</v>
      </c>
      <c r="J2147" t="s">
        <v>54</v>
      </c>
      <c r="K2147" s="15">
        <v>550000</v>
      </c>
      <c r="L2147" s="5" t="str">
        <f t="shared" si="33"/>
        <v>0 - 4</v>
      </c>
    </row>
    <row r="2148" spans="3:12" hidden="1">
      <c r="C2148" t="s">
        <v>31</v>
      </c>
      <c r="D2148" t="s">
        <v>55</v>
      </c>
      <c r="E2148">
        <v>0</v>
      </c>
      <c r="F2148" t="s">
        <v>13</v>
      </c>
      <c r="G2148" t="s">
        <v>59</v>
      </c>
      <c r="H2148" t="s">
        <v>397</v>
      </c>
      <c r="I2148" s="3" t="s">
        <v>123</v>
      </c>
      <c r="J2148" t="s">
        <v>54</v>
      </c>
      <c r="K2148" s="15">
        <v>580000</v>
      </c>
      <c r="L2148" s="5" t="str">
        <f t="shared" si="33"/>
        <v>0 - 4</v>
      </c>
    </row>
    <row r="2149" spans="3:12" hidden="1">
      <c r="C2149" t="s">
        <v>31</v>
      </c>
      <c r="D2149" t="s">
        <v>49</v>
      </c>
      <c r="E2149">
        <v>0</v>
      </c>
      <c r="F2149" t="s">
        <v>13</v>
      </c>
      <c r="G2149" t="s">
        <v>51</v>
      </c>
      <c r="H2149" t="s">
        <v>397</v>
      </c>
      <c r="I2149" s="3" t="s">
        <v>139</v>
      </c>
      <c r="J2149" t="s">
        <v>54</v>
      </c>
      <c r="K2149" s="15">
        <v>600000</v>
      </c>
      <c r="L2149" s="5" t="str">
        <f t="shared" si="33"/>
        <v>0 - 4</v>
      </c>
    </row>
    <row r="2150" spans="3:12" hidden="1">
      <c r="C2150" t="s">
        <v>31</v>
      </c>
      <c r="D2150" t="s">
        <v>55</v>
      </c>
      <c r="E2150">
        <v>0</v>
      </c>
      <c r="F2150" t="s">
        <v>13</v>
      </c>
      <c r="G2150" t="s">
        <v>59</v>
      </c>
      <c r="H2150" t="s">
        <v>397</v>
      </c>
      <c r="I2150" s="3" t="s">
        <v>222</v>
      </c>
      <c r="J2150" t="s">
        <v>54</v>
      </c>
      <c r="K2150" s="15">
        <v>670000</v>
      </c>
      <c r="L2150" s="5" t="str">
        <f t="shared" si="33"/>
        <v>0 - 4</v>
      </c>
    </row>
    <row r="2151" spans="3:12" hidden="1">
      <c r="C2151" t="s">
        <v>31</v>
      </c>
      <c r="D2151" t="s">
        <v>73</v>
      </c>
      <c r="E2151">
        <v>17</v>
      </c>
      <c r="F2151" t="s">
        <v>17</v>
      </c>
      <c r="G2151" t="s">
        <v>127</v>
      </c>
      <c r="H2151" t="s">
        <v>397</v>
      </c>
      <c r="I2151" s="3" t="s">
        <v>104</v>
      </c>
      <c r="J2151" t="s">
        <v>54</v>
      </c>
      <c r="K2151" s="15">
        <v>1300000</v>
      </c>
      <c r="L2151" s="5" t="str">
        <f t="shared" si="33"/>
        <v>15 +</v>
      </c>
    </row>
    <row r="2152" spans="3:12" hidden="1">
      <c r="C2152" t="s">
        <v>31</v>
      </c>
      <c r="D2152" t="s">
        <v>77</v>
      </c>
      <c r="E2152">
        <v>17</v>
      </c>
      <c r="F2152" t="s">
        <v>17</v>
      </c>
      <c r="G2152" t="s">
        <v>127</v>
      </c>
      <c r="H2152" t="s">
        <v>397</v>
      </c>
      <c r="I2152" s="3" t="s">
        <v>182</v>
      </c>
      <c r="J2152" t="s">
        <v>54</v>
      </c>
      <c r="K2152" s="15">
        <v>1450000</v>
      </c>
      <c r="L2152" s="5" t="str">
        <f t="shared" si="33"/>
        <v>15 +</v>
      </c>
    </row>
    <row r="2153" spans="3:12" hidden="1">
      <c r="C2153" t="s">
        <v>31</v>
      </c>
      <c r="D2153" t="s">
        <v>73</v>
      </c>
      <c r="E2153">
        <v>14</v>
      </c>
      <c r="F2153" t="s">
        <v>17</v>
      </c>
      <c r="G2153" t="s">
        <v>127</v>
      </c>
      <c r="H2153" t="s">
        <v>397</v>
      </c>
      <c r="I2153" s="3" t="s">
        <v>459</v>
      </c>
      <c r="J2153" t="s">
        <v>54</v>
      </c>
      <c r="K2153" s="15">
        <v>868000</v>
      </c>
      <c r="L2153" s="5" t="str">
        <f t="shared" si="33"/>
        <v>9 - 14</v>
      </c>
    </row>
    <row r="2154" spans="3:12" hidden="1">
      <c r="C2154" t="s">
        <v>31</v>
      </c>
      <c r="D2154" t="s">
        <v>55</v>
      </c>
      <c r="E2154">
        <v>14</v>
      </c>
      <c r="F2154" t="s">
        <v>17</v>
      </c>
      <c r="G2154" t="s">
        <v>127</v>
      </c>
      <c r="H2154" t="s">
        <v>397</v>
      </c>
      <c r="I2154" s="3" t="s">
        <v>79</v>
      </c>
      <c r="J2154" t="s">
        <v>54</v>
      </c>
      <c r="K2154" s="15">
        <v>900000</v>
      </c>
      <c r="L2154" s="5" t="str">
        <f t="shared" si="33"/>
        <v>9 - 14</v>
      </c>
    </row>
    <row r="2155" spans="3:12" hidden="1">
      <c r="C2155" t="s">
        <v>31</v>
      </c>
      <c r="D2155" t="s">
        <v>73</v>
      </c>
      <c r="E2155">
        <v>10</v>
      </c>
      <c r="F2155" t="s">
        <v>17</v>
      </c>
      <c r="G2155" t="s">
        <v>59</v>
      </c>
      <c r="H2155" t="s">
        <v>397</v>
      </c>
      <c r="I2155" s="3" t="s">
        <v>116</v>
      </c>
      <c r="J2155" t="s">
        <v>54</v>
      </c>
      <c r="K2155" s="15">
        <v>800000</v>
      </c>
      <c r="L2155" s="5" t="str">
        <f t="shared" si="33"/>
        <v>9 - 14</v>
      </c>
    </row>
    <row r="2156" spans="3:12" hidden="1">
      <c r="C2156" t="s">
        <v>31</v>
      </c>
      <c r="D2156" t="s">
        <v>73</v>
      </c>
      <c r="E2156">
        <v>10</v>
      </c>
      <c r="F2156" t="s">
        <v>17</v>
      </c>
      <c r="G2156" t="s">
        <v>51</v>
      </c>
      <c r="H2156" t="s">
        <v>397</v>
      </c>
      <c r="I2156" s="3" t="s">
        <v>192</v>
      </c>
      <c r="J2156" t="s">
        <v>54</v>
      </c>
      <c r="K2156" s="15">
        <v>1600000</v>
      </c>
      <c r="L2156" s="5" t="str">
        <f t="shared" si="33"/>
        <v>9 - 14</v>
      </c>
    </row>
    <row r="2157" spans="3:12" hidden="1">
      <c r="C2157" t="s">
        <v>31</v>
      </c>
      <c r="D2157" t="s">
        <v>73</v>
      </c>
      <c r="E2157">
        <v>8</v>
      </c>
      <c r="F2157" t="s">
        <v>17</v>
      </c>
      <c r="G2157" t="s">
        <v>59</v>
      </c>
      <c r="H2157" t="s">
        <v>397</v>
      </c>
      <c r="I2157" s="3" t="s">
        <v>460</v>
      </c>
      <c r="J2157" t="s">
        <v>66</v>
      </c>
      <c r="K2157" s="15">
        <v>936886</v>
      </c>
      <c r="L2157" s="5" t="str">
        <f t="shared" si="33"/>
        <v>5  - 8</v>
      </c>
    </row>
    <row r="2158" spans="3:12" hidden="1">
      <c r="C2158" t="s">
        <v>31</v>
      </c>
      <c r="D2158" t="s">
        <v>56</v>
      </c>
      <c r="E2158">
        <v>5</v>
      </c>
      <c r="F2158" t="s">
        <v>17</v>
      </c>
      <c r="G2158" t="s">
        <v>57</v>
      </c>
      <c r="H2158" t="s">
        <v>397</v>
      </c>
      <c r="I2158" s="3" t="s">
        <v>106</v>
      </c>
      <c r="J2158" t="s">
        <v>54</v>
      </c>
      <c r="K2158" s="15">
        <v>1100000</v>
      </c>
      <c r="L2158" s="5" t="str">
        <f t="shared" si="33"/>
        <v>5  - 8</v>
      </c>
    </row>
    <row r="2159" spans="3:12" hidden="1">
      <c r="C2159" t="s">
        <v>31</v>
      </c>
      <c r="D2159" t="s">
        <v>55</v>
      </c>
      <c r="E2159">
        <v>3</v>
      </c>
      <c r="F2159" t="s">
        <v>17</v>
      </c>
      <c r="G2159" t="s">
        <v>59</v>
      </c>
      <c r="H2159" t="s">
        <v>397</v>
      </c>
      <c r="I2159" s="3" t="s">
        <v>461</v>
      </c>
      <c r="J2159" t="s">
        <v>66</v>
      </c>
      <c r="K2159" s="15">
        <v>955149</v>
      </c>
      <c r="L2159" s="5" t="str">
        <f t="shared" si="33"/>
        <v>0 - 4</v>
      </c>
    </row>
    <row r="2160" spans="3:12" hidden="1">
      <c r="C2160" t="s">
        <v>31</v>
      </c>
      <c r="D2160" t="s">
        <v>73</v>
      </c>
      <c r="E2160">
        <v>2</v>
      </c>
      <c r="F2160" t="s">
        <v>17</v>
      </c>
      <c r="G2160" t="s">
        <v>51</v>
      </c>
      <c r="H2160" t="s">
        <v>397</v>
      </c>
      <c r="I2160" s="3" t="s">
        <v>462</v>
      </c>
      <c r="J2160" t="s">
        <v>66</v>
      </c>
      <c r="K2160" s="15">
        <v>546000</v>
      </c>
      <c r="L2160" s="5" t="str">
        <f t="shared" si="33"/>
        <v>0 - 4</v>
      </c>
    </row>
    <row r="2161" spans="3:12" hidden="1">
      <c r="C2161" t="s">
        <v>31</v>
      </c>
      <c r="D2161" t="s">
        <v>55</v>
      </c>
      <c r="E2161">
        <v>2</v>
      </c>
      <c r="F2161" t="s">
        <v>17</v>
      </c>
      <c r="G2161" t="s">
        <v>51</v>
      </c>
      <c r="H2161" t="s">
        <v>397</v>
      </c>
      <c r="I2161" s="3" t="s">
        <v>69</v>
      </c>
      <c r="J2161" t="s">
        <v>54</v>
      </c>
      <c r="K2161" s="15">
        <v>750000</v>
      </c>
      <c r="L2161" s="5" t="str">
        <f t="shared" si="33"/>
        <v>0 - 4</v>
      </c>
    </row>
    <row r="2162" spans="3:12" hidden="1">
      <c r="C2162" t="s">
        <v>30</v>
      </c>
      <c r="D2162" t="s">
        <v>55</v>
      </c>
      <c r="E2162">
        <v>0</v>
      </c>
      <c r="F2162" t="s">
        <v>17</v>
      </c>
      <c r="G2162" t="s">
        <v>51</v>
      </c>
      <c r="H2162" t="s">
        <v>397</v>
      </c>
      <c r="I2162" s="3" t="s">
        <v>173</v>
      </c>
      <c r="J2162" t="s">
        <v>66</v>
      </c>
      <c r="K2162" s="15">
        <v>1250000</v>
      </c>
      <c r="L2162" s="5" t="str">
        <f t="shared" si="33"/>
        <v>0 - 4</v>
      </c>
    </row>
    <row r="2163" spans="3:12" hidden="1">
      <c r="C2163" t="s">
        <v>31</v>
      </c>
      <c r="D2163" t="s">
        <v>80</v>
      </c>
      <c r="E2163">
        <v>0</v>
      </c>
      <c r="F2163" t="s">
        <v>17</v>
      </c>
      <c r="G2163" t="s">
        <v>59</v>
      </c>
      <c r="H2163" t="s">
        <v>397</v>
      </c>
      <c r="I2163" s="3" t="s">
        <v>85</v>
      </c>
      <c r="J2163" t="s">
        <v>54</v>
      </c>
      <c r="K2163" s="15">
        <v>650000</v>
      </c>
      <c r="L2163" s="5" t="str">
        <f t="shared" si="33"/>
        <v>0 - 4</v>
      </c>
    </row>
    <row r="2164" spans="3:12" hidden="1">
      <c r="C2164" t="s">
        <v>31</v>
      </c>
      <c r="D2164" t="s">
        <v>55</v>
      </c>
      <c r="E2164">
        <v>30</v>
      </c>
      <c r="F2164" t="s">
        <v>18</v>
      </c>
      <c r="G2164" t="s">
        <v>59</v>
      </c>
      <c r="H2164" t="s">
        <v>397</v>
      </c>
      <c r="I2164" s="3" t="s">
        <v>239</v>
      </c>
      <c r="J2164" t="s">
        <v>54</v>
      </c>
      <c r="K2164" s="15">
        <v>1080000</v>
      </c>
      <c r="L2164" s="5" t="str">
        <f t="shared" si="33"/>
        <v>15 +</v>
      </c>
    </row>
    <row r="2165" spans="3:12" hidden="1">
      <c r="C2165" t="s">
        <v>31</v>
      </c>
      <c r="D2165" t="s">
        <v>55</v>
      </c>
      <c r="E2165">
        <v>23</v>
      </c>
      <c r="F2165" t="s">
        <v>18</v>
      </c>
      <c r="G2165" t="s">
        <v>51</v>
      </c>
      <c r="H2165" t="s">
        <v>397</v>
      </c>
      <c r="I2165" s="3" t="s">
        <v>71</v>
      </c>
      <c r="J2165" t="s">
        <v>54</v>
      </c>
      <c r="K2165" s="15">
        <v>820000</v>
      </c>
      <c r="L2165" s="5" t="str">
        <f t="shared" si="33"/>
        <v>15 +</v>
      </c>
    </row>
    <row r="2166" spans="3:12" hidden="1">
      <c r="C2166" t="s">
        <v>31</v>
      </c>
      <c r="D2166" t="s">
        <v>77</v>
      </c>
      <c r="E2166">
        <v>23</v>
      </c>
      <c r="F2166" t="s">
        <v>18</v>
      </c>
      <c r="G2166" t="s">
        <v>51</v>
      </c>
      <c r="H2166" t="s">
        <v>397</v>
      </c>
      <c r="I2166" s="3" t="s">
        <v>257</v>
      </c>
      <c r="J2166" t="s">
        <v>54</v>
      </c>
      <c r="K2166" s="15">
        <v>915000</v>
      </c>
      <c r="L2166" s="5" t="str">
        <f t="shared" si="33"/>
        <v>15 +</v>
      </c>
    </row>
    <row r="2167" spans="3:12" hidden="1">
      <c r="C2167" t="s">
        <v>31</v>
      </c>
      <c r="D2167" t="s">
        <v>91</v>
      </c>
      <c r="E2167">
        <v>23</v>
      </c>
      <c r="F2167" t="s">
        <v>18</v>
      </c>
      <c r="G2167" t="s">
        <v>51</v>
      </c>
      <c r="H2167" t="s">
        <v>397</v>
      </c>
      <c r="I2167" s="3" t="s">
        <v>235</v>
      </c>
      <c r="J2167" t="s">
        <v>66</v>
      </c>
      <c r="K2167" s="15">
        <v>1020000</v>
      </c>
      <c r="L2167" s="5" t="str">
        <f t="shared" si="33"/>
        <v>15 +</v>
      </c>
    </row>
    <row r="2168" spans="3:12" hidden="1">
      <c r="C2168" t="s">
        <v>31</v>
      </c>
      <c r="D2168" t="s">
        <v>49</v>
      </c>
      <c r="E2168">
        <v>20</v>
      </c>
      <c r="F2168" t="s">
        <v>18</v>
      </c>
      <c r="G2168" t="s">
        <v>51</v>
      </c>
      <c r="H2168" t="s">
        <v>397</v>
      </c>
      <c r="I2168" s="3" t="s">
        <v>116</v>
      </c>
      <c r="J2168" t="s">
        <v>54</v>
      </c>
      <c r="K2168" s="15">
        <v>800000</v>
      </c>
      <c r="L2168" s="5" t="str">
        <f t="shared" si="33"/>
        <v>15 +</v>
      </c>
    </row>
    <row r="2169" spans="3:12" hidden="1">
      <c r="C2169" t="s">
        <v>31</v>
      </c>
      <c r="D2169" t="s">
        <v>73</v>
      </c>
      <c r="E2169">
        <v>20</v>
      </c>
      <c r="F2169" t="s">
        <v>18</v>
      </c>
      <c r="G2169" t="s">
        <v>51</v>
      </c>
      <c r="H2169" t="s">
        <v>397</v>
      </c>
      <c r="I2169" s="3" t="s">
        <v>53</v>
      </c>
      <c r="J2169" t="s">
        <v>54</v>
      </c>
      <c r="K2169" s="15">
        <v>865000</v>
      </c>
      <c r="L2169" s="5" t="str">
        <f t="shared" si="33"/>
        <v>15 +</v>
      </c>
    </row>
    <row r="2170" spans="3:12" hidden="1">
      <c r="C2170" t="s">
        <v>31</v>
      </c>
      <c r="D2170" t="s">
        <v>77</v>
      </c>
      <c r="E2170">
        <v>18</v>
      </c>
      <c r="F2170" t="s">
        <v>18</v>
      </c>
      <c r="G2170" t="s">
        <v>51</v>
      </c>
      <c r="H2170" t="s">
        <v>397</v>
      </c>
      <c r="I2170" s="3" t="s">
        <v>463</v>
      </c>
      <c r="J2170" t="s">
        <v>54</v>
      </c>
      <c r="K2170" s="15">
        <v>916000</v>
      </c>
      <c r="L2170" s="5" t="str">
        <f t="shared" si="33"/>
        <v>15 +</v>
      </c>
    </row>
    <row r="2171" spans="3:12" hidden="1">
      <c r="C2171" t="s">
        <v>31</v>
      </c>
      <c r="D2171" t="s">
        <v>73</v>
      </c>
      <c r="E2171">
        <v>15</v>
      </c>
      <c r="F2171" t="s">
        <v>18</v>
      </c>
      <c r="G2171" t="s">
        <v>51</v>
      </c>
      <c r="H2171" t="s">
        <v>397</v>
      </c>
      <c r="I2171" s="3" t="s">
        <v>165</v>
      </c>
      <c r="J2171" t="s">
        <v>54</v>
      </c>
      <c r="K2171" s="15">
        <v>720000</v>
      </c>
      <c r="L2171" s="5" t="str">
        <f t="shared" si="33"/>
        <v>15 +</v>
      </c>
    </row>
    <row r="2172" spans="3:12" hidden="1">
      <c r="C2172" t="s">
        <v>31</v>
      </c>
      <c r="D2172" t="s">
        <v>73</v>
      </c>
      <c r="E2172">
        <v>15</v>
      </c>
      <c r="F2172" t="s">
        <v>18</v>
      </c>
      <c r="G2172" t="s">
        <v>51</v>
      </c>
      <c r="H2172" t="s">
        <v>397</v>
      </c>
      <c r="I2172" s="3" t="s">
        <v>72</v>
      </c>
      <c r="J2172" t="s">
        <v>54</v>
      </c>
      <c r="K2172" s="15">
        <v>850000</v>
      </c>
      <c r="L2172" s="5" t="str">
        <f t="shared" si="33"/>
        <v>15 +</v>
      </c>
    </row>
    <row r="2173" spans="3:12" hidden="1">
      <c r="C2173" t="s">
        <v>31</v>
      </c>
      <c r="D2173" t="s">
        <v>56</v>
      </c>
      <c r="E2173">
        <v>12</v>
      </c>
      <c r="F2173" t="s">
        <v>18</v>
      </c>
      <c r="G2173" t="s">
        <v>59</v>
      </c>
      <c r="H2173" t="s">
        <v>397</v>
      </c>
      <c r="I2173" s="3" t="s">
        <v>272</v>
      </c>
      <c r="J2173" t="s">
        <v>54</v>
      </c>
      <c r="K2173" s="15">
        <v>705000</v>
      </c>
      <c r="L2173" s="5" t="str">
        <f t="shared" si="33"/>
        <v>9 - 14</v>
      </c>
    </row>
    <row r="2174" spans="3:12" hidden="1">
      <c r="C2174" t="s">
        <v>31</v>
      </c>
      <c r="D2174" t="s">
        <v>55</v>
      </c>
      <c r="E2174">
        <v>12</v>
      </c>
      <c r="F2174" t="s">
        <v>18</v>
      </c>
      <c r="G2174" t="s">
        <v>59</v>
      </c>
      <c r="H2174" t="s">
        <v>397</v>
      </c>
      <c r="I2174" s="3" t="s">
        <v>110</v>
      </c>
      <c r="J2174" t="s">
        <v>54</v>
      </c>
      <c r="K2174" s="15">
        <v>1000000</v>
      </c>
      <c r="L2174" s="5" t="str">
        <f t="shared" si="33"/>
        <v>9 - 14</v>
      </c>
    </row>
    <row r="2175" spans="3:12" hidden="1">
      <c r="C2175" t="s">
        <v>31</v>
      </c>
      <c r="D2175" t="s">
        <v>80</v>
      </c>
      <c r="E2175">
        <v>10</v>
      </c>
      <c r="F2175" t="s">
        <v>18</v>
      </c>
      <c r="G2175" t="s">
        <v>51</v>
      </c>
      <c r="H2175" t="s">
        <v>397</v>
      </c>
      <c r="I2175" s="3" t="s">
        <v>159</v>
      </c>
      <c r="J2175" t="s">
        <v>54</v>
      </c>
      <c r="K2175" s="15">
        <v>680000</v>
      </c>
      <c r="L2175" s="5" t="str">
        <f t="shared" si="33"/>
        <v>9 - 14</v>
      </c>
    </row>
    <row r="2176" spans="3:12" hidden="1">
      <c r="C2176" t="s">
        <v>31</v>
      </c>
      <c r="D2176" t="s">
        <v>73</v>
      </c>
      <c r="E2176">
        <v>10</v>
      </c>
      <c r="F2176" t="s">
        <v>18</v>
      </c>
      <c r="G2176" t="s">
        <v>59</v>
      </c>
      <c r="H2176" t="s">
        <v>397</v>
      </c>
      <c r="I2176" s="3" t="s">
        <v>464</v>
      </c>
      <c r="J2176" t="s">
        <v>66</v>
      </c>
      <c r="K2176" s="15">
        <v>752000</v>
      </c>
      <c r="L2176" s="5" t="str">
        <f t="shared" si="33"/>
        <v>9 - 14</v>
      </c>
    </row>
    <row r="2177" spans="3:12" hidden="1">
      <c r="C2177" t="s">
        <v>31</v>
      </c>
      <c r="D2177" t="s">
        <v>73</v>
      </c>
      <c r="E2177">
        <v>9</v>
      </c>
      <c r="F2177" t="s">
        <v>18</v>
      </c>
      <c r="G2177" t="s">
        <v>51</v>
      </c>
      <c r="H2177" t="s">
        <v>397</v>
      </c>
      <c r="I2177" s="3" t="s">
        <v>130</v>
      </c>
      <c r="J2177" t="s">
        <v>54</v>
      </c>
      <c r="K2177" s="15">
        <v>950000</v>
      </c>
      <c r="L2177" s="5" t="str">
        <f t="shared" si="33"/>
        <v>9 - 14</v>
      </c>
    </row>
    <row r="2178" spans="3:12" hidden="1">
      <c r="C2178" t="s">
        <v>31</v>
      </c>
      <c r="D2178" t="s">
        <v>77</v>
      </c>
      <c r="E2178">
        <v>8</v>
      </c>
      <c r="F2178" t="s">
        <v>18</v>
      </c>
      <c r="G2178" t="s">
        <v>59</v>
      </c>
      <c r="H2178" t="s">
        <v>397</v>
      </c>
      <c r="I2178" s="3" t="s">
        <v>106</v>
      </c>
      <c r="J2178" t="s">
        <v>66</v>
      </c>
      <c r="K2178" s="15">
        <v>1100000</v>
      </c>
      <c r="L2178" s="5" t="str">
        <f t="shared" si="33"/>
        <v>5  - 8</v>
      </c>
    </row>
    <row r="2179" spans="3:12" hidden="1">
      <c r="C2179" t="s">
        <v>31</v>
      </c>
      <c r="D2179" t="s">
        <v>73</v>
      </c>
      <c r="E2179">
        <v>7</v>
      </c>
      <c r="F2179" t="s">
        <v>18</v>
      </c>
      <c r="G2179" t="s">
        <v>51</v>
      </c>
      <c r="H2179" t="s">
        <v>397</v>
      </c>
      <c r="I2179" s="3" t="s">
        <v>156</v>
      </c>
      <c r="J2179" t="s">
        <v>66</v>
      </c>
      <c r="K2179" s="15">
        <v>770000</v>
      </c>
      <c r="L2179" s="5" t="str">
        <f t="shared" ref="L2179:L2242" si="34">_xlfn.XLOOKUP(E2179,$P$2:$P$5,$O$2:$O$5,,1)</f>
        <v>5  - 8</v>
      </c>
    </row>
    <row r="2180" spans="3:12" hidden="1">
      <c r="C2180" t="s">
        <v>31</v>
      </c>
      <c r="D2180" t="s">
        <v>73</v>
      </c>
      <c r="E2180">
        <v>6</v>
      </c>
      <c r="F2180" t="s">
        <v>18</v>
      </c>
      <c r="G2180" t="s">
        <v>51</v>
      </c>
      <c r="H2180" t="s">
        <v>397</v>
      </c>
      <c r="I2180" s="3" t="s">
        <v>122</v>
      </c>
      <c r="J2180" t="s">
        <v>54</v>
      </c>
      <c r="K2180" s="15">
        <v>930000</v>
      </c>
      <c r="L2180" s="5" t="str">
        <f t="shared" si="34"/>
        <v>5  - 8</v>
      </c>
    </row>
    <row r="2181" spans="3:12" hidden="1">
      <c r="C2181" t="s">
        <v>31</v>
      </c>
      <c r="D2181" t="s">
        <v>55</v>
      </c>
      <c r="E2181">
        <v>5</v>
      </c>
      <c r="F2181" t="s">
        <v>18</v>
      </c>
      <c r="G2181" t="s">
        <v>51</v>
      </c>
      <c r="H2181" t="s">
        <v>397</v>
      </c>
      <c r="I2181" s="3" t="s">
        <v>85</v>
      </c>
      <c r="J2181" t="s">
        <v>54</v>
      </c>
      <c r="K2181" s="15">
        <v>650000</v>
      </c>
      <c r="L2181" s="5" t="str">
        <f t="shared" si="34"/>
        <v>5  - 8</v>
      </c>
    </row>
    <row r="2182" spans="3:12" hidden="1">
      <c r="C2182" t="s">
        <v>31</v>
      </c>
      <c r="D2182" t="s">
        <v>73</v>
      </c>
      <c r="E2182">
        <v>5</v>
      </c>
      <c r="F2182" t="s">
        <v>18</v>
      </c>
      <c r="G2182" t="s">
        <v>51</v>
      </c>
      <c r="H2182" t="s">
        <v>397</v>
      </c>
      <c r="I2182" s="3" t="s">
        <v>85</v>
      </c>
      <c r="J2182" t="s">
        <v>54</v>
      </c>
      <c r="K2182" s="15">
        <v>650000</v>
      </c>
      <c r="L2182" s="5" t="str">
        <f t="shared" si="34"/>
        <v>5  - 8</v>
      </c>
    </row>
    <row r="2183" spans="3:12" hidden="1">
      <c r="C2183" t="s">
        <v>31</v>
      </c>
      <c r="D2183" t="s">
        <v>73</v>
      </c>
      <c r="E2183">
        <v>5</v>
      </c>
      <c r="F2183" t="s">
        <v>18</v>
      </c>
      <c r="G2183" t="s">
        <v>51</v>
      </c>
      <c r="H2183" t="s">
        <v>397</v>
      </c>
      <c r="I2183" s="3" t="s">
        <v>69</v>
      </c>
      <c r="J2183" t="s">
        <v>54</v>
      </c>
      <c r="K2183" s="15">
        <v>750000</v>
      </c>
      <c r="L2183" s="5" t="str">
        <f t="shared" si="34"/>
        <v>5  - 8</v>
      </c>
    </row>
    <row r="2184" spans="3:12" hidden="1">
      <c r="C2184" t="s">
        <v>31</v>
      </c>
      <c r="D2184" t="s">
        <v>73</v>
      </c>
      <c r="E2184">
        <v>5</v>
      </c>
      <c r="F2184" t="s">
        <v>18</v>
      </c>
      <c r="G2184" t="s">
        <v>51</v>
      </c>
      <c r="H2184" t="s">
        <v>397</v>
      </c>
      <c r="I2184" s="3" t="s">
        <v>370</v>
      </c>
      <c r="J2184" t="s">
        <v>54</v>
      </c>
      <c r="K2184" s="15">
        <v>849000</v>
      </c>
      <c r="L2184" s="5" t="str">
        <f t="shared" si="34"/>
        <v>5  - 8</v>
      </c>
    </row>
    <row r="2185" spans="3:12" hidden="1">
      <c r="C2185" t="s">
        <v>31</v>
      </c>
      <c r="D2185" t="s">
        <v>73</v>
      </c>
      <c r="E2185">
        <v>5</v>
      </c>
      <c r="F2185" t="s">
        <v>18</v>
      </c>
      <c r="G2185" t="s">
        <v>59</v>
      </c>
      <c r="H2185" t="s">
        <v>397</v>
      </c>
      <c r="I2185" s="3" t="s">
        <v>104</v>
      </c>
      <c r="J2185" t="s">
        <v>66</v>
      </c>
      <c r="K2185" s="15">
        <v>1300000</v>
      </c>
      <c r="L2185" s="5" t="str">
        <f t="shared" si="34"/>
        <v>5  - 8</v>
      </c>
    </row>
    <row r="2186" spans="3:12" hidden="1">
      <c r="C2186" t="s">
        <v>31</v>
      </c>
      <c r="D2186" t="s">
        <v>56</v>
      </c>
      <c r="E2186">
        <v>4</v>
      </c>
      <c r="F2186" t="s">
        <v>18</v>
      </c>
      <c r="G2186" t="s">
        <v>51</v>
      </c>
      <c r="H2186" t="s">
        <v>397</v>
      </c>
      <c r="I2186" s="3" t="s">
        <v>465</v>
      </c>
      <c r="J2186" t="s">
        <v>54</v>
      </c>
      <c r="K2186" s="15">
        <v>565451</v>
      </c>
      <c r="L2186" s="5" t="str">
        <f t="shared" si="34"/>
        <v>0 - 4</v>
      </c>
    </row>
    <row r="2187" spans="3:12" hidden="1">
      <c r="C2187" t="s">
        <v>31</v>
      </c>
      <c r="D2187" t="s">
        <v>56</v>
      </c>
      <c r="E2187">
        <v>4</v>
      </c>
      <c r="F2187" t="s">
        <v>18</v>
      </c>
      <c r="G2187" t="s">
        <v>51</v>
      </c>
      <c r="H2187" t="s">
        <v>397</v>
      </c>
      <c r="I2187" s="3" t="s">
        <v>69</v>
      </c>
      <c r="J2187" t="s">
        <v>54</v>
      </c>
      <c r="K2187" s="15">
        <v>750000</v>
      </c>
      <c r="L2187" s="5" t="str">
        <f t="shared" si="34"/>
        <v>0 - 4</v>
      </c>
    </row>
    <row r="2188" spans="3:12" hidden="1">
      <c r="C2188" t="s">
        <v>31</v>
      </c>
      <c r="D2188" t="s">
        <v>73</v>
      </c>
      <c r="E2188">
        <v>4</v>
      </c>
      <c r="F2188" t="s">
        <v>18</v>
      </c>
      <c r="G2188" t="s">
        <v>59</v>
      </c>
      <c r="H2188" t="s">
        <v>397</v>
      </c>
      <c r="I2188" s="3" t="s">
        <v>233</v>
      </c>
      <c r="J2188" t="s">
        <v>66</v>
      </c>
      <c r="K2188" s="15">
        <v>830000</v>
      </c>
      <c r="L2188" s="5" t="str">
        <f t="shared" si="34"/>
        <v>0 - 4</v>
      </c>
    </row>
    <row r="2189" spans="3:12" hidden="1">
      <c r="C2189" t="s">
        <v>31</v>
      </c>
      <c r="D2189" t="s">
        <v>73</v>
      </c>
      <c r="E2189">
        <v>3</v>
      </c>
      <c r="F2189" t="s">
        <v>18</v>
      </c>
      <c r="G2189" t="s">
        <v>51</v>
      </c>
      <c r="H2189" t="s">
        <v>397</v>
      </c>
      <c r="I2189" s="3" t="s">
        <v>354</v>
      </c>
      <c r="J2189" t="s">
        <v>54</v>
      </c>
      <c r="K2189" s="15">
        <v>520000</v>
      </c>
      <c r="L2189" s="5" t="str">
        <f t="shared" si="34"/>
        <v>0 - 4</v>
      </c>
    </row>
    <row r="2190" spans="3:12" hidden="1">
      <c r="C2190" t="s">
        <v>31</v>
      </c>
      <c r="D2190" t="s">
        <v>77</v>
      </c>
      <c r="E2190">
        <v>3</v>
      </c>
      <c r="F2190" t="s">
        <v>18</v>
      </c>
      <c r="G2190" t="s">
        <v>51</v>
      </c>
      <c r="H2190" t="s">
        <v>397</v>
      </c>
      <c r="I2190" s="3" t="s">
        <v>81</v>
      </c>
      <c r="J2190" t="s">
        <v>66</v>
      </c>
      <c r="K2190" s="15">
        <v>640000</v>
      </c>
      <c r="L2190" s="5" t="str">
        <f t="shared" si="34"/>
        <v>0 - 4</v>
      </c>
    </row>
    <row r="2191" spans="3:12" hidden="1">
      <c r="C2191" t="s">
        <v>31</v>
      </c>
      <c r="D2191" t="s">
        <v>73</v>
      </c>
      <c r="E2191">
        <v>3</v>
      </c>
      <c r="F2191" t="s">
        <v>18</v>
      </c>
      <c r="G2191" t="s">
        <v>51</v>
      </c>
      <c r="H2191" t="s">
        <v>397</v>
      </c>
      <c r="I2191" s="3" t="s">
        <v>254</v>
      </c>
      <c r="J2191" t="s">
        <v>54</v>
      </c>
      <c r="K2191" s="15">
        <v>708000</v>
      </c>
      <c r="L2191" s="5" t="str">
        <f t="shared" si="34"/>
        <v>0 - 4</v>
      </c>
    </row>
    <row r="2192" spans="3:12" hidden="1">
      <c r="C2192" t="s">
        <v>31</v>
      </c>
      <c r="D2192" t="s">
        <v>73</v>
      </c>
      <c r="E2192">
        <v>3</v>
      </c>
      <c r="F2192" t="s">
        <v>18</v>
      </c>
      <c r="G2192" t="s">
        <v>57</v>
      </c>
      <c r="H2192" t="s">
        <v>397</v>
      </c>
      <c r="I2192" s="3" t="s">
        <v>165</v>
      </c>
      <c r="J2192" t="s">
        <v>54</v>
      </c>
      <c r="K2192" s="15">
        <v>720000</v>
      </c>
      <c r="L2192" s="5" t="str">
        <f t="shared" si="34"/>
        <v>0 - 4</v>
      </c>
    </row>
    <row r="2193" spans="3:12" hidden="1">
      <c r="C2193" t="s">
        <v>31</v>
      </c>
      <c r="D2193" t="s">
        <v>73</v>
      </c>
      <c r="E2193">
        <v>2</v>
      </c>
      <c r="F2193" t="s">
        <v>18</v>
      </c>
      <c r="G2193" t="s">
        <v>59</v>
      </c>
      <c r="H2193" t="s">
        <v>397</v>
      </c>
      <c r="I2193" s="3" t="s">
        <v>281</v>
      </c>
      <c r="J2193" t="s">
        <v>66</v>
      </c>
      <c r="K2193" s="15">
        <v>610000</v>
      </c>
      <c r="L2193" s="5" t="str">
        <f t="shared" si="34"/>
        <v>0 - 4</v>
      </c>
    </row>
    <row r="2194" spans="3:12" hidden="1">
      <c r="C2194" t="s">
        <v>31</v>
      </c>
      <c r="D2194" t="s">
        <v>73</v>
      </c>
      <c r="E2194">
        <v>1</v>
      </c>
      <c r="F2194" t="s">
        <v>18</v>
      </c>
      <c r="G2194" t="s">
        <v>51</v>
      </c>
      <c r="H2194" t="s">
        <v>397</v>
      </c>
      <c r="I2194" s="3" t="s">
        <v>226</v>
      </c>
      <c r="J2194" t="s">
        <v>54</v>
      </c>
      <c r="K2194" s="15">
        <v>585000</v>
      </c>
      <c r="L2194" s="5" t="str">
        <f t="shared" si="34"/>
        <v>0 - 4</v>
      </c>
    </row>
    <row r="2195" spans="3:12" hidden="1">
      <c r="C2195" t="s">
        <v>31</v>
      </c>
      <c r="D2195" t="s">
        <v>56</v>
      </c>
      <c r="E2195">
        <v>0</v>
      </c>
      <c r="F2195" t="s">
        <v>18</v>
      </c>
      <c r="G2195" t="s">
        <v>51</v>
      </c>
      <c r="H2195" t="s">
        <v>397</v>
      </c>
      <c r="I2195" s="3" t="s">
        <v>86</v>
      </c>
      <c r="J2195" t="s">
        <v>54</v>
      </c>
      <c r="K2195" s="15">
        <v>595000</v>
      </c>
      <c r="L2195" s="5" t="str">
        <f t="shared" si="34"/>
        <v>0 - 4</v>
      </c>
    </row>
    <row r="2196" spans="3:12" hidden="1">
      <c r="C2196" t="s">
        <v>31</v>
      </c>
      <c r="D2196" t="s">
        <v>55</v>
      </c>
      <c r="E2196">
        <v>25</v>
      </c>
      <c r="F2196" t="s">
        <v>14</v>
      </c>
      <c r="G2196" t="s">
        <v>51</v>
      </c>
      <c r="H2196" t="s">
        <v>397</v>
      </c>
      <c r="I2196" s="3" t="s">
        <v>148</v>
      </c>
      <c r="J2196" t="s">
        <v>54</v>
      </c>
      <c r="K2196" s="15">
        <v>1050000</v>
      </c>
      <c r="L2196" s="5" t="str">
        <f t="shared" si="34"/>
        <v>15 +</v>
      </c>
    </row>
    <row r="2197" spans="3:12" hidden="1">
      <c r="C2197" t="s">
        <v>31</v>
      </c>
      <c r="D2197" t="s">
        <v>55</v>
      </c>
      <c r="E2197">
        <v>24</v>
      </c>
      <c r="F2197" t="s">
        <v>14</v>
      </c>
      <c r="G2197" t="s">
        <v>51</v>
      </c>
      <c r="H2197" t="s">
        <v>397</v>
      </c>
      <c r="I2197" s="3" t="s">
        <v>148</v>
      </c>
      <c r="J2197" t="s">
        <v>66</v>
      </c>
      <c r="K2197" s="15">
        <v>1050000</v>
      </c>
      <c r="L2197" s="5" t="str">
        <f t="shared" si="34"/>
        <v>15 +</v>
      </c>
    </row>
    <row r="2198" spans="3:12" hidden="1">
      <c r="C2198" t="s">
        <v>31</v>
      </c>
      <c r="D2198" t="s">
        <v>55</v>
      </c>
      <c r="E2198">
        <v>22</v>
      </c>
      <c r="F2198" t="s">
        <v>14</v>
      </c>
      <c r="G2198" t="s">
        <v>59</v>
      </c>
      <c r="H2198" t="s">
        <v>397</v>
      </c>
      <c r="I2198" s="3" t="s">
        <v>144</v>
      </c>
      <c r="J2198" t="s">
        <v>66</v>
      </c>
      <c r="K2198" s="15">
        <v>970000</v>
      </c>
      <c r="L2198" s="5" t="str">
        <f t="shared" si="34"/>
        <v>15 +</v>
      </c>
    </row>
    <row r="2199" spans="3:12" hidden="1">
      <c r="C2199" t="s">
        <v>31</v>
      </c>
      <c r="D2199" t="s">
        <v>121</v>
      </c>
      <c r="E2199">
        <v>20</v>
      </c>
      <c r="F2199" t="s">
        <v>14</v>
      </c>
      <c r="G2199" t="s">
        <v>51</v>
      </c>
      <c r="H2199" t="s">
        <v>397</v>
      </c>
      <c r="I2199" s="3" t="s">
        <v>110</v>
      </c>
      <c r="J2199" t="s">
        <v>54</v>
      </c>
      <c r="K2199" s="15">
        <v>1000000</v>
      </c>
      <c r="L2199" s="5" t="str">
        <f t="shared" si="34"/>
        <v>15 +</v>
      </c>
    </row>
    <row r="2200" spans="3:12" hidden="1">
      <c r="C2200" t="s">
        <v>31</v>
      </c>
      <c r="D2200" t="s">
        <v>55</v>
      </c>
      <c r="E2200">
        <v>19</v>
      </c>
      <c r="F2200" t="s">
        <v>14</v>
      </c>
      <c r="G2200" t="s">
        <v>51</v>
      </c>
      <c r="H2200" t="s">
        <v>397</v>
      </c>
      <c r="I2200" s="3" t="s">
        <v>110</v>
      </c>
      <c r="J2200" t="s">
        <v>66</v>
      </c>
      <c r="K2200" s="15">
        <v>1000000</v>
      </c>
      <c r="L2200" s="5" t="str">
        <f t="shared" si="34"/>
        <v>15 +</v>
      </c>
    </row>
    <row r="2201" spans="3:12" hidden="1">
      <c r="C2201" t="s">
        <v>31</v>
      </c>
      <c r="D2201" t="s">
        <v>125</v>
      </c>
      <c r="E2201">
        <v>19</v>
      </c>
      <c r="F2201" t="s">
        <v>14</v>
      </c>
      <c r="G2201" t="s">
        <v>59</v>
      </c>
      <c r="H2201" t="s">
        <v>397</v>
      </c>
      <c r="I2201" s="3" t="s">
        <v>146</v>
      </c>
      <c r="J2201" t="s">
        <v>66</v>
      </c>
      <c r="K2201" s="15">
        <v>1090000</v>
      </c>
      <c r="L2201" s="5" t="str">
        <f t="shared" si="34"/>
        <v>15 +</v>
      </c>
    </row>
    <row r="2202" spans="3:12" hidden="1">
      <c r="C2202" t="s">
        <v>31</v>
      </c>
      <c r="D2202" t="s">
        <v>73</v>
      </c>
      <c r="E2202">
        <v>18</v>
      </c>
      <c r="F2202" t="s">
        <v>14</v>
      </c>
      <c r="G2202" t="s">
        <v>51</v>
      </c>
      <c r="H2202" t="s">
        <v>397</v>
      </c>
      <c r="I2202" s="3" t="s">
        <v>72</v>
      </c>
      <c r="J2202" t="s">
        <v>54</v>
      </c>
      <c r="K2202" s="15">
        <v>850000</v>
      </c>
      <c r="L2202" s="5" t="str">
        <f t="shared" si="34"/>
        <v>15 +</v>
      </c>
    </row>
    <row r="2203" spans="3:12" hidden="1">
      <c r="C2203" t="s">
        <v>31</v>
      </c>
      <c r="D2203" t="s">
        <v>55</v>
      </c>
      <c r="E2203">
        <v>17</v>
      </c>
      <c r="F2203" t="s">
        <v>14</v>
      </c>
      <c r="G2203" t="s">
        <v>51</v>
      </c>
      <c r="H2203" t="s">
        <v>397</v>
      </c>
      <c r="I2203" s="3" t="s">
        <v>129</v>
      </c>
      <c r="J2203" t="s">
        <v>66</v>
      </c>
      <c r="K2203" s="15">
        <v>1150000</v>
      </c>
      <c r="L2203" s="5" t="str">
        <f t="shared" si="34"/>
        <v>15 +</v>
      </c>
    </row>
    <row r="2204" spans="3:12" hidden="1">
      <c r="C2204" t="s">
        <v>31</v>
      </c>
      <c r="D2204" t="s">
        <v>77</v>
      </c>
      <c r="E2204">
        <v>16</v>
      </c>
      <c r="F2204" t="s">
        <v>14</v>
      </c>
      <c r="G2204" t="s">
        <v>59</v>
      </c>
      <c r="H2204" t="s">
        <v>397</v>
      </c>
      <c r="I2204" s="3" t="s">
        <v>466</v>
      </c>
      <c r="J2204" t="s">
        <v>54</v>
      </c>
      <c r="K2204" s="15">
        <v>831000</v>
      </c>
      <c r="L2204" s="5" t="str">
        <f t="shared" si="34"/>
        <v>15 +</v>
      </c>
    </row>
    <row r="2205" spans="3:12" hidden="1">
      <c r="C2205" t="s">
        <v>31</v>
      </c>
      <c r="D2205" t="s">
        <v>55</v>
      </c>
      <c r="E2205">
        <v>16</v>
      </c>
      <c r="F2205" t="s">
        <v>14</v>
      </c>
      <c r="G2205" t="s">
        <v>127</v>
      </c>
      <c r="H2205" t="s">
        <v>397</v>
      </c>
      <c r="I2205" s="3" t="s">
        <v>192</v>
      </c>
      <c r="J2205" t="s">
        <v>54</v>
      </c>
      <c r="K2205" s="15">
        <v>1600000</v>
      </c>
      <c r="L2205" s="5" t="str">
        <f t="shared" si="34"/>
        <v>15 +</v>
      </c>
    </row>
    <row r="2206" spans="3:12" hidden="1">
      <c r="C2206" t="s">
        <v>31</v>
      </c>
      <c r="D2206" t="s">
        <v>55</v>
      </c>
      <c r="E2206">
        <v>15</v>
      </c>
      <c r="F2206" t="s">
        <v>14</v>
      </c>
      <c r="G2206" t="s">
        <v>59</v>
      </c>
      <c r="H2206" t="s">
        <v>397</v>
      </c>
      <c r="I2206" s="3" t="s">
        <v>148</v>
      </c>
      <c r="J2206" t="s">
        <v>54</v>
      </c>
      <c r="K2206" s="15">
        <v>1050000</v>
      </c>
      <c r="L2206" s="5" t="str">
        <f t="shared" si="34"/>
        <v>15 +</v>
      </c>
    </row>
    <row r="2207" spans="3:12" hidden="1">
      <c r="C2207" t="s">
        <v>31</v>
      </c>
      <c r="D2207" t="s">
        <v>56</v>
      </c>
      <c r="E2207">
        <v>15</v>
      </c>
      <c r="F2207" t="s">
        <v>14</v>
      </c>
      <c r="G2207" t="s">
        <v>59</v>
      </c>
      <c r="H2207" t="s">
        <v>397</v>
      </c>
      <c r="I2207" s="3" t="s">
        <v>173</v>
      </c>
      <c r="J2207" t="s">
        <v>54</v>
      </c>
      <c r="K2207" s="15">
        <v>1250000</v>
      </c>
      <c r="L2207" s="5" t="str">
        <f t="shared" si="34"/>
        <v>15 +</v>
      </c>
    </row>
    <row r="2208" spans="3:12" hidden="1">
      <c r="C2208" t="s">
        <v>31</v>
      </c>
      <c r="D2208" t="s">
        <v>56</v>
      </c>
      <c r="E2208">
        <v>14</v>
      </c>
      <c r="F2208" t="s">
        <v>14</v>
      </c>
      <c r="G2208" t="s">
        <v>127</v>
      </c>
      <c r="H2208" t="s">
        <v>397</v>
      </c>
      <c r="I2208" s="3" t="s">
        <v>139</v>
      </c>
      <c r="J2208" t="s">
        <v>66</v>
      </c>
      <c r="K2208" s="15">
        <v>600000</v>
      </c>
      <c r="L2208" s="5" t="str">
        <f t="shared" si="34"/>
        <v>9 - 14</v>
      </c>
    </row>
    <row r="2209" spans="3:12" hidden="1">
      <c r="C2209" t="s">
        <v>31</v>
      </c>
      <c r="D2209" t="s">
        <v>55</v>
      </c>
      <c r="E2209">
        <v>14</v>
      </c>
      <c r="F2209" t="s">
        <v>14</v>
      </c>
      <c r="G2209" t="s">
        <v>59</v>
      </c>
      <c r="H2209" t="s">
        <v>397</v>
      </c>
      <c r="I2209" s="3" t="s">
        <v>61</v>
      </c>
      <c r="J2209" t="s">
        <v>54</v>
      </c>
      <c r="K2209" s="15">
        <v>1200000</v>
      </c>
      <c r="L2209" s="5" t="str">
        <f t="shared" si="34"/>
        <v>9 - 14</v>
      </c>
    </row>
    <row r="2210" spans="3:12" hidden="1">
      <c r="C2210" t="s">
        <v>31</v>
      </c>
      <c r="D2210" t="s">
        <v>55</v>
      </c>
      <c r="E2210">
        <v>14</v>
      </c>
      <c r="F2210" t="s">
        <v>14</v>
      </c>
      <c r="G2210" t="s">
        <v>59</v>
      </c>
      <c r="H2210" t="s">
        <v>397</v>
      </c>
      <c r="I2210" s="3" t="s">
        <v>205</v>
      </c>
      <c r="J2210" t="s">
        <v>66</v>
      </c>
      <c r="K2210" s="15">
        <v>2500000</v>
      </c>
      <c r="L2210" s="5" t="str">
        <f t="shared" si="34"/>
        <v>9 - 14</v>
      </c>
    </row>
    <row r="2211" spans="3:12" hidden="1">
      <c r="C2211" t="s">
        <v>31</v>
      </c>
      <c r="D2211" t="s">
        <v>73</v>
      </c>
      <c r="E2211">
        <v>13</v>
      </c>
      <c r="F2211" t="s">
        <v>14</v>
      </c>
      <c r="G2211" t="s">
        <v>51</v>
      </c>
      <c r="H2211" t="s">
        <v>397</v>
      </c>
      <c r="I2211" s="3" t="s">
        <v>181</v>
      </c>
      <c r="J2211" t="s">
        <v>54</v>
      </c>
      <c r="K2211" s="15">
        <v>1030000</v>
      </c>
      <c r="L2211" s="5" t="str">
        <f t="shared" si="34"/>
        <v>9 - 14</v>
      </c>
    </row>
    <row r="2212" spans="3:12" hidden="1">
      <c r="C2212" t="s">
        <v>31</v>
      </c>
      <c r="D2212" t="s">
        <v>73</v>
      </c>
      <c r="E2212">
        <v>12</v>
      </c>
      <c r="F2212" t="s">
        <v>14</v>
      </c>
      <c r="G2212" t="s">
        <v>59</v>
      </c>
      <c r="H2212" t="s">
        <v>397</v>
      </c>
      <c r="I2212" s="3" t="s">
        <v>421</v>
      </c>
      <c r="J2212" t="s">
        <v>54</v>
      </c>
      <c r="K2212" s="15">
        <v>937000</v>
      </c>
      <c r="L2212" s="5" t="str">
        <f t="shared" si="34"/>
        <v>9 - 14</v>
      </c>
    </row>
    <row r="2213" spans="3:12" hidden="1">
      <c r="C2213" t="s">
        <v>31</v>
      </c>
      <c r="D2213" t="s">
        <v>73</v>
      </c>
      <c r="E2213">
        <v>12</v>
      </c>
      <c r="F2213" t="s">
        <v>14</v>
      </c>
      <c r="G2213" t="s">
        <v>59</v>
      </c>
      <c r="H2213" t="s">
        <v>397</v>
      </c>
      <c r="I2213" s="3" t="s">
        <v>61</v>
      </c>
      <c r="J2213" t="s">
        <v>66</v>
      </c>
      <c r="K2213" s="15">
        <v>1200000</v>
      </c>
      <c r="L2213" s="5" t="str">
        <f t="shared" si="34"/>
        <v>9 - 14</v>
      </c>
    </row>
    <row r="2214" spans="3:12" hidden="1">
      <c r="C2214" t="s">
        <v>31</v>
      </c>
      <c r="D2214" t="s">
        <v>55</v>
      </c>
      <c r="E2214">
        <v>12</v>
      </c>
      <c r="F2214" t="s">
        <v>14</v>
      </c>
      <c r="G2214" t="s">
        <v>59</v>
      </c>
      <c r="H2214" t="s">
        <v>397</v>
      </c>
      <c r="I2214" s="3" t="s">
        <v>61</v>
      </c>
      <c r="J2214" t="s">
        <v>54</v>
      </c>
      <c r="K2214" s="15">
        <v>1200000</v>
      </c>
      <c r="L2214" s="5" t="str">
        <f t="shared" si="34"/>
        <v>9 - 14</v>
      </c>
    </row>
    <row r="2215" spans="3:12" hidden="1">
      <c r="C2215" t="s">
        <v>31</v>
      </c>
      <c r="D2215" t="s">
        <v>55</v>
      </c>
      <c r="E2215">
        <v>11</v>
      </c>
      <c r="F2215" t="s">
        <v>14</v>
      </c>
      <c r="G2215" t="s">
        <v>51</v>
      </c>
      <c r="H2215" t="s">
        <v>397</v>
      </c>
      <c r="I2215" s="3" t="s">
        <v>364</v>
      </c>
      <c r="J2215" t="s">
        <v>54</v>
      </c>
      <c r="K2215" s="15">
        <v>866000</v>
      </c>
      <c r="L2215" s="5" t="str">
        <f t="shared" si="34"/>
        <v>9 - 14</v>
      </c>
    </row>
    <row r="2216" spans="3:12" hidden="1">
      <c r="C2216" t="s">
        <v>31</v>
      </c>
      <c r="D2216" t="s">
        <v>77</v>
      </c>
      <c r="E2216">
        <v>10</v>
      </c>
      <c r="F2216" t="s">
        <v>14</v>
      </c>
      <c r="G2216" t="s">
        <v>59</v>
      </c>
      <c r="H2216" t="s">
        <v>397</v>
      </c>
      <c r="I2216" s="3" t="s">
        <v>223</v>
      </c>
      <c r="J2216" t="s">
        <v>54</v>
      </c>
      <c r="K2216" s="15">
        <v>790000</v>
      </c>
      <c r="L2216" s="5" t="str">
        <f t="shared" si="34"/>
        <v>9 - 14</v>
      </c>
    </row>
    <row r="2217" spans="3:12" hidden="1">
      <c r="C2217" t="s">
        <v>31</v>
      </c>
      <c r="D2217" t="s">
        <v>49</v>
      </c>
      <c r="E2217">
        <v>10</v>
      </c>
      <c r="F2217" t="s">
        <v>14</v>
      </c>
      <c r="G2217" t="s">
        <v>57</v>
      </c>
      <c r="H2217" t="s">
        <v>397</v>
      </c>
      <c r="I2217" s="3" t="s">
        <v>116</v>
      </c>
      <c r="J2217" t="s">
        <v>66</v>
      </c>
      <c r="K2217" s="15">
        <v>800000</v>
      </c>
      <c r="L2217" s="5" t="str">
        <f t="shared" si="34"/>
        <v>9 - 14</v>
      </c>
    </row>
    <row r="2218" spans="3:12" hidden="1">
      <c r="C2218" t="s">
        <v>31</v>
      </c>
      <c r="D2218" t="s">
        <v>56</v>
      </c>
      <c r="E2218">
        <v>10</v>
      </c>
      <c r="F2218" t="s">
        <v>14</v>
      </c>
      <c r="G2218" t="s">
        <v>59</v>
      </c>
      <c r="H2218" t="s">
        <v>397</v>
      </c>
      <c r="I2218" s="3" t="s">
        <v>467</v>
      </c>
      <c r="J2218" t="s">
        <v>66</v>
      </c>
      <c r="K2218" s="15">
        <v>976000</v>
      </c>
      <c r="L2218" s="5" t="str">
        <f t="shared" si="34"/>
        <v>9 - 14</v>
      </c>
    </row>
    <row r="2219" spans="3:12" hidden="1">
      <c r="C2219" t="s">
        <v>31</v>
      </c>
      <c r="D2219" t="s">
        <v>80</v>
      </c>
      <c r="E2219">
        <v>10</v>
      </c>
      <c r="F2219" t="s">
        <v>14</v>
      </c>
      <c r="G2219" t="s">
        <v>51</v>
      </c>
      <c r="H2219" t="s">
        <v>397</v>
      </c>
      <c r="I2219" s="3" t="s">
        <v>336</v>
      </c>
      <c r="J2219" t="s">
        <v>54</v>
      </c>
      <c r="K2219" s="15">
        <v>985000</v>
      </c>
      <c r="L2219" s="5" t="str">
        <f t="shared" si="34"/>
        <v>9 - 14</v>
      </c>
    </row>
    <row r="2220" spans="3:12" hidden="1">
      <c r="C2220" t="s">
        <v>31</v>
      </c>
      <c r="D2220" t="s">
        <v>77</v>
      </c>
      <c r="E2220">
        <v>8</v>
      </c>
      <c r="F2220" t="s">
        <v>14</v>
      </c>
      <c r="G2220" t="s">
        <v>51</v>
      </c>
      <c r="H2220" t="s">
        <v>397</v>
      </c>
      <c r="I2220" s="3" t="s">
        <v>133</v>
      </c>
      <c r="J2220" t="s">
        <v>54</v>
      </c>
      <c r="K2220" s="15">
        <v>960000</v>
      </c>
      <c r="L2220" s="5" t="str">
        <f t="shared" si="34"/>
        <v>5  - 8</v>
      </c>
    </row>
    <row r="2221" spans="3:12" hidden="1">
      <c r="C2221" t="s">
        <v>31</v>
      </c>
      <c r="D2221" t="s">
        <v>73</v>
      </c>
      <c r="E2221">
        <v>7</v>
      </c>
      <c r="F2221" t="s">
        <v>14</v>
      </c>
      <c r="G2221" t="s">
        <v>59</v>
      </c>
      <c r="H2221" t="s">
        <v>397</v>
      </c>
      <c r="I2221" s="3" t="s">
        <v>468</v>
      </c>
      <c r="J2221" t="s">
        <v>54</v>
      </c>
      <c r="K2221" s="15">
        <v>782000</v>
      </c>
      <c r="L2221" s="5" t="str">
        <f t="shared" si="34"/>
        <v>5  - 8</v>
      </c>
    </row>
    <row r="2222" spans="3:12" hidden="1">
      <c r="C2222" t="s">
        <v>31</v>
      </c>
      <c r="D2222" t="s">
        <v>73</v>
      </c>
      <c r="E2222">
        <v>7</v>
      </c>
      <c r="F2222" t="s">
        <v>14</v>
      </c>
      <c r="G2222" t="s">
        <v>59</v>
      </c>
      <c r="H2222" t="s">
        <v>397</v>
      </c>
      <c r="I2222" s="3" t="s">
        <v>360</v>
      </c>
      <c r="J2222" t="s">
        <v>66</v>
      </c>
      <c r="K2222" s="15">
        <v>1070000</v>
      </c>
      <c r="L2222" s="5" t="str">
        <f t="shared" si="34"/>
        <v>5  - 8</v>
      </c>
    </row>
    <row r="2223" spans="3:12" hidden="1">
      <c r="C2223" t="s">
        <v>31</v>
      </c>
      <c r="D2223" t="s">
        <v>73</v>
      </c>
      <c r="E2223">
        <v>7</v>
      </c>
      <c r="F2223" t="s">
        <v>14</v>
      </c>
      <c r="G2223" t="s">
        <v>59</v>
      </c>
      <c r="H2223" t="s">
        <v>397</v>
      </c>
      <c r="I2223" s="3" t="s">
        <v>61</v>
      </c>
      <c r="J2223" t="s">
        <v>54</v>
      </c>
      <c r="K2223" s="15">
        <v>1200000</v>
      </c>
      <c r="L2223" s="5" t="str">
        <f t="shared" si="34"/>
        <v>5  - 8</v>
      </c>
    </row>
    <row r="2224" spans="3:12" hidden="1">
      <c r="C2224" t="s">
        <v>31</v>
      </c>
      <c r="D2224" t="s">
        <v>73</v>
      </c>
      <c r="E2224">
        <v>7</v>
      </c>
      <c r="F2224" t="s">
        <v>14</v>
      </c>
      <c r="G2224" t="s">
        <v>59</v>
      </c>
      <c r="H2224" t="s">
        <v>397</v>
      </c>
      <c r="I2224" s="3" t="s">
        <v>184</v>
      </c>
      <c r="J2224" t="s">
        <v>54</v>
      </c>
      <c r="K2224" s="15">
        <v>1350000</v>
      </c>
      <c r="L2224" s="5" t="str">
        <f t="shared" si="34"/>
        <v>5  - 8</v>
      </c>
    </row>
    <row r="2225" spans="3:12" hidden="1">
      <c r="C2225" t="s">
        <v>31</v>
      </c>
      <c r="D2225" t="s">
        <v>55</v>
      </c>
      <c r="E2225">
        <v>7</v>
      </c>
      <c r="F2225" t="s">
        <v>14</v>
      </c>
      <c r="G2225" t="s">
        <v>127</v>
      </c>
      <c r="H2225" t="s">
        <v>397</v>
      </c>
      <c r="I2225" s="3" t="s">
        <v>196</v>
      </c>
      <c r="J2225" t="s">
        <v>54</v>
      </c>
      <c r="K2225" s="15">
        <v>1700000</v>
      </c>
      <c r="L2225" s="5" t="str">
        <f t="shared" si="34"/>
        <v>5  - 8</v>
      </c>
    </row>
    <row r="2226" spans="3:12" hidden="1">
      <c r="C2226" t="s">
        <v>31</v>
      </c>
      <c r="D2226" t="s">
        <v>73</v>
      </c>
      <c r="E2226">
        <v>6</v>
      </c>
      <c r="F2226" t="s">
        <v>14</v>
      </c>
      <c r="G2226" t="s">
        <v>59</v>
      </c>
      <c r="H2226" t="s">
        <v>397</v>
      </c>
      <c r="I2226" s="3" t="s">
        <v>156</v>
      </c>
      <c r="J2226" t="s">
        <v>66</v>
      </c>
      <c r="K2226" s="15">
        <v>770000</v>
      </c>
      <c r="L2226" s="5" t="str">
        <f t="shared" si="34"/>
        <v>5  - 8</v>
      </c>
    </row>
    <row r="2227" spans="3:12" hidden="1">
      <c r="C2227" t="s">
        <v>31</v>
      </c>
      <c r="D2227" t="s">
        <v>73</v>
      </c>
      <c r="E2227">
        <v>6</v>
      </c>
      <c r="F2227" t="s">
        <v>14</v>
      </c>
      <c r="G2227" t="s">
        <v>51</v>
      </c>
      <c r="H2227" t="s">
        <v>397</v>
      </c>
      <c r="I2227" s="3" t="s">
        <v>256</v>
      </c>
      <c r="J2227" t="s">
        <v>66</v>
      </c>
      <c r="K2227" s="15">
        <v>825000</v>
      </c>
      <c r="L2227" s="5" t="str">
        <f t="shared" si="34"/>
        <v>5  - 8</v>
      </c>
    </row>
    <row r="2228" spans="3:12" hidden="1">
      <c r="C2228" t="s">
        <v>31</v>
      </c>
      <c r="D2228" t="s">
        <v>77</v>
      </c>
      <c r="E2228">
        <v>6</v>
      </c>
      <c r="F2228" t="s">
        <v>14</v>
      </c>
      <c r="G2228" t="s">
        <v>59</v>
      </c>
      <c r="H2228" t="s">
        <v>397</v>
      </c>
      <c r="I2228" s="3" t="s">
        <v>72</v>
      </c>
      <c r="J2228" t="s">
        <v>54</v>
      </c>
      <c r="K2228" s="15">
        <v>850000</v>
      </c>
      <c r="L2228" s="5" t="str">
        <f t="shared" si="34"/>
        <v>5  - 8</v>
      </c>
    </row>
    <row r="2229" spans="3:12" hidden="1">
      <c r="C2229" t="s">
        <v>31</v>
      </c>
      <c r="D2229" t="s">
        <v>73</v>
      </c>
      <c r="E2229">
        <v>6</v>
      </c>
      <c r="F2229" t="s">
        <v>14</v>
      </c>
      <c r="G2229" t="s">
        <v>59</v>
      </c>
      <c r="H2229" t="s">
        <v>397</v>
      </c>
      <c r="I2229" s="3" t="s">
        <v>79</v>
      </c>
      <c r="J2229" t="s">
        <v>54</v>
      </c>
      <c r="K2229" s="15">
        <v>900000</v>
      </c>
      <c r="L2229" s="5" t="str">
        <f t="shared" si="34"/>
        <v>5  - 8</v>
      </c>
    </row>
    <row r="2230" spans="3:12" hidden="1">
      <c r="C2230" t="s">
        <v>31</v>
      </c>
      <c r="D2230" t="s">
        <v>55</v>
      </c>
      <c r="E2230">
        <v>6</v>
      </c>
      <c r="F2230" t="s">
        <v>14</v>
      </c>
      <c r="G2230" t="s">
        <v>51</v>
      </c>
      <c r="H2230" t="s">
        <v>397</v>
      </c>
      <c r="I2230" s="3" t="s">
        <v>98</v>
      </c>
      <c r="J2230" t="s">
        <v>66</v>
      </c>
      <c r="K2230" s="15">
        <v>920000</v>
      </c>
      <c r="L2230" s="5" t="str">
        <f t="shared" si="34"/>
        <v>5  - 8</v>
      </c>
    </row>
    <row r="2231" spans="3:12" hidden="1">
      <c r="C2231" t="s">
        <v>31</v>
      </c>
      <c r="D2231" t="s">
        <v>55</v>
      </c>
      <c r="E2231">
        <v>6</v>
      </c>
      <c r="F2231" t="s">
        <v>14</v>
      </c>
      <c r="G2231" t="s">
        <v>59</v>
      </c>
      <c r="H2231" t="s">
        <v>397</v>
      </c>
      <c r="I2231" s="3" t="s">
        <v>173</v>
      </c>
      <c r="J2231" t="s">
        <v>54</v>
      </c>
      <c r="K2231" s="15">
        <v>1250000</v>
      </c>
      <c r="L2231" s="5" t="str">
        <f t="shared" si="34"/>
        <v>5  - 8</v>
      </c>
    </row>
    <row r="2232" spans="3:12" hidden="1">
      <c r="C2232" t="s">
        <v>30</v>
      </c>
      <c r="D2232" t="s">
        <v>73</v>
      </c>
      <c r="E2232">
        <v>5</v>
      </c>
      <c r="F2232" t="s">
        <v>14</v>
      </c>
      <c r="G2232" t="s">
        <v>51</v>
      </c>
      <c r="H2232" t="s">
        <v>397</v>
      </c>
      <c r="I2232" s="3" t="s">
        <v>79</v>
      </c>
      <c r="J2232" t="s">
        <v>54</v>
      </c>
      <c r="K2232" s="15">
        <v>900000</v>
      </c>
      <c r="L2232" s="5" t="str">
        <f t="shared" si="34"/>
        <v>5  - 8</v>
      </c>
    </row>
    <row r="2233" spans="3:12" hidden="1">
      <c r="C2233" t="s">
        <v>31</v>
      </c>
      <c r="D2233" t="s">
        <v>77</v>
      </c>
      <c r="E2233">
        <v>5</v>
      </c>
      <c r="F2233" t="s">
        <v>14</v>
      </c>
      <c r="G2233" t="s">
        <v>59</v>
      </c>
      <c r="H2233" t="s">
        <v>397</v>
      </c>
      <c r="I2233" s="3" t="s">
        <v>226</v>
      </c>
      <c r="J2233" t="s">
        <v>66</v>
      </c>
      <c r="K2233" s="15">
        <v>585000</v>
      </c>
      <c r="L2233" s="5" t="str">
        <f t="shared" si="34"/>
        <v>5  - 8</v>
      </c>
    </row>
    <row r="2234" spans="3:12" hidden="1">
      <c r="C2234" t="s">
        <v>31</v>
      </c>
      <c r="D2234" t="s">
        <v>55</v>
      </c>
      <c r="E2234">
        <v>5</v>
      </c>
      <c r="F2234" t="s">
        <v>14</v>
      </c>
      <c r="G2234" t="s">
        <v>51</v>
      </c>
      <c r="H2234" t="s">
        <v>397</v>
      </c>
      <c r="I2234" s="3" t="s">
        <v>469</v>
      </c>
      <c r="J2234" t="s">
        <v>54</v>
      </c>
      <c r="K2234" s="15">
        <v>782408</v>
      </c>
      <c r="L2234" s="5" t="str">
        <f t="shared" si="34"/>
        <v>5  - 8</v>
      </c>
    </row>
    <row r="2235" spans="3:12" hidden="1">
      <c r="C2235" t="s">
        <v>31</v>
      </c>
      <c r="D2235" t="s">
        <v>73</v>
      </c>
      <c r="E2235">
        <v>5</v>
      </c>
      <c r="F2235" t="s">
        <v>14</v>
      </c>
      <c r="G2235" t="s">
        <v>51</v>
      </c>
      <c r="H2235" t="s">
        <v>397</v>
      </c>
      <c r="I2235" s="3" t="s">
        <v>116</v>
      </c>
      <c r="J2235" t="s">
        <v>66</v>
      </c>
      <c r="K2235" s="15">
        <v>800000</v>
      </c>
      <c r="L2235" s="5" t="str">
        <f t="shared" si="34"/>
        <v>5  - 8</v>
      </c>
    </row>
    <row r="2236" spans="3:12" hidden="1">
      <c r="C2236" t="s">
        <v>31</v>
      </c>
      <c r="D2236" t="s">
        <v>73</v>
      </c>
      <c r="E2236">
        <v>5</v>
      </c>
      <c r="F2236" t="s">
        <v>14</v>
      </c>
      <c r="G2236" t="s">
        <v>51</v>
      </c>
      <c r="H2236" t="s">
        <v>397</v>
      </c>
      <c r="I2236" s="3" t="s">
        <v>135</v>
      </c>
      <c r="J2236" t="s">
        <v>54</v>
      </c>
      <c r="K2236" s="15">
        <v>840000</v>
      </c>
      <c r="L2236" s="5" t="str">
        <f t="shared" si="34"/>
        <v>5  - 8</v>
      </c>
    </row>
    <row r="2237" spans="3:12" hidden="1">
      <c r="C2237" t="s">
        <v>31</v>
      </c>
      <c r="D2237" t="s">
        <v>55</v>
      </c>
      <c r="E2237">
        <v>5</v>
      </c>
      <c r="F2237" t="s">
        <v>14</v>
      </c>
      <c r="G2237" t="s">
        <v>59</v>
      </c>
      <c r="H2237" t="s">
        <v>397</v>
      </c>
      <c r="I2237" s="3" t="s">
        <v>166</v>
      </c>
      <c r="J2237" t="s">
        <v>66</v>
      </c>
      <c r="K2237" s="15">
        <v>890000</v>
      </c>
      <c r="L2237" s="5" t="str">
        <f t="shared" si="34"/>
        <v>5  - 8</v>
      </c>
    </row>
    <row r="2238" spans="3:12" hidden="1">
      <c r="C2238" t="s">
        <v>31</v>
      </c>
      <c r="D2238" t="s">
        <v>73</v>
      </c>
      <c r="E2238">
        <v>5</v>
      </c>
      <c r="F2238" t="s">
        <v>14</v>
      </c>
      <c r="G2238" t="s">
        <v>51</v>
      </c>
      <c r="H2238" t="s">
        <v>397</v>
      </c>
      <c r="I2238" s="3" t="s">
        <v>79</v>
      </c>
      <c r="J2238" t="s">
        <v>54</v>
      </c>
      <c r="K2238" s="15">
        <v>900000</v>
      </c>
      <c r="L2238" s="5" t="str">
        <f t="shared" si="34"/>
        <v>5  - 8</v>
      </c>
    </row>
    <row r="2239" spans="3:12" hidden="1">
      <c r="C2239" t="s">
        <v>31</v>
      </c>
      <c r="D2239" t="s">
        <v>73</v>
      </c>
      <c r="E2239">
        <v>5</v>
      </c>
      <c r="F2239" t="s">
        <v>14</v>
      </c>
      <c r="G2239" t="s">
        <v>59</v>
      </c>
      <c r="H2239" t="s">
        <v>397</v>
      </c>
      <c r="I2239" s="3" t="s">
        <v>126</v>
      </c>
      <c r="J2239" t="s">
        <v>54</v>
      </c>
      <c r="K2239" s="15">
        <v>925000</v>
      </c>
      <c r="L2239" s="5" t="str">
        <f t="shared" si="34"/>
        <v>5  - 8</v>
      </c>
    </row>
    <row r="2240" spans="3:12" hidden="1">
      <c r="C2240" t="s">
        <v>31</v>
      </c>
      <c r="D2240" t="s">
        <v>55</v>
      </c>
      <c r="E2240">
        <v>5</v>
      </c>
      <c r="F2240" t="s">
        <v>14</v>
      </c>
      <c r="G2240" t="s">
        <v>51</v>
      </c>
      <c r="H2240" t="s">
        <v>397</v>
      </c>
      <c r="I2240" s="3" t="s">
        <v>106</v>
      </c>
      <c r="J2240" t="s">
        <v>54</v>
      </c>
      <c r="K2240" s="15">
        <v>1100000</v>
      </c>
      <c r="L2240" s="5" t="str">
        <f t="shared" si="34"/>
        <v>5  - 8</v>
      </c>
    </row>
    <row r="2241" spans="3:12" hidden="1">
      <c r="C2241" t="s">
        <v>31</v>
      </c>
      <c r="D2241" t="s">
        <v>55</v>
      </c>
      <c r="E2241">
        <v>5</v>
      </c>
      <c r="F2241" t="s">
        <v>14</v>
      </c>
      <c r="G2241" t="s">
        <v>59</v>
      </c>
      <c r="H2241" t="s">
        <v>397</v>
      </c>
      <c r="I2241" s="3" t="s">
        <v>61</v>
      </c>
      <c r="J2241" t="s">
        <v>66</v>
      </c>
      <c r="K2241" s="15">
        <v>1200000</v>
      </c>
      <c r="L2241" s="5" t="str">
        <f t="shared" si="34"/>
        <v>5  - 8</v>
      </c>
    </row>
    <row r="2242" spans="3:12" hidden="1">
      <c r="C2242" t="s">
        <v>31</v>
      </c>
      <c r="D2242" t="s">
        <v>73</v>
      </c>
      <c r="E2242">
        <v>4</v>
      </c>
      <c r="F2242" t="s">
        <v>14</v>
      </c>
      <c r="G2242" t="s">
        <v>51</v>
      </c>
      <c r="H2242" t="s">
        <v>397</v>
      </c>
      <c r="I2242" s="3" t="s">
        <v>470</v>
      </c>
      <c r="J2242" t="s">
        <v>54</v>
      </c>
      <c r="K2242" s="15">
        <v>565000</v>
      </c>
      <c r="L2242" s="5" t="str">
        <f t="shared" si="34"/>
        <v>0 - 4</v>
      </c>
    </row>
    <row r="2243" spans="3:12" hidden="1">
      <c r="C2243" t="s">
        <v>31</v>
      </c>
      <c r="D2243" t="s">
        <v>73</v>
      </c>
      <c r="E2243">
        <v>4</v>
      </c>
      <c r="F2243" t="s">
        <v>14</v>
      </c>
      <c r="G2243" t="s">
        <v>51</v>
      </c>
      <c r="H2243" t="s">
        <v>397</v>
      </c>
      <c r="I2243" s="3" t="s">
        <v>85</v>
      </c>
      <c r="J2243" t="s">
        <v>54</v>
      </c>
      <c r="K2243" s="15">
        <v>650000</v>
      </c>
      <c r="L2243" s="5" t="str">
        <f t="shared" ref="L2243:L2306" si="35">_xlfn.XLOOKUP(E2243,$P$2:$P$5,$O$2:$O$5,,1)</f>
        <v>0 - 4</v>
      </c>
    </row>
    <row r="2244" spans="3:12" hidden="1">
      <c r="C2244" t="s">
        <v>31</v>
      </c>
      <c r="D2244" t="s">
        <v>73</v>
      </c>
      <c r="E2244">
        <v>4</v>
      </c>
      <c r="F2244" t="s">
        <v>14</v>
      </c>
      <c r="G2244" t="s">
        <v>51</v>
      </c>
      <c r="H2244" t="s">
        <v>397</v>
      </c>
      <c r="I2244" s="3" t="s">
        <v>159</v>
      </c>
      <c r="J2244" t="s">
        <v>54</v>
      </c>
      <c r="K2244" s="15">
        <v>680000</v>
      </c>
      <c r="L2244" s="5" t="str">
        <f t="shared" si="35"/>
        <v>0 - 4</v>
      </c>
    </row>
    <row r="2245" spans="3:12" hidden="1">
      <c r="C2245" t="s">
        <v>31</v>
      </c>
      <c r="D2245" t="s">
        <v>73</v>
      </c>
      <c r="E2245">
        <v>4</v>
      </c>
      <c r="F2245" t="s">
        <v>14</v>
      </c>
      <c r="G2245" t="s">
        <v>59</v>
      </c>
      <c r="H2245" t="s">
        <v>397</v>
      </c>
      <c r="I2245" s="3" t="s">
        <v>116</v>
      </c>
      <c r="J2245" t="s">
        <v>54</v>
      </c>
      <c r="K2245" s="15">
        <v>800000</v>
      </c>
      <c r="L2245" s="5" t="str">
        <f t="shared" si="35"/>
        <v>0 - 4</v>
      </c>
    </row>
    <row r="2246" spans="3:12" hidden="1">
      <c r="C2246" t="s">
        <v>31</v>
      </c>
      <c r="D2246" t="s">
        <v>56</v>
      </c>
      <c r="E2246">
        <v>4</v>
      </c>
      <c r="F2246" t="s">
        <v>14</v>
      </c>
      <c r="G2246" t="s">
        <v>59</v>
      </c>
      <c r="H2246" t="s">
        <v>397</v>
      </c>
      <c r="I2246" s="3" t="s">
        <v>72</v>
      </c>
      <c r="J2246" t="s">
        <v>54</v>
      </c>
      <c r="K2246" s="15">
        <v>850000</v>
      </c>
      <c r="L2246" s="5" t="str">
        <f t="shared" si="35"/>
        <v>0 - 4</v>
      </c>
    </row>
    <row r="2247" spans="3:12" hidden="1">
      <c r="C2247" t="s">
        <v>31</v>
      </c>
      <c r="D2247" t="s">
        <v>55</v>
      </c>
      <c r="E2247">
        <v>4</v>
      </c>
      <c r="F2247" t="s">
        <v>14</v>
      </c>
      <c r="G2247" t="s">
        <v>51</v>
      </c>
      <c r="H2247" t="s">
        <v>397</v>
      </c>
      <c r="I2247" s="3" t="s">
        <v>471</v>
      </c>
      <c r="J2247" t="s">
        <v>54</v>
      </c>
      <c r="K2247" s="15">
        <v>905625</v>
      </c>
      <c r="L2247" s="5" t="str">
        <f t="shared" si="35"/>
        <v>0 - 4</v>
      </c>
    </row>
    <row r="2248" spans="3:12" hidden="1">
      <c r="C2248" t="s">
        <v>31</v>
      </c>
      <c r="D2248" t="s">
        <v>73</v>
      </c>
      <c r="E2248">
        <v>4</v>
      </c>
      <c r="F2248" t="s">
        <v>14</v>
      </c>
      <c r="G2248" t="s">
        <v>51</v>
      </c>
      <c r="H2248" t="s">
        <v>397</v>
      </c>
      <c r="I2248" s="3" t="s">
        <v>148</v>
      </c>
      <c r="J2248" t="s">
        <v>54</v>
      </c>
      <c r="K2248" s="15">
        <v>1050000</v>
      </c>
      <c r="L2248" s="5" t="str">
        <f t="shared" si="35"/>
        <v>0 - 4</v>
      </c>
    </row>
    <row r="2249" spans="3:12" hidden="1">
      <c r="C2249" t="s">
        <v>31</v>
      </c>
      <c r="D2249" t="s">
        <v>55</v>
      </c>
      <c r="E2249">
        <v>4</v>
      </c>
      <c r="F2249" t="s">
        <v>14</v>
      </c>
      <c r="G2249" t="s">
        <v>59</v>
      </c>
      <c r="H2249" t="s">
        <v>397</v>
      </c>
      <c r="I2249" s="3" t="s">
        <v>148</v>
      </c>
      <c r="J2249" t="s">
        <v>54</v>
      </c>
      <c r="K2249" s="15">
        <v>1050000</v>
      </c>
      <c r="L2249" s="5" t="str">
        <f t="shared" si="35"/>
        <v>0 - 4</v>
      </c>
    </row>
    <row r="2250" spans="3:12" hidden="1">
      <c r="C2250" t="s">
        <v>31</v>
      </c>
      <c r="D2250" t="s">
        <v>73</v>
      </c>
      <c r="E2250">
        <v>4</v>
      </c>
      <c r="F2250" t="s">
        <v>14</v>
      </c>
      <c r="G2250" t="s">
        <v>59</v>
      </c>
      <c r="H2250" t="s">
        <v>397</v>
      </c>
      <c r="I2250" s="3" t="s">
        <v>106</v>
      </c>
      <c r="J2250" t="s">
        <v>54</v>
      </c>
      <c r="K2250" s="15">
        <v>1100000</v>
      </c>
      <c r="L2250" s="5" t="str">
        <f t="shared" si="35"/>
        <v>0 - 4</v>
      </c>
    </row>
    <row r="2251" spans="3:12" hidden="1">
      <c r="C2251" t="s">
        <v>31</v>
      </c>
      <c r="D2251" t="s">
        <v>73</v>
      </c>
      <c r="E2251">
        <v>3</v>
      </c>
      <c r="F2251" t="s">
        <v>14</v>
      </c>
      <c r="G2251" t="s">
        <v>51</v>
      </c>
      <c r="H2251" t="s">
        <v>397</v>
      </c>
      <c r="I2251" s="3" t="s">
        <v>119</v>
      </c>
      <c r="J2251" t="s">
        <v>54</v>
      </c>
      <c r="K2251" s="15">
        <v>630000</v>
      </c>
      <c r="L2251" s="5" t="str">
        <f t="shared" si="35"/>
        <v>0 - 4</v>
      </c>
    </row>
    <row r="2252" spans="3:12" hidden="1">
      <c r="C2252" t="s">
        <v>31</v>
      </c>
      <c r="D2252" t="s">
        <v>73</v>
      </c>
      <c r="E2252">
        <v>3</v>
      </c>
      <c r="F2252" t="s">
        <v>14</v>
      </c>
      <c r="G2252" t="s">
        <v>51</v>
      </c>
      <c r="H2252" t="s">
        <v>397</v>
      </c>
      <c r="I2252" s="3" t="s">
        <v>108</v>
      </c>
      <c r="J2252" t="s">
        <v>66</v>
      </c>
      <c r="K2252" s="15">
        <v>700000</v>
      </c>
      <c r="L2252" s="5" t="str">
        <f t="shared" si="35"/>
        <v>0 - 4</v>
      </c>
    </row>
    <row r="2253" spans="3:12" hidden="1">
      <c r="C2253" t="s">
        <v>31</v>
      </c>
      <c r="D2253" t="s">
        <v>73</v>
      </c>
      <c r="E2253">
        <v>3</v>
      </c>
      <c r="F2253" t="s">
        <v>14</v>
      </c>
      <c r="G2253" t="s">
        <v>51</v>
      </c>
      <c r="H2253" t="s">
        <v>397</v>
      </c>
      <c r="I2253" s="3" t="s">
        <v>74</v>
      </c>
      <c r="J2253" t="s">
        <v>66</v>
      </c>
      <c r="K2253" s="15">
        <v>730000</v>
      </c>
      <c r="L2253" s="5" t="str">
        <f t="shared" si="35"/>
        <v>0 - 4</v>
      </c>
    </row>
    <row r="2254" spans="3:12" hidden="1">
      <c r="C2254" t="s">
        <v>31</v>
      </c>
      <c r="D2254" t="s">
        <v>73</v>
      </c>
      <c r="E2254">
        <v>3</v>
      </c>
      <c r="F2254" t="s">
        <v>14</v>
      </c>
      <c r="G2254" t="s">
        <v>51</v>
      </c>
      <c r="H2254" t="s">
        <v>397</v>
      </c>
      <c r="I2254" s="3" t="s">
        <v>69</v>
      </c>
      <c r="J2254" t="s">
        <v>54</v>
      </c>
      <c r="K2254" s="15">
        <v>750000</v>
      </c>
      <c r="L2254" s="5" t="str">
        <f t="shared" si="35"/>
        <v>0 - 4</v>
      </c>
    </row>
    <row r="2255" spans="3:12" hidden="1">
      <c r="C2255" t="s">
        <v>31</v>
      </c>
      <c r="D2255" t="s">
        <v>73</v>
      </c>
      <c r="E2255">
        <v>3</v>
      </c>
      <c r="F2255" t="s">
        <v>14</v>
      </c>
      <c r="G2255" t="s">
        <v>51</v>
      </c>
      <c r="H2255" t="s">
        <v>397</v>
      </c>
      <c r="I2255" s="3" t="s">
        <v>472</v>
      </c>
      <c r="J2255" t="s">
        <v>54</v>
      </c>
      <c r="K2255" s="15">
        <v>816000</v>
      </c>
      <c r="L2255" s="5" t="str">
        <f t="shared" si="35"/>
        <v>0 - 4</v>
      </c>
    </row>
    <row r="2256" spans="3:12" hidden="1">
      <c r="C2256" t="s">
        <v>31</v>
      </c>
      <c r="D2256" t="s">
        <v>73</v>
      </c>
      <c r="E2256">
        <v>2</v>
      </c>
      <c r="F2256" t="s">
        <v>14</v>
      </c>
      <c r="G2256" t="s">
        <v>51</v>
      </c>
      <c r="H2256" t="s">
        <v>397</v>
      </c>
      <c r="I2256" s="3" t="s">
        <v>123</v>
      </c>
      <c r="J2256" t="s">
        <v>66</v>
      </c>
      <c r="K2256" s="15">
        <v>580000</v>
      </c>
      <c r="L2256" s="5" t="str">
        <f t="shared" si="35"/>
        <v>0 - 4</v>
      </c>
    </row>
    <row r="2257" spans="3:12" hidden="1">
      <c r="C2257" t="s">
        <v>31</v>
      </c>
      <c r="D2257" t="s">
        <v>80</v>
      </c>
      <c r="E2257">
        <v>2</v>
      </c>
      <c r="F2257" t="s">
        <v>14</v>
      </c>
      <c r="G2257" t="s">
        <v>59</v>
      </c>
      <c r="H2257" t="s">
        <v>397</v>
      </c>
      <c r="I2257" s="3" t="s">
        <v>139</v>
      </c>
      <c r="J2257" t="s">
        <v>54</v>
      </c>
      <c r="K2257" s="15">
        <v>600000</v>
      </c>
      <c r="L2257" s="5" t="str">
        <f t="shared" si="35"/>
        <v>0 - 4</v>
      </c>
    </row>
    <row r="2258" spans="3:12" hidden="1">
      <c r="C2258" t="s">
        <v>31</v>
      </c>
      <c r="D2258" t="s">
        <v>73</v>
      </c>
      <c r="E2258">
        <v>2</v>
      </c>
      <c r="F2258" t="s">
        <v>14</v>
      </c>
      <c r="G2258" t="s">
        <v>51</v>
      </c>
      <c r="H2258" t="s">
        <v>397</v>
      </c>
      <c r="I2258" s="3" t="s">
        <v>85</v>
      </c>
      <c r="J2258" t="s">
        <v>66</v>
      </c>
      <c r="K2258" s="15">
        <v>650000</v>
      </c>
      <c r="L2258" s="5" t="str">
        <f t="shared" si="35"/>
        <v>0 - 4</v>
      </c>
    </row>
    <row r="2259" spans="3:12" hidden="1">
      <c r="C2259" t="s">
        <v>31</v>
      </c>
      <c r="D2259" t="s">
        <v>73</v>
      </c>
      <c r="E2259">
        <v>2</v>
      </c>
      <c r="F2259" t="s">
        <v>14</v>
      </c>
      <c r="G2259" t="s">
        <v>51</v>
      </c>
      <c r="H2259" t="s">
        <v>397</v>
      </c>
      <c r="I2259" s="3" t="s">
        <v>90</v>
      </c>
      <c r="J2259" t="s">
        <v>54</v>
      </c>
      <c r="K2259" s="15">
        <v>660000</v>
      </c>
      <c r="L2259" s="5" t="str">
        <f t="shared" si="35"/>
        <v>0 - 4</v>
      </c>
    </row>
    <row r="2260" spans="3:12" hidden="1">
      <c r="C2260" t="s">
        <v>31</v>
      </c>
      <c r="D2260" t="s">
        <v>73</v>
      </c>
      <c r="E2260">
        <v>2</v>
      </c>
      <c r="F2260" t="s">
        <v>14</v>
      </c>
      <c r="G2260" t="s">
        <v>57</v>
      </c>
      <c r="H2260" t="s">
        <v>397</v>
      </c>
      <c r="I2260" s="3" t="s">
        <v>222</v>
      </c>
      <c r="J2260" t="s">
        <v>54</v>
      </c>
      <c r="K2260" s="15">
        <v>670000</v>
      </c>
      <c r="L2260" s="5" t="str">
        <f t="shared" si="35"/>
        <v>0 - 4</v>
      </c>
    </row>
    <row r="2261" spans="3:12" hidden="1">
      <c r="C2261" t="s">
        <v>31</v>
      </c>
      <c r="D2261" t="s">
        <v>55</v>
      </c>
      <c r="E2261">
        <v>2</v>
      </c>
      <c r="F2261" t="s">
        <v>14</v>
      </c>
      <c r="G2261" t="s">
        <v>51</v>
      </c>
      <c r="H2261" t="s">
        <v>397</v>
      </c>
      <c r="I2261" s="3" t="s">
        <v>266</v>
      </c>
      <c r="J2261" t="s">
        <v>54</v>
      </c>
      <c r="K2261" s="15">
        <v>675000</v>
      </c>
      <c r="L2261" s="5" t="str">
        <f t="shared" si="35"/>
        <v>0 - 4</v>
      </c>
    </row>
    <row r="2262" spans="3:12" hidden="1">
      <c r="C2262" t="s">
        <v>31</v>
      </c>
      <c r="D2262" t="s">
        <v>73</v>
      </c>
      <c r="E2262">
        <v>1</v>
      </c>
      <c r="F2262" t="s">
        <v>14</v>
      </c>
      <c r="G2262" t="s">
        <v>51</v>
      </c>
      <c r="H2262" t="s">
        <v>397</v>
      </c>
      <c r="I2262" s="3" t="s">
        <v>139</v>
      </c>
      <c r="J2262" t="s">
        <v>54</v>
      </c>
      <c r="K2262" s="15">
        <v>600000</v>
      </c>
      <c r="L2262" s="5" t="str">
        <f t="shared" si="35"/>
        <v>0 - 4</v>
      </c>
    </row>
    <row r="2263" spans="3:12" hidden="1">
      <c r="C2263" t="s">
        <v>31</v>
      </c>
      <c r="D2263" t="s">
        <v>56</v>
      </c>
      <c r="E2263">
        <v>1</v>
      </c>
      <c r="F2263" t="s">
        <v>14</v>
      </c>
      <c r="G2263" t="s">
        <v>59</v>
      </c>
      <c r="H2263" t="s">
        <v>397</v>
      </c>
      <c r="I2263" s="3" t="s">
        <v>139</v>
      </c>
      <c r="J2263" t="s">
        <v>54</v>
      </c>
      <c r="K2263" s="15">
        <v>600000</v>
      </c>
      <c r="L2263" s="5" t="str">
        <f t="shared" si="35"/>
        <v>0 - 4</v>
      </c>
    </row>
    <row r="2264" spans="3:12" hidden="1">
      <c r="C2264" t="s">
        <v>31</v>
      </c>
      <c r="D2264" t="s">
        <v>73</v>
      </c>
      <c r="E2264">
        <v>1</v>
      </c>
      <c r="F2264" t="s">
        <v>14</v>
      </c>
      <c r="G2264" t="s">
        <v>51</v>
      </c>
      <c r="H2264" t="s">
        <v>397</v>
      </c>
      <c r="I2264" s="3" t="s">
        <v>265</v>
      </c>
      <c r="J2264" t="s">
        <v>66</v>
      </c>
      <c r="K2264" s="15">
        <v>635000</v>
      </c>
      <c r="L2264" s="5" t="str">
        <f t="shared" si="35"/>
        <v>0 - 4</v>
      </c>
    </row>
    <row r="2265" spans="3:12" hidden="1">
      <c r="C2265" t="s">
        <v>31</v>
      </c>
      <c r="D2265" t="s">
        <v>55</v>
      </c>
      <c r="E2265">
        <v>1</v>
      </c>
      <c r="F2265" t="s">
        <v>14</v>
      </c>
      <c r="G2265" t="s">
        <v>59</v>
      </c>
      <c r="H2265" t="s">
        <v>397</v>
      </c>
      <c r="I2265" s="3" t="s">
        <v>85</v>
      </c>
      <c r="J2265" t="s">
        <v>54</v>
      </c>
      <c r="K2265" s="15">
        <v>650000</v>
      </c>
      <c r="L2265" s="5" t="str">
        <f t="shared" si="35"/>
        <v>0 - 4</v>
      </c>
    </row>
    <row r="2266" spans="3:12" hidden="1">
      <c r="C2266" t="s">
        <v>31</v>
      </c>
      <c r="D2266" t="s">
        <v>73</v>
      </c>
      <c r="E2266">
        <v>1</v>
      </c>
      <c r="F2266" t="s">
        <v>14</v>
      </c>
      <c r="G2266" t="s">
        <v>51</v>
      </c>
      <c r="H2266" t="s">
        <v>397</v>
      </c>
      <c r="I2266" s="3" t="s">
        <v>473</v>
      </c>
      <c r="J2266" t="s">
        <v>54</v>
      </c>
      <c r="K2266" s="15">
        <v>693000</v>
      </c>
      <c r="L2266" s="5" t="str">
        <f t="shared" si="35"/>
        <v>0 - 4</v>
      </c>
    </row>
    <row r="2267" spans="3:12" hidden="1">
      <c r="C2267" t="s">
        <v>31</v>
      </c>
      <c r="D2267" t="s">
        <v>55</v>
      </c>
      <c r="E2267">
        <v>1</v>
      </c>
      <c r="F2267" t="s">
        <v>14</v>
      </c>
      <c r="G2267" t="s">
        <v>51</v>
      </c>
      <c r="H2267" t="s">
        <v>397</v>
      </c>
      <c r="I2267" s="3" t="s">
        <v>165</v>
      </c>
      <c r="J2267" t="s">
        <v>66</v>
      </c>
      <c r="K2267" s="15">
        <v>720000</v>
      </c>
      <c r="L2267" s="5" t="str">
        <f t="shared" si="35"/>
        <v>0 - 4</v>
      </c>
    </row>
    <row r="2268" spans="3:12" hidden="1">
      <c r="C2268" t="s">
        <v>30</v>
      </c>
      <c r="D2268" t="s">
        <v>73</v>
      </c>
      <c r="E2268">
        <v>0</v>
      </c>
      <c r="F2268" t="s">
        <v>14</v>
      </c>
      <c r="G2268" t="s">
        <v>57</v>
      </c>
      <c r="H2268" t="s">
        <v>397</v>
      </c>
      <c r="I2268" s="3" t="s">
        <v>119</v>
      </c>
      <c r="J2268" t="s">
        <v>54</v>
      </c>
      <c r="K2268" s="15">
        <v>630000</v>
      </c>
      <c r="L2268" s="5" t="str">
        <f t="shared" si="35"/>
        <v>0 - 4</v>
      </c>
    </row>
    <row r="2269" spans="3:12" hidden="1">
      <c r="C2269" t="s">
        <v>31</v>
      </c>
      <c r="D2269" t="s">
        <v>73</v>
      </c>
      <c r="E2269">
        <v>0</v>
      </c>
      <c r="F2269" t="s">
        <v>14</v>
      </c>
      <c r="G2269" t="s">
        <v>51</v>
      </c>
      <c r="H2269" t="s">
        <v>397</v>
      </c>
      <c r="I2269" s="3" t="s">
        <v>94</v>
      </c>
      <c r="J2269" t="s">
        <v>54</v>
      </c>
      <c r="K2269" s="15">
        <v>550000</v>
      </c>
      <c r="L2269" s="5" t="str">
        <f t="shared" si="35"/>
        <v>0 - 4</v>
      </c>
    </row>
    <row r="2270" spans="3:12" hidden="1">
      <c r="C2270" t="s">
        <v>31</v>
      </c>
      <c r="D2270" t="s">
        <v>73</v>
      </c>
      <c r="E2270">
        <v>0</v>
      </c>
      <c r="F2270" t="s">
        <v>14</v>
      </c>
      <c r="G2270" t="s">
        <v>51</v>
      </c>
      <c r="H2270" t="s">
        <v>397</v>
      </c>
      <c r="I2270" s="3" t="s">
        <v>157</v>
      </c>
      <c r="J2270" t="s">
        <v>54</v>
      </c>
      <c r="K2270" s="15">
        <v>625000</v>
      </c>
      <c r="L2270" s="5" t="str">
        <f t="shared" si="35"/>
        <v>0 - 4</v>
      </c>
    </row>
    <row r="2271" spans="3:12" hidden="1">
      <c r="C2271" t="s">
        <v>31</v>
      </c>
      <c r="D2271" t="s">
        <v>55</v>
      </c>
      <c r="E2271">
        <v>0</v>
      </c>
      <c r="F2271" t="s">
        <v>14</v>
      </c>
      <c r="G2271" t="s">
        <v>51</v>
      </c>
      <c r="H2271" t="s">
        <v>397</v>
      </c>
      <c r="I2271" s="3" t="s">
        <v>85</v>
      </c>
      <c r="J2271" t="s">
        <v>54</v>
      </c>
      <c r="K2271" s="15">
        <v>650000</v>
      </c>
      <c r="L2271" s="5" t="str">
        <f t="shared" si="35"/>
        <v>0 - 4</v>
      </c>
    </row>
    <row r="2272" spans="3:12" hidden="1">
      <c r="C2272" t="s">
        <v>31</v>
      </c>
      <c r="D2272" t="s">
        <v>73</v>
      </c>
      <c r="E2272">
        <v>0</v>
      </c>
      <c r="F2272" t="s">
        <v>14</v>
      </c>
      <c r="G2272" t="s">
        <v>51</v>
      </c>
      <c r="H2272" t="s">
        <v>397</v>
      </c>
      <c r="I2272" s="3" t="s">
        <v>85</v>
      </c>
      <c r="J2272" t="s">
        <v>66</v>
      </c>
      <c r="K2272" s="15">
        <v>650000</v>
      </c>
      <c r="L2272" s="5" t="str">
        <f t="shared" si="35"/>
        <v>0 - 4</v>
      </c>
    </row>
    <row r="2273" spans="3:12" hidden="1">
      <c r="C2273" t="s">
        <v>31</v>
      </c>
      <c r="D2273" t="s">
        <v>121</v>
      </c>
      <c r="E2273">
        <v>33</v>
      </c>
      <c r="F2273" t="s">
        <v>15</v>
      </c>
      <c r="G2273" t="s">
        <v>51</v>
      </c>
      <c r="H2273" t="s">
        <v>397</v>
      </c>
      <c r="I2273" s="3" t="s">
        <v>96</v>
      </c>
      <c r="J2273" t="s">
        <v>66</v>
      </c>
      <c r="K2273" s="15">
        <v>780000</v>
      </c>
      <c r="L2273" s="5" t="str">
        <f t="shared" si="35"/>
        <v>15 +</v>
      </c>
    </row>
    <row r="2274" spans="3:12" hidden="1">
      <c r="C2274" t="s">
        <v>31</v>
      </c>
      <c r="D2274" t="s">
        <v>73</v>
      </c>
      <c r="E2274">
        <v>30</v>
      </c>
      <c r="F2274" t="s">
        <v>15</v>
      </c>
      <c r="G2274" t="s">
        <v>51</v>
      </c>
      <c r="H2274" t="s">
        <v>397</v>
      </c>
      <c r="I2274" s="3" t="s">
        <v>110</v>
      </c>
      <c r="J2274" t="s">
        <v>66</v>
      </c>
      <c r="K2274" s="15">
        <v>1000000</v>
      </c>
      <c r="L2274" s="5" t="str">
        <f t="shared" si="35"/>
        <v>15 +</v>
      </c>
    </row>
    <row r="2275" spans="3:12" hidden="1">
      <c r="C2275" t="s">
        <v>31</v>
      </c>
      <c r="D2275" t="s">
        <v>49</v>
      </c>
      <c r="E2275">
        <v>27</v>
      </c>
      <c r="F2275" t="s">
        <v>15</v>
      </c>
      <c r="G2275" t="s">
        <v>51</v>
      </c>
      <c r="H2275" t="s">
        <v>397</v>
      </c>
      <c r="I2275" s="3" t="s">
        <v>79</v>
      </c>
      <c r="J2275" t="s">
        <v>54</v>
      </c>
      <c r="K2275" s="15">
        <v>900000</v>
      </c>
      <c r="L2275" s="5" t="str">
        <f t="shared" si="35"/>
        <v>15 +</v>
      </c>
    </row>
    <row r="2276" spans="3:12" hidden="1">
      <c r="C2276" t="s">
        <v>31</v>
      </c>
      <c r="D2276" t="s">
        <v>73</v>
      </c>
      <c r="E2276">
        <v>27</v>
      </c>
      <c r="F2276" t="s">
        <v>15</v>
      </c>
      <c r="G2276" t="s">
        <v>57</v>
      </c>
      <c r="H2276" t="s">
        <v>397</v>
      </c>
      <c r="I2276" s="3" t="s">
        <v>106</v>
      </c>
      <c r="J2276" t="s">
        <v>54</v>
      </c>
      <c r="K2276" s="15">
        <v>1100000</v>
      </c>
      <c r="L2276" s="5" t="str">
        <f t="shared" si="35"/>
        <v>15 +</v>
      </c>
    </row>
    <row r="2277" spans="3:12" hidden="1">
      <c r="C2277" t="s">
        <v>31</v>
      </c>
      <c r="D2277" t="s">
        <v>73</v>
      </c>
      <c r="E2277">
        <v>26</v>
      </c>
      <c r="F2277" t="s">
        <v>15</v>
      </c>
      <c r="G2277" t="s">
        <v>57</v>
      </c>
      <c r="H2277" t="s">
        <v>397</v>
      </c>
      <c r="I2277" s="3" t="s">
        <v>474</v>
      </c>
      <c r="J2277" t="s">
        <v>54</v>
      </c>
      <c r="K2277" s="15">
        <v>742100</v>
      </c>
      <c r="L2277" s="5" t="str">
        <f t="shared" si="35"/>
        <v>15 +</v>
      </c>
    </row>
    <row r="2278" spans="3:12" hidden="1">
      <c r="C2278" t="s">
        <v>31</v>
      </c>
      <c r="D2278" t="s">
        <v>73</v>
      </c>
      <c r="E2278">
        <v>25</v>
      </c>
      <c r="F2278" t="s">
        <v>15</v>
      </c>
      <c r="G2278" t="s">
        <v>59</v>
      </c>
      <c r="H2278" t="s">
        <v>397</v>
      </c>
      <c r="I2278" s="3" t="s">
        <v>133</v>
      </c>
      <c r="J2278" t="s">
        <v>54</v>
      </c>
      <c r="K2278" s="15">
        <v>960000</v>
      </c>
      <c r="L2278" s="5" t="str">
        <f t="shared" si="35"/>
        <v>15 +</v>
      </c>
    </row>
    <row r="2279" spans="3:12" hidden="1">
      <c r="C2279" t="s">
        <v>31</v>
      </c>
      <c r="D2279" t="s">
        <v>73</v>
      </c>
      <c r="E2279">
        <v>23</v>
      </c>
      <c r="F2279" t="s">
        <v>15</v>
      </c>
      <c r="G2279" t="s">
        <v>51</v>
      </c>
      <c r="H2279" t="s">
        <v>397</v>
      </c>
      <c r="I2279" s="3" t="s">
        <v>175</v>
      </c>
      <c r="J2279" t="s">
        <v>54</v>
      </c>
      <c r="K2279" s="15">
        <v>1400000</v>
      </c>
      <c r="L2279" s="5" t="str">
        <f t="shared" si="35"/>
        <v>15 +</v>
      </c>
    </row>
    <row r="2280" spans="3:12" hidden="1">
      <c r="C2280" t="s">
        <v>31</v>
      </c>
      <c r="D2280" t="s">
        <v>73</v>
      </c>
      <c r="E2280">
        <v>20</v>
      </c>
      <c r="F2280" t="s">
        <v>15</v>
      </c>
      <c r="G2280" t="s">
        <v>51</v>
      </c>
      <c r="H2280" t="s">
        <v>397</v>
      </c>
      <c r="I2280" s="3" t="s">
        <v>130</v>
      </c>
      <c r="J2280" t="s">
        <v>54</v>
      </c>
      <c r="K2280" s="15">
        <v>950000</v>
      </c>
      <c r="L2280" s="5" t="str">
        <f t="shared" si="35"/>
        <v>15 +</v>
      </c>
    </row>
    <row r="2281" spans="3:12" hidden="1">
      <c r="C2281" t="s">
        <v>31</v>
      </c>
      <c r="D2281" t="s">
        <v>73</v>
      </c>
      <c r="E2281">
        <v>20</v>
      </c>
      <c r="F2281" t="s">
        <v>15</v>
      </c>
      <c r="G2281" t="s">
        <v>59</v>
      </c>
      <c r="H2281" t="s">
        <v>397</v>
      </c>
      <c r="I2281" s="3" t="s">
        <v>106</v>
      </c>
      <c r="J2281" t="s">
        <v>54</v>
      </c>
      <c r="K2281" s="15">
        <v>1100000</v>
      </c>
      <c r="L2281" s="5" t="str">
        <f t="shared" si="35"/>
        <v>15 +</v>
      </c>
    </row>
    <row r="2282" spans="3:12" hidden="1">
      <c r="C2282" t="s">
        <v>31</v>
      </c>
      <c r="D2282" t="s">
        <v>73</v>
      </c>
      <c r="E2282">
        <v>18</v>
      </c>
      <c r="F2282" t="s">
        <v>15</v>
      </c>
      <c r="G2282" t="s">
        <v>51</v>
      </c>
      <c r="H2282" t="s">
        <v>397</v>
      </c>
      <c r="I2282" s="3" t="s">
        <v>133</v>
      </c>
      <c r="J2282" t="s">
        <v>54</v>
      </c>
      <c r="K2282" s="15">
        <v>960000</v>
      </c>
      <c r="L2282" s="5" t="str">
        <f t="shared" si="35"/>
        <v>15 +</v>
      </c>
    </row>
    <row r="2283" spans="3:12" hidden="1">
      <c r="C2283" t="s">
        <v>31</v>
      </c>
      <c r="D2283" t="s">
        <v>55</v>
      </c>
      <c r="E2283">
        <v>18</v>
      </c>
      <c r="F2283" t="s">
        <v>15</v>
      </c>
      <c r="G2283" t="s">
        <v>59</v>
      </c>
      <c r="H2283" t="s">
        <v>397</v>
      </c>
      <c r="I2283" s="3" t="s">
        <v>61</v>
      </c>
      <c r="J2283" t="s">
        <v>66</v>
      </c>
      <c r="K2283" s="15">
        <v>1200000</v>
      </c>
      <c r="L2283" s="5" t="str">
        <f t="shared" si="35"/>
        <v>15 +</v>
      </c>
    </row>
    <row r="2284" spans="3:12" hidden="1">
      <c r="C2284" t="s">
        <v>31</v>
      </c>
      <c r="D2284" t="s">
        <v>73</v>
      </c>
      <c r="E2284">
        <v>17</v>
      </c>
      <c r="F2284" t="s">
        <v>15</v>
      </c>
      <c r="G2284" t="s">
        <v>51</v>
      </c>
      <c r="H2284" t="s">
        <v>397</v>
      </c>
      <c r="I2284" s="3" t="s">
        <v>96</v>
      </c>
      <c r="J2284" t="s">
        <v>66</v>
      </c>
      <c r="K2284" s="15">
        <v>780000</v>
      </c>
      <c r="L2284" s="5" t="str">
        <f t="shared" si="35"/>
        <v>15 +</v>
      </c>
    </row>
    <row r="2285" spans="3:12" hidden="1">
      <c r="C2285" t="s">
        <v>31</v>
      </c>
      <c r="D2285" t="s">
        <v>67</v>
      </c>
      <c r="E2285">
        <v>17</v>
      </c>
      <c r="F2285" t="s">
        <v>15</v>
      </c>
      <c r="G2285" t="s">
        <v>51</v>
      </c>
      <c r="H2285" t="s">
        <v>397</v>
      </c>
      <c r="I2285" s="3" t="s">
        <v>257</v>
      </c>
      <c r="J2285" t="s">
        <v>54</v>
      </c>
      <c r="K2285" s="15">
        <v>915000</v>
      </c>
      <c r="L2285" s="5" t="str">
        <f t="shared" si="35"/>
        <v>15 +</v>
      </c>
    </row>
    <row r="2286" spans="3:12" hidden="1">
      <c r="C2286" t="s">
        <v>31</v>
      </c>
      <c r="D2286" t="s">
        <v>88</v>
      </c>
      <c r="E2286">
        <v>15</v>
      </c>
      <c r="F2286" t="s">
        <v>15</v>
      </c>
      <c r="G2286" t="s">
        <v>51</v>
      </c>
      <c r="H2286" t="s">
        <v>397</v>
      </c>
      <c r="I2286" s="3" t="s">
        <v>165</v>
      </c>
      <c r="J2286" t="s">
        <v>54</v>
      </c>
      <c r="K2286" s="15">
        <v>720000</v>
      </c>
      <c r="L2286" s="5" t="str">
        <f t="shared" si="35"/>
        <v>15 +</v>
      </c>
    </row>
    <row r="2287" spans="3:12" hidden="1">
      <c r="C2287" t="s">
        <v>31</v>
      </c>
      <c r="D2287" t="s">
        <v>55</v>
      </c>
      <c r="E2287">
        <v>14</v>
      </c>
      <c r="F2287" t="s">
        <v>15</v>
      </c>
      <c r="G2287" t="s">
        <v>51</v>
      </c>
      <c r="H2287" t="s">
        <v>397</v>
      </c>
      <c r="I2287" s="3" t="s">
        <v>475</v>
      </c>
      <c r="J2287" t="s">
        <v>54</v>
      </c>
      <c r="K2287" s="15">
        <v>1063000</v>
      </c>
      <c r="L2287" s="5" t="str">
        <f t="shared" si="35"/>
        <v>9 - 14</v>
      </c>
    </row>
    <row r="2288" spans="3:12" hidden="1">
      <c r="C2288" t="s">
        <v>31</v>
      </c>
      <c r="D2288" t="s">
        <v>73</v>
      </c>
      <c r="E2288">
        <v>13</v>
      </c>
      <c r="F2288" t="s">
        <v>15</v>
      </c>
      <c r="G2288" t="s">
        <v>51</v>
      </c>
      <c r="H2288" t="s">
        <v>397</v>
      </c>
      <c r="I2288" s="3" t="s">
        <v>148</v>
      </c>
      <c r="J2288" t="s">
        <v>54</v>
      </c>
      <c r="K2288" s="15">
        <v>1050000</v>
      </c>
      <c r="L2288" s="5" t="str">
        <f t="shared" si="35"/>
        <v>9 - 14</v>
      </c>
    </row>
    <row r="2289" spans="3:12" hidden="1">
      <c r="C2289" t="s">
        <v>31</v>
      </c>
      <c r="D2289" t="s">
        <v>77</v>
      </c>
      <c r="E2289">
        <v>13</v>
      </c>
      <c r="F2289" t="s">
        <v>15</v>
      </c>
      <c r="G2289" t="s">
        <v>51</v>
      </c>
      <c r="H2289" t="s">
        <v>397</v>
      </c>
      <c r="I2289" s="3" t="s">
        <v>60</v>
      </c>
      <c r="J2289" t="s">
        <v>54</v>
      </c>
      <c r="K2289" s="15">
        <v>1500000</v>
      </c>
      <c r="L2289" s="5" t="str">
        <f t="shared" si="35"/>
        <v>9 - 14</v>
      </c>
    </row>
    <row r="2290" spans="3:12" hidden="1">
      <c r="C2290" t="s">
        <v>31</v>
      </c>
      <c r="D2290" t="s">
        <v>73</v>
      </c>
      <c r="E2290">
        <v>8</v>
      </c>
      <c r="F2290" t="s">
        <v>15</v>
      </c>
      <c r="G2290" t="s">
        <v>51</v>
      </c>
      <c r="H2290" t="s">
        <v>397</v>
      </c>
      <c r="I2290" s="3" t="s">
        <v>79</v>
      </c>
      <c r="J2290" t="s">
        <v>54</v>
      </c>
      <c r="K2290" s="15">
        <v>900000</v>
      </c>
      <c r="L2290" s="5" t="str">
        <f t="shared" si="35"/>
        <v>5  - 8</v>
      </c>
    </row>
    <row r="2291" spans="3:12" hidden="1">
      <c r="C2291" t="s">
        <v>31</v>
      </c>
      <c r="D2291" t="s">
        <v>80</v>
      </c>
      <c r="E2291">
        <v>7</v>
      </c>
      <c r="F2291" t="s">
        <v>15</v>
      </c>
      <c r="G2291" t="s">
        <v>51</v>
      </c>
      <c r="H2291" t="s">
        <v>397</v>
      </c>
      <c r="I2291" s="3" t="s">
        <v>422</v>
      </c>
      <c r="J2291" t="s">
        <v>54</v>
      </c>
      <c r="K2291" s="15">
        <v>678000</v>
      </c>
      <c r="L2291" s="5" t="str">
        <f t="shared" si="35"/>
        <v>5  - 8</v>
      </c>
    </row>
    <row r="2292" spans="3:12" hidden="1">
      <c r="C2292" t="s">
        <v>31</v>
      </c>
      <c r="D2292" t="s">
        <v>77</v>
      </c>
      <c r="E2292">
        <v>7</v>
      </c>
      <c r="F2292" t="s">
        <v>15</v>
      </c>
      <c r="G2292" t="s">
        <v>59</v>
      </c>
      <c r="H2292" t="s">
        <v>397</v>
      </c>
      <c r="I2292" s="3" t="s">
        <v>106</v>
      </c>
      <c r="J2292" t="s">
        <v>54</v>
      </c>
      <c r="K2292" s="15">
        <v>1100000</v>
      </c>
      <c r="L2292" s="5" t="str">
        <f t="shared" si="35"/>
        <v>5  - 8</v>
      </c>
    </row>
    <row r="2293" spans="3:12" hidden="1">
      <c r="C2293" t="s">
        <v>31</v>
      </c>
      <c r="D2293" t="s">
        <v>55</v>
      </c>
      <c r="E2293">
        <v>7</v>
      </c>
      <c r="F2293" t="s">
        <v>15</v>
      </c>
      <c r="G2293" t="s">
        <v>51</v>
      </c>
      <c r="H2293" t="s">
        <v>397</v>
      </c>
      <c r="I2293" s="3" t="s">
        <v>299</v>
      </c>
      <c r="J2293" t="s">
        <v>54</v>
      </c>
      <c r="K2293" s="15">
        <v>1280000</v>
      </c>
      <c r="L2293" s="5" t="str">
        <f t="shared" si="35"/>
        <v>5  - 8</v>
      </c>
    </row>
    <row r="2294" spans="3:12" hidden="1">
      <c r="C2294" t="s">
        <v>31</v>
      </c>
      <c r="D2294" t="s">
        <v>80</v>
      </c>
      <c r="E2294">
        <v>6</v>
      </c>
      <c r="F2294" t="s">
        <v>15</v>
      </c>
      <c r="G2294" t="s">
        <v>51</v>
      </c>
      <c r="H2294" t="s">
        <v>397</v>
      </c>
      <c r="I2294" s="3" t="s">
        <v>116</v>
      </c>
      <c r="J2294" t="s">
        <v>54</v>
      </c>
      <c r="K2294" s="15">
        <v>800000</v>
      </c>
      <c r="L2294" s="5" t="str">
        <f t="shared" si="35"/>
        <v>5  - 8</v>
      </c>
    </row>
    <row r="2295" spans="3:12" hidden="1">
      <c r="C2295" t="s">
        <v>31</v>
      </c>
      <c r="D2295" t="s">
        <v>73</v>
      </c>
      <c r="E2295">
        <v>5</v>
      </c>
      <c r="F2295" t="s">
        <v>15</v>
      </c>
      <c r="G2295" t="s">
        <v>51</v>
      </c>
      <c r="H2295" t="s">
        <v>397</v>
      </c>
      <c r="I2295" s="3" t="s">
        <v>96</v>
      </c>
      <c r="J2295" t="s">
        <v>54</v>
      </c>
      <c r="K2295" s="15">
        <v>780000</v>
      </c>
      <c r="L2295" s="5" t="str">
        <f t="shared" si="35"/>
        <v>5  - 8</v>
      </c>
    </row>
    <row r="2296" spans="3:12" hidden="1">
      <c r="C2296" t="s">
        <v>31</v>
      </c>
      <c r="D2296" t="s">
        <v>73</v>
      </c>
      <c r="E2296">
        <v>4</v>
      </c>
      <c r="F2296" t="s">
        <v>15</v>
      </c>
      <c r="G2296" t="s">
        <v>51</v>
      </c>
      <c r="H2296" t="s">
        <v>397</v>
      </c>
      <c r="I2296" s="3" t="s">
        <v>119</v>
      </c>
      <c r="J2296" t="s">
        <v>66</v>
      </c>
      <c r="K2296" s="15">
        <v>630000</v>
      </c>
      <c r="L2296" s="5" t="str">
        <f t="shared" si="35"/>
        <v>0 - 4</v>
      </c>
    </row>
    <row r="2297" spans="3:12" hidden="1">
      <c r="C2297" t="s">
        <v>31</v>
      </c>
      <c r="D2297" t="s">
        <v>55</v>
      </c>
      <c r="E2297">
        <v>4</v>
      </c>
      <c r="F2297" t="s">
        <v>15</v>
      </c>
      <c r="G2297" t="s">
        <v>57</v>
      </c>
      <c r="H2297" t="s">
        <v>397</v>
      </c>
      <c r="I2297" s="3" t="s">
        <v>165</v>
      </c>
      <c r="J2297" t="s">
        <v>54</v>
      </c>
      <c r="K2297" s="15">
        <v>720000</v>
      </c>
      <c r="L2297" s="5" t="str">
        <f t="shared" si="35"/>
        <v>0 - 4</v>
      </c>
    </row>
    <row r="2298" spans="3:12" hidden="1">
      <c r="C2298" t="s">
        <v>31</v>
      </c>
      <c r="D2298" t="s">
        <v>73</v>
      </c>
      <c r="E2298">
        <v>4</v>
      </c>
      <c r="F2298" t="s">
        <v>15</v>
      </c>
      <c r="G2298" t="s">
        <v>59</v>
      </c>
      <c r="H2298" t="s">
        <v>397</v>
      </c>
      <c r="I2298" s="3" t="s">
        <v>165</v>
      </c>
      <c r="J2298" t="s">
        <v>54</v>
      </c>
      <c r="K2298" s="15">
        <v>720000</v>
      </c>
      <c r="L2298" s="5" t="str">
        <f t="shared" si="35"/>
        <v>0 - 4</v>
      </c>
    </row>
    <row r="2299" spans="3:12" hidden="1">
      <c r="C2299" t="s">
        <v>31</v>
      </c>
      <c r="D2299" t="s">
        <v>55</v>
      </c>
      <c r="E2299">
        <v>4</v>
      </c>
      <c r="F2299" t="s">
        <v>15</v>
      </c>
      <c r="G2299" t="s">
        <v>51</v>
      </c>
      <c r="H2299" t="s">
        <v>397</v>
      </c>
      <c r="I2299" s="3" t="s">
        <v>71</v>
      </c>
      <c r="J2299" t="s">
        <v>54</v>
      </c>
      <c r="K2299" s="15">
        <v>820000</v>
      </c>
      <c r="L2299" s="5" t="str">
        <f t="shared" si="35"/>
        <v>0 - 4</v>
      </c>
    </row>
    <row r="2300" spans="3:12" hidden="1">
      <c r="C2300" t="s">
        <v>31</v>
      </c>
      <c r="D2300" t="s">
        <v>73</v>
      </c>
      <c r="E2300">
        <v>4</v>
      </c>
      <c r="F2300" t="s">
        <v>15</v>
      </c>
      <c r="G2300" t="s">
        <v>59</v>
      </c>
      <c r="H2300" t="s">
        <v>397</v>
      </c>
      <c r="I2300" s="3" t="s">
        <v>149</v>
      </c>
      <c r="J2300" t="s">
        <v>66</v>
      </c>
      <c r="K2300" s="15">
        <v>1015000</v>
      </c>
      <c r="L2300" s="5" t="str">
        <f t="shared" si="35"/>
        <v>0 - 4</v>
      </c>
    </row>
    <row r="2301" spans="3:12" hidden="1">
      <c r="C2301" t="s">
        <v>30</v>
      </c>
      <c r="D2301" t="s">
        <v>49</v>
      </c>
      <c r="E2301">
        <v>3</v>
      </c>
      <c r="F2301" t="s">
        <v>15</v>
      </c>
      <c r="G2301" t="s">
        <v>51</v>
      </c>
      <c r="H2301" t="s">
        <v>397</v>
      </c>
      <c r="I2301" s="3" t="s">
        <v>220</v>
      </c>
      <c r="J2301" t="s">
        <v>66</v>
      </c>
      <c r="K2301" s="15">
        <v>760000</v>
      </c>
      <c r="L2301" s="5" t="str">
        <f t="shared" si="35"/>
        <v>0 - 4</v>
      </c>
    </row>
    <row r="2302" spans="3:12" hidden="1">
      <c r="C2302" t="s">
        <v>31</v>
      </c>
      <c r="D2302" t="s">
        <v>49</v>
      </c>
      <c r="E2302">
        <v>3</v>
      </c>
      <c r="F2302" t="s">
        <v>15</v>
      </c>
      <c r="G2302" t="s">
        <v>51</v>
      </c>
      <c r="H2302" t="s">
        <v>397</v>
      </c>
      <c r="I2302" s="3" t="s">
        <v>267</v>
      </c>
      <c r="J2302" t="s">
        <v>66</v>
      </c>
      <c r="K2302" s="15">
        <v>745000</v>
      </c>
      <c r="L2302" s="5" t="str">
        <f t="shared" si="35"/>
        <v>0 - 4</v>
      </c>
    </row>
    <row r="2303" spans="3:12" hidden="1">
      <c r="C2303" t="s">
        <v>31</v>
      </c>
      <c r="D2303" t="s">
        <v>73</v>
      </c>
      <c r="E2303">
        <v>3</v>
      </c>
      <c r="F2303" t="s">
        <v>15</v>
      </c>
      <c r="G2303" t="s">
        <v>59</v>
      </c>
      <c r="H2303" t="s">
        <v>397</v>
      </c>
      <c r="I2303" s="3" t="s">
        <v>116</v>
      </c>
      <c r="J2303" t="s">
        <v>54</v>
      </c>
      <c r="K2303" s="15">
        <v>800000</v>
      </c>
      <c r="L2303" s="5" t="str">
        <f t="shared" si="35"/>
        <v>0 - 4</v>
      </c>
    </row>
    <row r="2304" spans="3:12" hidden="1">
      <c r="C2304" t="s">
        <v>31</v>
      </c>
      <c r="D2304" t="s">
        <v>73</v>
      </c>
      <c r="E2304">
        <v>3</v>
      </c>
      <c r="F2304" t="s">
        <v>15</v>
      </c>
      <c r="G2304" t="s">
        <v>51</v>
      </c>
      <c r="H2304" t="s">
        <v>397</v>
      </c>
      <c r="I2304" s="3" t="s">
        <v>286</v>
      </c>
      <c r="J2304" t="s">
        <v>54</v>
      </c>
      <c r="K2304" s="15">
        <v>815000</v>
      </c>
      <c r="L2304" s="5" t="str">
        <f t="shared" si="35"/>
        <v>0 - 4</v>
      </c>
    </row>
    <row r="2305" spans="3:12" hidden="1">
      <c r="C2305" t="s">
        <v>30</v>
      </c>
      <c r="D2305" t="s">
        <v>80</v>
      </c>
      <c r="E2305">
        <v>2</v>
      </c>
      <c r="F2305" t="s">
        <v>15</v>
      </c>
      <c r="G2305" t="s">
        <v>51</v>
      </c>
      <c r="H2305" t="s">
        <v>397</v>
      </c>
      <c r="I2305" s="3" t="s">
        <v>120</v>
      </c>
      <c r="J2305" t="s">
        <v>54</v>
      </c>
      <c r="K2305" s="15">
        <v>740000</v>
      </c>
      <c r="L2305" s="5" t="str">
        <f t="shared" si="35"/>
        <v>0 - 4</v>
      </c>
    </row>
    <row r="2306" spans="3:12" hidden="1">
      <c r="C2306" t="s">
        <v>31</v>
      </c>
      <c r="D2306" t="s">
        <v>49</v>
      </c>
      <c r="E2306">
        <v>2</v>
      </c>
      <c r="F2306" t="s">
        <v>15</v>
      </c>
      <c r="G2306" t="s">
        <v>51</v>
      </c>
      <c r="H2306" t="s">
        <v>397</v>
      </c>
      <c r="I2306" s="3" t="s">
        <v>476</v>
      </c>
      <c r="J2306" t="s">
        <v>54</v>
      </c>
      <c r="K2306" s="15">
        <v>420000</v>
      </c>
      <c r="L2306" s="5" t="str">
        <f t="shared" si="35"/>
        <v>0 - 4</v>
      </c>
    </row>
    <row r="2307" spans="3:12" hidden="1">
      <c r="C2307" t="s">
        <v>31</v>
      </c>
      <c r="D2307" t="s">
        <v>73</v>
      </c>
      <c r="E2307">
        <v>2</v>
      </c>
      <c r="F2307" t="s">
        <v>15</v>
      </c>
      <c r="G2307" t="s">
        <v>51</v>
      </c>
      <c r="H2307" t="s">
        <v>397</v>
      </c>
      <c r="I2307" s="3" t="s">
        <v>112</v>
      </c>
      <c r="J2307" t="s">
        <v>54</v>
      </c>
      <c r="K2307" s="15">
        <v>560000</v>
      </c>
      <c r="L2307" s="5" t="str">
        <f t="shared" ref="L2307:L2370" si="36">_xlfn.XLOOKUP(E2307,$P$2:$P$5,$O$2:$O$5,,1)</f>
        <v>0 - 4</v>
      </c>
    </row>
    <row r="2308" spans="3:12" hidden="1">
      <c r="C2308" t="s">
        <v>31</v>
      </c>
      <c r="D2308" t="s">
        <v>73</v>
      </c>
      <c r="E2308">
        <v>2</v>
      </c>
      <c r="F2308" t="s">
        <v>15</v>
      </c>
      <c r="G2308" t="s">
        <v>59</v>
      </c>
      <c r="H2308" t="s">
        <v>397</v>
      </c>
      <c r="I2308" s="3" t="s">
        <v>477</v>
      </c>
      <c r="J2308" t="s">
        <v>54</v>
      </c>
      <c r="K2308" s="15">
        <v>564000</v>
      </c>
      <c r="L2308" s="5" t="str">
        <f t="shared" si="36"/>
        <v>0 - 4</v>
      </c>
    </row>
    <row r="2309" spans="3:12" hidden="1">
      <c r="C2309" t="s">
        <v>30</v>
      </c>
      <c r="D2309" t="s">
        <v>73</v>
      </c>
      <c r="E2309">
        <v>1</v>
      </c>
      <c r="F2309" t="s">
        <v>15</v>
      </c>
      <c r="G2309" t="s">
        <v>59</v>
      </c>
      <c r="H2309" t="s">
        <v>397</v>
      </c>
      <c r="I2309" s="3" t="s">
        <v>94</v>
      </c>
      <c r="J2309" t="s">
        <v>54</v>
      </c>
      <c r="K2309" s="15">
        <v>550000</v>
      </c>
      <c r="L2309" s="5" t="str">
        <f t="shared" si="36"/>
        <v>0 - 4</v>
      </c>
    </row>
    <row r="2310" spans="3:12" hidden="1">
      <c r="C2310" t="s">
        <v>31</v>
      </c>
      <c r="D2310" t="s">
        <v>73</v>
      </c>
      <c r="E2310">
        <v>0</v>
      </c>
      <c r="F2310" t="s">
        <v>15</v>
      </c>
      <c r="G2310" t="s">
        <v>51</v>
      </c>
      <c r="H2310" t="s">
        <v>397</v>
      </c>
      <c r="I2310" s="3" t="s">
        <v>478</v>
      </c>
      <c r="J2310" t="s">
        <v>54</v>
      </c>
      <c r="K2310" s="15">
        <v>512000</v>
      </c>
      <c r="L2310" s="5" t="str">
        <f t="shared" si="36"/>
        <v>0 - 4</v>
      </c>
    </row>
    <row r="2311" spans="3:12" hidden="1">
      <c r="C2311" t="s">
        <v>31</v>
      </c>
      <c r="D2311" t="s">
        <v>73</v>
      </c>
      <c r="E2311">
        <v>0</v>
      </c>
      <c r="F2311" t="s">
        <v>15</v>
      </c>
      <c r="G2311" t="s">
        <v>51</v>
      </c>
      <c r="H2311" t="s">
        <v>397</v>
      </c>
      <c r="I2311" s="3" t="s">
        <v>139</v>
      </c>
      <c r="J2311" t="s">
        <v>66</v>
      </c>
      <c r="K2311" s="15">
        <v>600000</v>
      </c>
      <c r="L2311" s="5" t="str">
        <f t="shared" si="36"/>
        <v>0 - 4</v>
      </c>
    </row>
    <row r="2312" spans="3:12" hidden="1">
      <c r="C2312" t="s">
        <v>31</v>
      </c>
      <c r="D2312" t="s">
        <v>55</v>
      </c>
      <c r="E2312">
        <v>0</v>
      </c>
      <c r="F2312" t="s">
        <v>15</v>
      </c>
      <c r="G2312" t="s">
        <v>51</v>
      </c>
      <c r="H2312" t="s">
        <v>397</v>
      </c>
      <c r="I2312" s="3" t="s">
        <v>90</v>
      </c>
      <c r="J2312" t="s">
        <v>66</v>
      </c>
      <c r="K2312" s="15">
        <v>660000</v>
      </c>
      <c r="L2312" s="5" t="str">
        <f t="shared" si="36"/>
        <v>0 - 4</v>
      </c>
    </row>
    <row r="2313" spans="3:12" hidden="1">
      <c r="C2313" t="s">
        <v>31</v>
      </c>
      <c r="D2313" t="s">
        <v>67</v>
      </c>
      <c r="E2313">
        <v>17</v>
      </c>
      <c r="F2313" t="s">
        <v>8</v>
      </c>
      <c r="G2313" t="s">
        <v>57</v>
      </c>
      <c r="H2313" t="s">
        <v>479</v>
      </c>
      <c r="I2313" s="3" t="s">
        <v>480</v>
      </c>
      <c r="J2313" t="s">
        <v>54</v>
      </c>
      <c r="K2313" s="15">
        <v>886200</v>
      </c>
      <c r="L2313" s="5" t="str">
        <f t="shared" si="36"/>
        <v>15 +</v>
      </c>
    </row>
    <row r="2314" spans="3:12" hidden="1">
      <c r="C2314" t="s">
        <v>31</v>
      </c>
      <c r="D2314" t="s">
        <v>88</v>
      </c>
      <c r="E2314">
        <v>15</v>
      </c>
      <c r="F2314" t="s">
        <v>8</v>
      </c>
      <c r="G2314" t="s">
        <v>51</v>
      </c>
      <c r="H2314" t="s">
        <v>479</v>
      </c>
      <c r="I2314" s="3" t="s">
        <v>148</v>
      </c>
      <c r="J2314" t="s">
        <v>66</v>
      </c>
      <c r="K2314" s="15">
        <v>1050000</v>
      </c>
      <c r="L2314" s="5" t="str">
        <f t="shared" si="36"/>
        <v>15 +</v>
      </c>
    </row>
    <row r="2315" spans="3:12" hidden="1">
      <c r="C2315" t="s">
        <v>30</v>
      </c>
      <c r="D2315" t="s">
        <v>73</v>
      </c>
      <c r="E2315">
        <v>14</v>
      </c>
      <c r="F2315" t="s">
        <v>8</v>
      </c>
      <c r="G2315" t="s">
        <v>51</v>
      </c>
      <c r="H2315" t="s">
        <v>479</v>
      </c>
      <c r="I2315" s="3" t="s">
        <v>104</v>
      </c>
      <c r="J2315" t="s">
        <v>66</v>
      </c>
      <c r="K2315" s="15">
        <v>1300000</v>
      </c>
      <c r="L2315" s="5" t="str">
        <f t="shared" si="36"/>
        <v>9 - 14</v>
      </c>
    </row>
    <row r="2316" spans="3:12" hidden="1">
      <c r="C2316" t="s">
        <v>31</v>
      </c>
      <c r="D2316" t="s">
        <v>73</v>
      </c>
      <c r="E2316">
        <v>12</v>
      </c>
      <c r="F2316" t="s">
        <v>8</v>
      </c>
      <c r="G2316" t="s">
        <v>51</v>
      </c>
      <c r="H2316" t="s">
        <v>479</v>
      </c>
      <c r="I2316" s="3" t="s">
        <v>104</v>
      </c>
      <c r="J2316" t="s">
        <v>66</v>
      </c>
      <c r="K2316" s="15">
        <v>1300000</v>
      </c>
      <c r="L2316" s="5" t="str">
        <f t="shared" si="36"/>
        <v>9 - 14</v>
      </c>
    </row>
    <row r="2317" spans="3:12" hidden="1">
      <c r="C2317" t="s">
        <v>31</v>
      </c>
      <c r="D2317" t="s">
        <v>50</v>
      </c>
      <c r="E2317">
        <v>25</v>
      </c>
      <c r="F2317" t="s">
        <v>16</v>
      </c>
      <c r="G2317" t="s">
        <v>57</v>
      </c>
      <c r="H2317" t="s">
        <v>479</v>
      </c>
      <c r="I2317" s="3" t="s">
        <v>481</v>
      </c>
      <c r="J2317" t="s">
        <v>54</v>
      </c>
      <c r="K2317" s="15">
        <v>1465000</v>
      </c>
      <c r="L2317" s="5" t="str">
        <f t="shared" si="36"/>
        <v>15 +</v>
      </c>
    </row>
    <row r="2318" spans="3:12" hidden="1">
      <c r="C2318" t="s">
        <v>31</v>
      </c>
      <c r="D2318" t="s">
        <v>56</v>
      </c>
      <c r="E2318">
        <v>17</v>
      </c>
      <c r="F2318" t="s">
        <v>19</v>
      </c>
      <c r="G2318" t="s">
        <v>51</v>
      </c>
      <c r="H2318" t="s">
        <v>479</v>
      </c>
      <c r="I2318" s="3" t="s">
        <v>79</v>
      </c>
      <c r="J2318" t="s">
        <v>54</v>
      </c>
      <c r="K2318" s="15">
        <v>900000</v>
      </c>
      <c r="L2318" s="5" t="str">
        <f t="shared" si="36"/>
        <v>15 +</v>
      </c>
    </row>
    <row r="2319" spans="3:12" hidden="1">
      <c r="C2319" t="s">
        <v>32</v>
      </c>
      <c r="D2319" t="s">
        <v>73</v>
      </c>
      <c r="E2319">
        <v>11</v>
      </c>
      <c r="F2319" t="s">
        <v>9</v>
      </c>
      <c r="G2319" t="s">
        <v>51</v>
      </c>
      <c r="H2319" t="s">
        <v>479</v>
      </c>
      <c r="I2319" s="3" t="s">
        <v>116</v>
      </c>
      <c r="J2319" t="s">
        <v>54</v>
      </c>
      <c r="K2319" s="15">
        <v>800000</v>
      </c>
      <c r="L2319" s="5" t="str">
        <f t="shared" si="36"/>
        <v>9 - 14</v>
      </c>
    </row>
    <row r="2320" spans="3:12" hidden="1">
      <c r="C2320" t="s">
        <v>31</v>
      </c>
      <c r="D2320" t="s">
        <v>55</v>
      </c>
      <c r="E2320">
        <v>35</v>
      </c>
      <c r="F2320" t="s">
        <v>10</v>
      </c>
      <c r="G2320" t="s">
        <v>51</v>
      </c>
      <c r="H2320" t="s">
        <v>479</v>
      </c>
      <c r="I2320" s="36" t="s">
        <v>193</v>
      </c>
      <c r="J2320" t="s">
        <v>66</v>
      </c>
      <c r="K2320" s="15">
        <v>990000</v>
      </c>
      <c r="L2320" s="5" t="str">
        <f t="shared" si="36"/>
        <v>15 +</v>
      </c>
    </row>
    <row r="2321" spans="3:12" hidden="1">
      <c r="C2321" t="s">
        <v>31</v>
      </c>
      <c r="D2321" t="s">
        <v>55</v>
      </c>
      <c r="E2321">
        <v>32</v>
      </c>
      <c r="F2321" t="s">
        <v>10</v>
      </c>
      <c r="G2321" t="s">
        <v>59</v>
      </c>
      <c r="H2321" t="s">
        <v>479</v>
      </c>
      <c r="I2321" s="36" t="s">
        <v>173</v>
      </c>
      <c r="J2321" t="s">
        <v>66</v>
      </c>
      <c r="K2321" s="15">
        <v>1250000</v>
      </c>
      <c r="L2321" s="5" t="str">
        <f t="shared" si="36"/>
        <v>15 +</v>
      </c>
    </row>
    <row r="2322" spans="3:12" hidden="1">
      <c r="C2322" t="s">
        <v>31</v>
      </c>
      <c r="D2322" t="s">
        <v>73</v>
      </c>
      <c r="E2322">
        <v>30</v>
      </c>
      <c r="F2322" t="s">
        <v>10</v>
      </c>
      <c r="G2322" t="s">
        <v>51</v>
      </c>
      <c r="H2322" t="s">
        <v>479</v>
      </c>
      <c r="I2322" s="36" t="s">
        <v>175</v>
      </c>
      <c r="J2322" t="s">
        <v>54</v>
      </c>
      <c r="K2322" s="15">
        <v>1400000</v>
      </c>
      <c r="L2322" s="5" t="str">
        <f t="shared" si="36"/>
        <v>15 +</v>
      </c>
    </row>
    <row r="2323" spans="3:12" hidden="1">
      <c r="C2323" t="s">
        <v>31</v>
      </c>
      <c r="D2323" t="s">
        <v>73</v>
      </c>
      <c r="E2323">
        <v>30</v>
      </c>
      <c r="F2323" t="s">
        <v>10</v>
      </c>
      <c r="G2323" t="s">
        <v>127</v>
      </c>
      <c r="H2323" t="s">
        <v>479</v>
      </c>
      <c r="I2323" s="36" t="s">
        <v>60</v>
      </c>
      <c r="J2323" t="s">
        <v>54</v>
      </c>
      <c r="K2323" s="15">
        <v>1500000</v>
      </c>
      <c r="L2323" s="5" t="str">
        <f t="shared" si="36"/>
        <v>15 +</v>
      </c>
    </row>
    <row r="2324" spans="3:12" hidden="1">
      <c r="C2324" t="s">
        <v>31</v>
      </c>
      <c r="D2324" t="s">
        <v>73</v>
      </c>
      <c r="E2324">
        <v>30</v>
      </c>
      <c r="F2324" t="s">
        <v>10</v>
      </c>
      <c r="G2324" t="s">
        <v>59</v>
      </c>
      <c r="H2324" t="s">
        <v>479</v>
      </c>
      <c r="I2324" s="36" t="s">
        <v>192</v>
      </c>
      <c r="J2324" t="s">
        <v>66</v>
      </c>
      <c r="K2324" s="15">
        <v>1600000</v>
      </c>
      <c r="L2324" s="5" t="str">
        <f t="shared" si="36"/>
        <v>15 +</v>
      </c>
    </row>
    <row r="2325" spans="3:12" hidden="1">
      <c r="C2325" t="s">
        <v>31</v>
      </c>
      <c r="D2325" t="s">
        <v>73</v>
      </c>
      <c r="E2325">
        <v>29</v>
      </c>
      <c r="F2325" t="s">
        <v>10</v>
      </c>
      <c r="G2325" t="s">
        <v>59</v>
      </c>
      <c r="H2325" t="s">
        <v>479</v>
      </c>
      <c r="I2325" s="36" t="s">
        <v>482</v>
      </c>
      <c r="J2325" t="s">
        <v>66</v>
      </c>
      <c r="K2325" s="15">
        <v>1205000</v>
      </c>
      <c r="L2325" s="5" t="str">
        <f t="shared" si="36"/>
        <v>15 +</v>
      </c>
    </row>
    <row r="2326" spans="3:12" hidden="1">
      <c r="C2326" t="s">
        <v>31</v>
      </c>
      <c r="D2326" t="s">
        <v>63</v>
      </c>
      <c r="E2326">
        <v>27</v>
      </c>
      <c r="F2326" t="s">
        <v>10</v>
      </c>
      <c r="G2326" t="s">
        <v>59</v>
      </c>
      <c r="H2326" t="s">
        <v>479</v>
      </c>
      <c r="I2326" s="36" t="s">
        <v>196</v>
      </c>
      <c r="J2326" t="s">
        <v>54</v>
      </c>
      <c r="K2326" s="15">
        <v>1700000</v>
      </c>
      <c r="L2326" s="5" t="str">
        <f t="shared" si="36"/>
        <v>15 +</v>
      </c>
    </row>
    <row r="2327" spans="3:12" hidden="1">
      <c r="C2327" t="s">
        <v>31</v>
      </c>
      <c r="D2327" t="s">
        <v>73</v>
      </c>
      <c r="E2327">
        <v>26</v>
      </c>
      <c r="F2327" t="s">
        <v>10</v>
      </c>
      <c r="G2327" t="s">
        <v>59</v>
      </c>
      <c r="H2327" t="s">
        <v>479</v>
      </c>
      <c r="I2327" s="36" t="s">
        <v>196</v>
      </c>
      <c r="J2327" t="s">
        <v>66</v>
      </c>
      <c r="K2327" s="15">
        <v>1700000</v>
      </c>
      <c r="L2327" s="5" t="str">
        <f t="shared" si="36"/>
        <v>15 +</v>
      </c>
    </row>
    <row r="2328" spans="3:12" hidden="1">
      <c r="C2328" t="s">
        <v>30</v>
      </c>
      <c r="D2328" t="s">
        <v>55</v>
      </c>
      <c r="E2328">
        <v>25</v>
      </c>
      <c r="F2328" t="s">
        <v>10</v>
      </c>
      <c r="G2328" t="s">
        <v>59</v>
      </c>
      <c r="H2328" t="s">
        <v>479</v>
      </c>
      <c r="I2328" s="36" t="s">
        <v>146</v>
      </c>
      <c r="J2328" t="s">
        <v>66</v>
      </c>
      <c r="K2328" s="15">
        <v>1090000</v>
      </c>
      <c r="L2328" s="5" t="str">
        <f t="shared" si="36"/>
        <v>15 +</v>
      </c>
    </row>
    <row r="2329" spans="3:12" hidden="1">
      <c r="C2329" t="s">
        <v>31</v>
      </c>
      <c r="D2329" t="s">
        <v>67</v>
      </c>
      <c r="E2329">
        <v>25</v>
      </c>
      <c r="F2329" t="s">
        <v>10</v>
      </c>
      <c r="G2329" t="s">
        <v>51</v>
      </c>
      <c r="H2329" t="s">
        <v>479</v>
      </c>
      <c r="I2329" s="36" t="s">
        <v>173</v>
      </c>
      <c r="J2329" t="s">
        <v>66</v>
      </c>
      <c r="K2329" s="15">
        <v>1250000</v>
      </c>
      <c r="L2329" s="5" t="str">
        <f t="shared" si="36"/>
        <v>15 +</v>
      </c>
    </row>
    <row r="2330" spans="3:12" hidden="1">
      <c r="C2330" t="s">
        <v>30</v>
      </c>
      <c r="D2330" t="s">
        <v>49</v>
      </c>
      <c r="E2330">
        <v>24</v>
      </c>
      <c r="F2330" t="s">
        <v>10</v>
      </c>
      <c r="G2330" t="s">
        <v>57</v>
      </c>
      <c r="H2330" t="s">
        <v>479</v>
      </c>
      <c r="I2330" s="36" t="s">
        <v>483</v>
      </c>
      <c r="J2330" t="s">
        <v>54</v>
      </c>
      <c r="K2330" s="15">
        <v>1095000</v>
      </c>
      <c r="L2330" s="5" t="str">
        <f t="shared" si="36"/>
        <v>15 +</v>
      </c>
    </row>
    <row r="2331" spans="3:12" hidden="1">
      <c r="C2331" t="s">
        <v>30</v>
      </c>
      <c r="D2331" t="s">
        <v>55</v>
      </c>
      <c r="E2331">
        <v>24</v>
      </c>
      <c r="F2331" t="s">
        <v>10</v>
      </c>
      <c r="G2331" t="s">
        <v>57</v>
      </c>
      <c r="H2331" t="s">
        <v>479</v>
      </c>
      <c r="I2331" s="36" t="s">
        <v>129</v>
      </c>
      <c r="J2331" t="s">
        <v>54</v>
      </c>
      <c r="K2331" s="15">
        <v>1150000</v>
      </c>
      <c r="L2331" s="5" t="str">
        <f t="shared" si="36"/>
        <v>15 +</v>
      </c>
    </row>
    <row r="2332" spans="3:12" hidden="1">
      <c r="C2332" t="s">
        <v>30</v>
      </c>
      <c r="D2332" t="s">
        <v>67</v>
      </c>
      <c r="E2332">
        <v>23</v>
      </c>
      <c r="F2332" t="s">
        <v>10</v>
      </c>
      <c r="G2332" t="s">
        <v>59</v>
      </c>
      <c r="H2332" t="s">
        <v>479</v>
      </c>
      <c r="I2332" s="36" t="s">
        <v>61</v>
      </c>
      <c r="J2332" t="s">
        <v>66</v>
      </c>
      <c r="K2332" s="15">
        <v>1200000</v>
      </c>
      <c r="L2332" s="5" t="str">
        <f t="shared" si="36"/>
        <v>15 +</v>
      </c>
    </row>
    <row r="2333" spans="3:12" hidden="1">
      <c r="C2333" t="s">
        <v>31</v>
      </c>
      <c r="D2333" t="s">
        <v>77</v>
      </c>
      <c r="E2333">
        <v>23</v>
      </c>
      <c r="F2333" t="s">
        <v>10</v>
      </c>
      <c r="G2333" t="s">
        <v>51</v>
      </c>
      <c r="H2333" t="s">
        <v>479</v>
      </c>
      <c r="I2333" s="36" t="s">
        <v>176</v>
      </c>
      <c r="J2333" t="s">
        <v>54</v>
      </c>
      <c r="K2333" s="15">
        <v>1005000</v>
      </c>
      <c r="L2333" s="5" t="str">
        <f t="shared" si="36"/>
        <v>15 +</v>
      </c>
    </row>
    <row r="2334" spans="3:12" hidden="1">
      <c r="C2334" t="s">
        <v>31</v>
      </c>
      <c r="D2334" t="s">
        <v>49</v>
      </c>
      <c r="E2334">
        <v>23</v>
      </c>
      <c r="F2334" t="s">
        <v>10</v>
      </c>
      <c r="G2334" t="s">
        <v>51</v>
      </c>
      <c r="H2334" t="s">
        <v>479</v>
      </c>
      <c r="I2334" s="36" t="s">
        <v>484</v>
      </c>
      <c r="J2334" t="s">
        <v>66</v>
      </c>
      <c r="K2334" s="15">
        <v>1460000</v>
      </c>
      <c r="L2334" s="5" t="str">
        <f t="shared" si="36"/>
        <v>15 +</v>
      </c>
    </row>
    <row r="2335" spans="3:12" hidden="1">
      <c r="C2335" t="s">
        <v>31</v>
      </c>
      <c r="D2335" t="s">
        <v>67</v>
      </c>
      <c r="E2335">
        <v>21</v>
      </c>
      <c r="F2335" t="s">
        <v>10</v>
      </c>
      <c r="G2335" t="s">
        <v>51</v>
      </c>
      <c r="H2335" t="s">
        <v>479</v>
      </c>
      <c r="I2335" s="36" t="s">
        <v>485</v>
      </c>
      <c r="J2335" t="s">
        <v>54</v>
      </c>
      <c r="K2335" s="15">
        <v>1390000</v>
      </c>
      <c r="L2335" s="5" t="str">
        <f t="shared" si="36"/>
        <v>15 +</v>
      </c>
    </row>
    <row r="2336" spans="3:12" hidden="1">
      <c r="C2336" t="s">
        <v>30</v>
      </c>
      <c r="D2336" t="s">
        <v>95</v>
      </c>
      <c r="E2336">
        <v>20</v>
      </c>
      <c r="F2336" t="s">
        <v>10</v>
      </c>
      <c r="G2336" t="s">
        <v>59</v>
      </c>
      <c r="H2336" t="s">
        <v>479</v>
      </c>
      <c r="I2336" s="36" t="s">
        <v>144</v>
      </c>
      <c r="J2336" t="s">
        <v>66</v>
      </c>
      <c r="K2336" s="15">
        <v>970000</v>
      </c>
      <c r="L2336" s="5" t="str">
        <f t="shared" si="36"/>
        <v>15 +</v>
      </c>
    </row>
    <row r="2337" spans="3:12" hidden="1">
      <c r="C2337" t="s">
        <v>30</v>
      </c>
      <c r="D2337" t="s">
        <v>73</v>
      </c>
      <c r="E2337">
        <v>20</v>
      </c>
      <c r="F2337" t="s">
        <v>10</v>
      </c>
      <c r="G2337" t="s">
        <v>57</v>
      </c>
      <c r="H2337" t="s">
        <v>479</v>
      </c>
      <c r="I2337" s="36" t="s">
        <v>68</v>
      </c>
      <c r="J2337" t="s">
        <v>54</v>
      </c>
      <c r="K2337" s="15">
        <v>980000</v>
      </c>
      <c r="L2337" s="5" t="str">
        <f t="shared" si="36"/>
        <v>15 +</v>
      </c>
    </row>
    <row r="2338" spans="3:12" hidden="1">
      <c r="C2338" t="s">
        <v>30</v>
      </c>
      <c r="D2338" t="s">
        <v>67</v>
      </c>
      <c r="E2338">
        <v>20</v>
      </c>
      <c r="F2338" t="s">
        <v>10</v>
      </c>
      <c r="G2338" t="s">
        <v>59</v>
      </c>
      <c r="H2338" t="s">
        <v>479</v>
      </c>
      <c r="I2338" s="36" t="s">
        <v>109</v>
      </c>
      <c r="J2338" t="s">
        <v>54</v>
      </c>
      <c r="K2338" s="15">
        <v>1025000</v>
      </c>
      <c r="L2338" s="5" t="str">
        <f t="shared" si="36"/>
        <v>15 +</v>
      </c>
    </row>
    <row r="2339" spans="3:12" hidden="1">
      <c r="C2339" t="s">
        <v>31</v>
      </c>
      <c r="D2339" t="s">
        <v>88</v>
      </c>
      <c r="E2339">
        <v>20</v>
      </c>
      <c r="F2339" t="s">
        <v>10</v>
      </c>
      <c r="G2339" t="s">
        <v>51</v>
      </c>
      <c r="H2339" t="s">
        <v>479</v>
      </c>
      <c r="I2339" s="36" t="s">
        <v>107</v>
      </c>
      <c r="J2339" t="s">
        <v>54</v>
      </c>
      <c r="K2339" s="15">
        <v>1210000</v>
      </c>
      <c r="L2339" s="5" t="str">
        <f t="shared" si="36"/>
        <v>15 +</v>
      </c>
    </row>
    <row r="2340" spans="3:12" hidden="1">
      <c r="C2340" t="s">
        <v>31</v>
      </c>
      <c r="D2340" t="s">
        <v>55</v>
      </c>
      <c r="E2340">
        <v>20</v>
      </c>
      <c r="F2340" t="s">
        <v>10</v>
      </c>
      <c r="G2340" t="s">
        <v>51</v>
      </c>
      <c r="H2340" t="s">
        <v>479</v>
      </c>
      <c r="I2340" s="36" t="s">
        <v>486</v>
      </c>
      <c r="J2340" t="s">
        <v>54</v>
      </c>
      <c r="K2340" s="15">
        <v>1310000</v>
      </c>
      <c r="L2340" s="5" t="str">
        <f t="shared" si="36"/>
        <v>15 +</v>
      </c>
    </row>
    <row r="2341" spans="3:12" hidden="1">
      <c r="C2341" t="s">
        <v>31</v>
      </c>
      <c r="D2341" t="s">
        <v>49</v>
      </c>
      <c r="E2341">
        <v>20</v>
      </c>
      <c r="F2341" t="s">
        <v>10</v>
      </c>
      <c r="G2341" t="s">
        <v>127</v>
      </c>
      <c r="H2341" t="s">
        <v>479</v>
      </c>
      <c r="I2341" s="36" t="s">
        <v>184</v>
      </c>
      <c r="J2341" t="s">
        <v>54</v>
      </c>
      <c r="K2341" s="15">
        <v>1350000</v>
      </c>
      <c r="L2341" s="5" t="str">
        <f t="shared" si="36"/>
        <v>15 +</v>
      </c>
    </row>
    <row r="2342" spans="3:12" hidden="1">
      <c r="C2342" t="s">
        <v>31</v>
      </c>
      <c r="D2342" t="s">
        <v>73</v>
      </c>
      <c r="E2342">
        <v>20</v>
      </c>
      <c r="F2342" t="s">
        <v>10</v>
      </c>
      <c r="G2342" t="s">
        <v>51</v>
      </c>
      <c r="H2342" t="s">
        <v>479</v>
      </c>
      <c r="I2342" s="36" t="s">
        <v>60</v>
      </c>
      <c r="J2342" t="s">
        <v>66</v>
      </c>
      <c r="K2342" s="15">
        <v>1500000</v>
      </c>
      <c r="L2342" s="5" t="str">
        <f t="shared" si="36"/>
        <v>15 +</v>
      </c>
    </row>
    <row r="2343" spans="3:12" hidden="1">
      <c r="C2343" t="s">
        <v>31</v>
      </c>
      <c r="D2343" t="s">
        <v>73</v>
      </c>
      <c r="E2343">
        <v>20</v>
      </c>
      <c r="F2343" t="s">
        <v>10</v>
      </c>
      <c r="G2343" t="s">
        <v>51</v>
      </c>
      <c r="H2343" t="s">
        <v>479</v>
      </c>
      <c r="I2343" s="36" t="s">
        <v>117</v>
      </c>
      <c r="J2343" t="s">
        <v>66</v>
      </c>
      <c r="K2343" s="15">
        <v>2400000</v>
      </c>
      <c r="L2343" s="5" t="str">
        <f t="shared" si="36"/>
        <v>15 +</v>
      </c>
    </row>
    <row r="2344" spans="3:12" hidden="1">
      <c r="C2344" t="s">
        <v>31</v>
      </c>
      <c r="D2344" t="s">
        <v>73</v>
      </c>
      <c r="E2344">
        <v>19</v>
      </c>
      <c r="F2344" t="s">
        <v>10</v>
      </c>
      <c r="G2344" t="s">
        <v>51</v>
      </c>
      <c r="H2344" t="s">
        <v>479</v>
      </c>
      <c r="I2344" s="36" t="s">
        <v>211</v>
      </c>
      <c r="J2344" t="s">
        <v>54</v>
      </c>
      <c r="K2344" s="15">
        <v>1060000</v>
      </c>
      <c r="L2344" s="5" t="str">
        <f t="shared" si="36"/>
        <v>15 +</v>
      </c>
    </row>
    <row r="2345" spans="3:12" hidden="1">
      <c r="C2345" t="s">
        <v>31</v>
      </c>
      <c r="D2345" t="s">
        <v>49</v>
      </c>
      <c r="E2345">
        <v>19</v>
      </c>
      <c r="F2345" t="s">
        <v>10</v>
      </c>
      <c r="G2345" t="s">
        <v>51</v>
      </c>
      <c r="H2345" t="s">
        <v>479</v>
      </c>
      <c r="I2345" s="36" t="s">
        <v>106</v>
      </c>
      <c r="J2345" t="s">
        <v>54</v>
      </c>
      <c r="K2345" s="15">
        <v>1100000</v>
      </c>
      <c r="L2345" s="5" t="str">
        <f t="shared" si="36"/>
        <v>15 +</v>
      </c>
    </row>
    <row r="2346" spans="3:12" hidden="1">
      <c r="C2346" t="s">
        <v>31</v>
      </c>
      <c r="D2346" t="s">
        <v>73</v>
      </c>
      <c r="E2346">
        <v>19</v>
      </c>
      <c r="F2346" t="s">
        <v>10</v>
      </c>
      <c r="G2346" t="s">
        <v>59</v>
      </c>
      <c r="H2346" t="s">
        <v>479</v>
      </c>
      <c r="I2346" s="36" t="s">
        <v>418</v>
      </c>
      <c r="J2346" t="s">
        <v>66</v>
      </c>
      <c r="K2346" s="15">
        <v>1220000</v>
      </c>
      <c r="L2346" s="5" t="str">
        <f t="shared" si="36"/>
        <v>15 +</v>
      </c>
    </row>
    <row r="2347" spans="3:12" hidden="1">
      <c r="C2347" t="s">
        <v>31</v>
      </c>
      <c r="D2347" t="s">
        <v>73</v>
      </c>
      <c r="E2347">
        <v>19</v>
      </c>
      <c r="F2347" t="s">
        <v>10</v>
      </c>
      <c r="G2347" t="s">
        <v>51</v>
      </c>
      <c r="H2347" t="s">
        <v>479</v>
      </c>
      <c r="I2347" s="36" t="s">
        <v>196</v>
      </c>
      <c r="J2347" t="s">
        <v>66</v>
      </c>
      <c r="K2347" s="15">
        <v>1700000</v>
      </c>
      <c r="L2347" s="5" t="str">
        <f t="shared" si="36"/>
        <v>15 +</v>
      </c>
    </row>
    <row r="2348" spans="3:12" hidden="1">
      <c r="C2348" t="s">
        <v>30</v>
      </c>
      <c r="D2348" t="s">
        <v>55</v>
      </c>
      <c r="E2348">
        <v>18</v>
      </c>
      <c r="F2348" t="s">
        <v>10</v>
      </c>
      <c r="G2348" t="s">
        <v>51</v>
      </c>
      <c r="H2348" t="s">
        <v>479</v>
      </c>
      <c r="I2348" s="36" t="s">
        <v>487</v>
      </c>
      <c r="J2348" t="s">
        <v>54</v>
      </c>
      <c r="K2348" s="15">
        <v>1364000</v>
      </c>
      <c r="L2348" s="5" t="str">
        <f t="shared" si="36"/>
        <v>15 +</v>
      </c>
    </row>
    <row r="2349" spans="3:12" hidden="1">
      <c r="C2349" t="s">
        <v>31</v>
      </c>
      <c r="D2349" t="s">
        <v>55</v>
      </c>
      <c r="E2349">
        <v>18</v>
      </c>
      <c r="F2349" t="s">
        <v>10</v>
      </c>
      <c r="G2349" t="s">
        <v>51</v>
      </c>
      <c r="H2349" t="s">
        <v>479</v>
      </c>
      <c r="I2349" s="36" t="s">
        <v>106</v>
      </c>
      <c r="J2349" t="s">
        <v>54</v>
      </c>
      <c r="K2349" s="15">
        <v>1100000</v>
      </c>
      <c r="L2349" s="5" t="str">
        <f t="shared" si="36"/>
        <v>15 +</v>
      </c>
    </row>
    <row r="2350" spans="3:12" hidden="1">
      <c r="C2350" t="s">
        <v>31</v>
      </c>
      <c r="D2350" t="s">
        <v>55</v>
      </c>
      <c r="E2350">
        <v>18</v>
      </c>
      <c r="F2350" t="s">
        <v>10</v>
      </c>
      <c r="G2350" t="s">
        <v>59</v>
      </c>
      <c r="H2350" t="s">
        <v>479</v>
      </c>
      <c r="I2350" s="36" t="s">
        <v>155</v>
      </c>
      <c r="J2350" t="s">
        <v>54</v>
      </c>
      <c r="K2350" s="15">
        <v>1750000</v>
      </c>
      <c r="L2350" s="5" t="str">
        <f t="shared" si="36"/>
        <v>15 +</v>
      </c>
    </row>
    <row r="2351" spans="3:12" hidden="1">
      <c r="C2351" t="s">
        <v>30</v>
      </c>
      <c r="D2351" t="s">
        <v>55</v>
      </c>
      <c r="E2351">
        <v>17</v>
      </c>
      <c r="F2351" t="s">
        <v>10</v>
      </c>
      <c r="G2351" t="s">
        <v>57</v>
      </c>
      <c r="H2351" t="s">
        <v>479</v>
      </c>
      <c r="I2351" s="36" t="s">
        <v>488</v>
      </c>
      <c r="J2351" t="s">
        <v>54</v>
      </c>
      <c r="K2351" s="15">
        <v>978000</v>
      </c>
      <c r="L2351" s="5" t="str">
        <f t="shared" si="36"/>
        <v>15 +</v>
      </c>
    </row>
    <row r="2352" spans="3:12" hidden="1">
      <c r="C2352" t="s">
        <v>31</v>
      </c>
      <c r="D2352" t="s">
        <v>77</v>
      </c>
      <c r="E2352">
        <v>17</v>
      </c>
      <c r="F2352" t="s">
        <v>10</v>
      </c>
      <c r="G2352" t="s">
        <v>51</v>
      </c>
      <c r="H2352" t="s">
        <v>479</v>
      </c>
      <c r="I2352" s="36" t="s">
        <v>489</v>
      </c>
      <c r="J2352" t="s">
        <v>54</v>
      </c>
      <c r="K2352" s="15">
        <v>950009</v>
      </c>
      <c r="L2352" s="5" t="str">
        <f t="shared" si="36"/>
        <v>15 +</v>
      </c>
    </row>
    <row r="2353" spans="3:12" hidden="1">
      <c r="C2353" t="s">
        <v>31</v>
      </c>
      <c r="D2353" t="s">
        <v>67</v>
      </c>
      <c r="E2353">
        <v>17</v>
      </c>
      <c r="F2353" t="s">
        <v>10</v>
      </c>
      <c r="G2353" t="s">
        <v>51</v>
      </c>
      <c r="H2353" t="s">
        <v>479</v>
      </c>
      <c r="I2353" s="36" t="s">
        <v>209</v>
      </c>
      <c r="J2353" t="s">
        <v>66</v>
      </c>
      <c r="K2353" s="15">
        <v>1010000</v>
      </c>
      <c r="L2353" s="5" t="str">
        <f t="shared" si="36"/>
        <v>15 +</v>
      </c>
    </row>
    <row r="2354" spans="3:12" hidden="1">
      <c r="C2354" t="s">
        <v>31</v>
      </c>
      <c r="D2354" t="s">
        <v>49</v>
      </c>
      <c r="E2354">
        <v>16</v>
      </c>
      <c r="F2354" t="s">
        <v>10</v>
      </c>
      <c r="G2354" t="s">
        <v>57</v>
      </c>
      <c r="H2354" t="s">
        <v>479</v>
      </c>
      <c r="I2354" s="36" t="s">
        <v>148</v>
      </c>
      <c r="J2354" t="s">
        <v>54</v>
      </c>
      <c r="K2354" s="15">
        <v>1050000</v>
      </c>
      <c r="L2354" s="5" t="str">
        <f t="shared" si="36"/>
        <v>15 +</v>
      </c>
    </row>
    <row r="2355" spans="3:12" hidden="1">
      <c r="C2355" t="s">
        <v>31</v>
      </c>
      <c r="D2355" t="s">
        <v>55</v>
      </c>
      <c r="E2355">
        <v>16</v>
      </c>
      <c r="F2355" t="s">
        <v>10</v>
      </c>
      <c r="G2355" t="s">
        <v>51</v>
      </c>
      <c r="H2355" t="s">
        <v>479</v>
      </c>
      <c r="I2355" s="36" t="s">
        <v>192</v>
      </c>
      <c r="J2355" t="s">
        <v>54</v>
      </c>
      <c r="K2355" s="15">
        <v>1600000</v>
      </c>
      <c r="L2355" s="5" t="str">
        <f t="shared" si="36"/>
        <v>15 +</v>
      </c>
    </row>
    <row r="2356" spans="3:12" hidden="1">
      <c r="C2356" t="s">
        <v>30</v>
      </c>
      <c r="D2356" t="s">
        <v>55</v>
      </c>
      <c r="E2356">
        <v>15</v>
      </c>
      <c r="F2356" t="s">
        <v>10</v>
      </c>
      <c r="G2356" t="s">
        <v>57</v>
      </c>
      <c r="H2356" t="s">
        <v>479</v>
      </c>
      <c r="I2356" s="36" t="s">
        <v>490</v>
      </c>
      <c r="J2356" t="s">
        <v>54</v>
      </c>
      <c r="K2356" s="15">
        <v>742000</v>
      </c>
      <c r="L2356" s="5" t="str">
        <f t="shared" si="36"/>
        <v>15 +</v>
      </c>
    </row>
    <row r="2357" spans="3:12" hidden="1">
      <c r="C2357" t="s">
        <v>30</v>
      </c>
      <c r="D2357" t="s">
        <v>73</v>
      </c>
      <c r="E2357">
        <v>15</v>
      </c>
      <c r="F2357" t="s">
        <v>10</v>
      </c>
      <c r="G2357" t="s">
        <v>57</v>
      </c>
      <c r="H2357" t="s">
        <v>479</v>
      </c>
      <c r="I2357" s="36" t="s">
        <v>71</v>
      </c>
      <c r="J2357" t="s">
        <v>54</v>
      </c>
      <c r="K2357" s="15">
        <v>820000</v>
      </c>
      <c r="L2357" s="5" t="str">
        <f t="shared" si="36"/>
        <v>15 +</v>
      </c>
    </row>
    <row r="2358" spans="3:12" hidden="1">
      <c r="C2358" t="s">
        <v>31</v>
      </c>
      <c r="D2358" t="s">
        <v>88</v>
      </c>
      <c r="E2358">
        <v>15</v>
      </c>
      <c r="F2358" t="s">
        <v>10</v>
      </c>
      <c r="G2358" t="s">
        <v>51</v>
      </c>
      <c r="H2358" t="s">
        <v>479</v>
      </c>
      <c r="I2358" s="36" t="s">
        <v>85</v>
      </c>
      <c r="J2358" t="s">
        <v>66</v>
      </c>
      <c r="K2358" s="15">
        <v>650000</v>
      </c>
      <c r="L2358" s="5" t="str">
        <f t="shared" si="36"/>
        <v>15 +</v>
      </c>
    </row>
    <row r="2359" spans="3:12" hidden="1">
      <c r="C2359" t="s">
        <v>31</v>
      </c>
      <c r="D2359" t="s">
        <v>125</v>
      </c>
      <c r="E2359">
        <v>15</v>
      </c>
      <c r="F2359" t="s">
        <v>10</v>
      </c>
      <c r="G2359" t="s">
        <v>51</v>
      </c>
      <c r="H2359" t="s">
        <v>479</v>
      </c>
      <c r="I2359" s="36" t="s">
        <v>324</v>
      </c>
      <c r="J2359" t="s">
        <v>54</v>
      </c>
      <c r="K2359" s="15">
        <v>935000</v>
      </c>
      <c r="L2359" s="5" t="str">
        <f t="shared" si="36"/>
        <v>15 +</v>
      </c>
    </row>
    <row r="2360" spans="3:12" hidden="1">
      <c r="C2360" t="s">
        <v>31</v>
      </c>
      <c r="D2360" t="s">
        <v>73</v>
      </c>
      <c r="E2360">
        <v>15</v>
      </c>
      <c r="F2360" t="s">
        <v>10</v>
      </c>
      <c r="G2360" t="s">
        <v>51</v>
      </c>
      <c r="H2360" t="s">
        <v>479</v>
      </c>
      <c r="I2360" s="36" t="s">
        <v>491</v>
      </c>
      <c r="J2360" t="s">
        <v>54</v>
      </c>
      <c r="K2360" s="15">
        <v>1166000</v>
      </c>
      <c r="L2360" s="5" t="str">
        <f t="shared" si="36"/>
        <v>15 +</v>
      </c>
    </row>
    <row r="2361" spans="3:12" hidden="1">
      <c r="C2361" t="s">
        <v>31</v>
      </c>
      <c r="D2361" t="s">
        <v>55</v>
      </c>
      <c r="E2361">
        <v>15</v>
      </c>
      <c r="F2361" t="s">
        <v>10</v>
      </c>
      <c r="G2361" t="s">
        <v>57</v>
      </c>
      <c r="H2361" t="s">
        <v>479</v>
      </c>
      <c r="I2361" s="36" t="s">
        <v>61</v>
      </c>
      <c r="J2361" t="s">
        <v>54</v>
      </c>
      <c r="K2361" s="15">
        <v>1200000</v>
      </c>
      <c r="L2361" s="5" t="str">
        <f t="shared" si="36"/>
        <v>15 +</v>
      </c>
    </row>
    <row r="2362" spans="3:12" hidden="1">
      <c r="C2362" t="s">
        <v>31</v>
      </c>
      <c r="D2362" t="s">
        <v>77</v>
      </c>
      <c r="E2362">
        <v>14</v>
      </c>
      <c r="F2362" t="s">
        <v>10</v>
      </c>
      <c r="G2362" t="s">
        <v>51</v>
      </c>
      <c r="H2362" t="s">
        <v>479</v>
      </c>
      <c r="I2362" s="3" t="s">
        <v>106</v>
      </c>
      <c r="J2362" t="s">
        <v>54</v>
      </c>
      <c r="K2362" s="15">
        <v>1100000</v>
      </c>
      <c r="L2362" s="5" t="str">
        <f t="shared" si="36"/>
        <v>9 - 14</v>
      </c>
    </row>
    <row r="2363" spans="3:12" hidden="1">
      <c r="C2363" t="s">
        <v>31</v>
      </c>
      <c r="D2363" t="s">
        <v>55</v>
      </c>
      <c r="E2363">
        <v>14</v>
      </c>
      <c r="F2363" t="s">
        <v>10</v>
      </c>
      <c r="G2363" t="s">
        <v>59</v>
      </c>
      <c r="H2363" t="s">
        <v>479</v>
      </c>
      <c r="I2363" s="3" t="s">
        <v>106</v>
      </c>
      <c r="J2363" t="s">
        <v>66</v>
      </c>
      <c r="K2363" s="15">
        <v>1100000</v>
      </c>
      <c r="L2363" s="5" t="str">
        <f t="shared" si="36"/>
        <v>9 - 14</v>
      </c>
    </row>
    <row r="2364" spans="3:12" hidden="1">
      <c r="C2364" t="s">
        <v>31</v>
      </c>
      <c r="D2364" t="s">
        <v>63</v>
      </c>
      <c r="E2364">
        <v>13</v>
      </c>
      <c r="F2364" t="s">
        <v>10</v>
      </c>
      <c r="G2364" t="s">
        <v>51</v>
      </c>
      <c r="H2364" t="s">
        <v>479</v>
      </c>
      <c r="I2364" s="3" t="s">
        <v>189</v>
      </c>
      <c r="J2364" t="s">
        <v>54</v>
      </c>
      <c r="K2364" s="15">
        <v>955000</v>
      </c>
      <c r="L2364" s="5" t="str">
        <f t="shared" si="36"/>
        <v>9 - 14</v>
      </c>
    </row>
    <row r="2365" spans="3:12" hidden="1">
      <c r="C2365" t="s">
        <v>31</v>
      </c>
      <c r="D2365" t="s">
        <v>55</v>
      </c>
      <c r="E2365">
        <v>13</v>
      </c>
      <c r="F2365" t="s">
        <v>10</v>
      </c>
      <c r="G2365" t="s">
        <v>57</v>
      </c>
      <c r="H2365" t="s">
        <v>479</v>
      </c>
      <c r="I2365" s="3" t="s">
        <v>106</v>
      </c>
      <c r="J2365" t="s">
        <v>54</v>
      </c>
      <c r="K2365" s="15">
        <v>1100000</v>
      </c>
      <c r="L2365" s="5" t="str">
        <f t="shared" si="36"/>
        <v>9 - 14</v>
      </c>
    </row>
    <row r="2366" spans="3:12" hidden="1">
      <c r="C2366" t="s">
        <v>31</v>
      </c>
      <c r="D2366" t="s">
        <v>56</v>
      </c>
      <c r="E2366">
        <v>12</v>
      </c>
      <c r="F2366" t="s">
        <v>10</v>
      </c>
      <c r="G2366" t="s">
        <v>51</v>
      </c>
      <c r="H2366" t="s">
        <v>479</v>
      </c>
      <c r="I2366" s="3" t="s">
        <v>69</v>
      </c>
      <c r="J2366" t="s">
        <v>54</v>
      </c>
      <c r="K2366" s="15">
        <v>750000</v>
      </c>
      <c r="L2366" s="5" t="str">
        <f t="shared" si="36"/>
        <v>9 - 14</v>
      </c>
    </row>
    <row r="2367" spans="3:12" hidden="1">
      <c r="C2367" t="s">
        <v>31</v>
      </c>
      <c r="D2367" t="s">
        <v>55</v>
      </c>
      <c r="E2367">
        <v>12</v>
      </c>
      <c r="F2367" t="s">
        <v>10</v>
      </c>
      <c r="G2367" t="s">
        <v>51</v>
      </c>
      <c r="H2367" t="s">
        <v>479</v>
      </c>
      <c r="I2367" s="3" t="s">
        <v>130</v>
      </c>
      <c r="J2367" t="s">
        <v>54</v>
      </c>
      <c r="K2367" s="15">
        <v>950000</v>
      </c>
      <c r="L2367" s="5" t="str">
        <f t="shared" si="36"/>
        <v>9 - 14</v>
      </c>
    </row>
    <row r="2368" spans="3:12" hidden="1">
      <c r="C2368" t="s">
        <v>31</v>
      </c>
      <c r="D2368" t="s">
        <v>73</v>
      </c>
      <c r="E2368">
        <v>12</v>
      </c>
      <c r="F2368" t="s">
        <v>10</v>
      </c>
      <c r="G2368" t="s">
        <v>51</v>
      </c>
      <c r="H2368" t="s">
        <v>479</v>
      </c>
      <c r="I2368" s="3" t="s">
        <v>492</v>
      </c>
      <c r="J2368" t="s">
        <v>54</v>
      </c>
      <c r="K2368" s="15">
        <v>1070742</v>
      </c>
      <c r="L2368" s="5" t="str">
        <f t="shared" si="36"/>
        <v>9 - 14</v>
      </c>
    </row>
    <row r="2369" spans="3:12" hidden="1">
      <c r="C2369" t="s">
        <v>31</v>
      </c>
      <c r="D2369" t="s">
        <v>49</v>
      </c>
      <c r="E2369">
        <v>12</v>
      </c>
      <c r="F2369" t="s">
        <v>10</v>
      </c>
      <c r="G2369" t="s">
        <v>59</v>
      </c>
      <c r="H2369" t="s">
        <v>479</v>
      </c>
      <c r="I2369" s="3" t="s">
        <v>173</v>
      </c>
      <c r="J2369" t="s">
        <v>66</v>
      </c>
      <c r="K2369" s="15">
        <v>1250000</v>
      </c>
      <c r="L2369" s="5" t="str">
        <f t="shared" si="36"/>
        <v>9 - 14</v>
      </c>
    </row>
    <row r="2370" spans="3:12" hidden="1">
      <c r="C2370" t="s">
        <v>31</v>
      </c>
      <c r="D2370" t="s">
        <v>55</v>
      </c>
      <c r="E2370">
        <v>12</v>
      </c>
      <c r="F2370" t="s">
        <v>10</v>
      </c>
      <c r="G2370" t="s">
        <v>59</v>
      </c>
      <c r="H2370" t="s">
        <v>479</v>
      </c>
      <c r="I2370" s="3" t="s">
        <v>242</v>
      </c>
      <c r="J2370" t="s">
        <v>66</v>
      </c>
      <c r="K2370" s="15">
        <v>1550000</v>
      </c>
      <c r="L2370" s="5" t="str">
        <f t="shared" si="36"/>
        <v>9 - 14</v>
      </c>
    </row>
    <row r="2371" spans="3:12" hidden="1">
      <c r="C2371" t="s">
        <v>31</v>
      </c>
      <c r="D2371" t="s">
        <v>55</v>
      </c>
      <c r="E2371">
        <v>12</v>
      </c>
      <c r="F2371" t="s">
        <v>10</v>
      </c>
      <c r="G2371" t="s">
        <v>51</v>
      </c>
      <c r="H2371" t="s">
        <v>479</v>
      </c>
      <c r="I2371" s="3" t="s">
        <v>408</v>
      </c>
      <c r="J2371" t="s">
        <v>66</v>
      </c>
      <c r="K2371" s="15">
        <v>2300000</v>
      </c>
      <c r="L2371" s="5" t="str">
        <f t="shared" ref="L2371:L2434" si="37">_xlfn.XLOOKUP(E2371,$P$2:$P$5,$O$2:$O$5,,1)</f>
        <v>9 - 14</v>
      </c>
    </row>
    <row r="2372" spans="3:12" hidden="1">
      <c r="C2372" t="s">
        <v>31</v>
      </c>
      <c r="D2372" t="s">
        <v>73</v>
      </c>
      <c r="E2372">
        <v>11</v>
      </c>
      <c r="F2372" t="s">
        <v>10</v>
      </c>
      <c r="G2372" t="s">
        <v>59</v>
      </c>
      <c r="H2372" t="s">
        <v>479</v>
      </c>
      <c r="I2372" s="3" t="s">
        <v>141</v>
      </c>
      <c r="J2372" t="s">
        <v>66</v>
      </c>
      <c r="K2372" s="15">
        <v>940000</v>
      </c>
      <c r="L2372" s="5" t="str">
        <f t="shared" si="37"/>
        <v>9 - 14</v>
      </c>
    </row>
    <row r="2373" spans="3:12" hidden="1">
      <c r="C2373" t="s">
        <v>31</v>
      </c>
      <c r="D2373" t="s">
        <v>55</v>
      </c>
      <c r="E2373">
        <v>11</v>
      </c>
      <c r="F2373" t="s">
        <v>10</v>
      </c>
      <c r="G2373" t="s">
        <v>59</v>
      </c>
      <c r="H2373" t="s">
        <v>479</v>
      </c>
      <c r="I2373" s="3" t="s">
        <v>173</v>
      </c>
      <c r="J2373" t="s">
        <v>54</v>
      </c>
      <c r="K2373" s="15">
        <v>1250000</v>
      </c>
      <c r="L2373" s="5" t="str">
        <f t="shared" si="37"/>
        <v>9 - 14</v>
      </c>
    </row>
    <row r="2374" spans="3:12" hidden="1">
      <c r="C2374" t="s">
        <v>30</v>
      </c>
      <c r="D2374" t="s">
        <v>50</v>
      </c>
      <c r="E2374">
        <v>10</v>
      </c>
      <c r="F2374" t="s">
        <v>10</v>
      </c>
      <c r="G2374" t="s">
        <v>59</v>
      </c>
      <c r="H2374" t="s">
        <v>479</v>
      </c>
      <c r="I2374" s="3" t="s">
        <v>111</v>
      </c>
      <c r="J2374" t="s">
        <v>66</v>
      </c>
      <c r="K2374" s="15">
        <v>870000</v>
      </c>
      <c r="L2374" s="5" t="str">
        <f t="shared" si="37"/>
        <v>9 - 14</v>
      </c>
    </row>
    <row r="2375" spans="3:12" hidden="1">
      <c r="C2375" t="s">
        <v>30</v>
      </c>
      <c r="D2375" t="s">
        <v>67</v>
      </c>
      <c r="E2375">
        <v>10</v>
      </c>
      <c r="F2375" t="s">
        <v>10</v>
      </c>
      <c r="G2375" t="s">
        <v>51</v>
      </c>
      <c r="H2375" t="s">
        <v>479</v>
      </c>
      <c r="I2375" s="3" t="s">
        <v>130</v>
      </c>
      <c r="J2375" t="s">
        <v>54</v>
      </c>
      <c r="K2375" s="15">
        <v>950000</v>
      </c>
      <c r="L2375" s="5" t="str">
        <f t="shared" si="37"/>
        <v>9 - 14</v>
      </c>
    </row>
    <row r="2376" spans="3:12" hidden="1">
      <c r="C2376" t="s">
        <v>31</v>
      </c>
      <c r="D2376" t="s">
        <v>50</v>
      </c>
      <c r="E2376">
        <v>10</v>
      </c>
      <c r="F2376" t="s">
        <v>10</v>
      </c>
      <c r="G2376" t="s">
        <v>59</v>
      </c>
      <c r="H2376" t="s">
        <v>479</v>
      </c>
      <c r="I2376" s="3" t="s">
        <v>110</v>
      </c>
      <c r="J2376" t="s">
        <v>54</v>
      </c>
      <c r="K2376" s="15">
        <v>1000000</v>
      </c>
      <c r="L2376" s="5" t="str">
        <f t="shared" si="37"/>
        <v>9 - 14</v>
      </c>
    </row>
    <row r="2377" spans="3:12" hidden="1">
      <c r="C2377" t="s">
        <v>31</v>
      </c>
      <c r="D2377" t="s">
        <v>55</v>
      </c>
      <c r="E2377">
        <v>10</v>
      </c>
      <c r="F2377" t="s">
        <v>10</v>
      </c>
      <c r="G2377" t="s">
        <v>59</v>
      </c>
      <c r="H2377" t="s">
        <v>479</v>
      </c>
      <c r="I2377" s="3" t="s">
        <v>106</v>
      </c>
      <c r="J2377" t="s">
        <v>66</v>
      </c>
      <c r="K2377" s="15">
        <v>1100000</v>
      </c>
      <c r="L2377" s="5" t="str">
        <f t="shared" si="37"/>
        <v>9 - 14</v>
      </c>
    </row>
    <row r="2378" spans="3:12" hidden="1">
      <c r="C2378" t="s">
        <v>31</v>
      </c>
      <c r="D2378" t="s">
        <v>64</v>
      </c>
      <c r="E2378">
        <v>9</v>
      </c>
      <c r="F2378" t="s">
        <v>10</v>
      </c>
      <c r="G2378" t="s">
        <v>51</v>
      </c>
      <c r="H2378" t="s">
        <v>479</v>
      </c>
      <c r="I2378" s="3" t="s">
        <v>110</v>
      </c>
      <c r="J2378" t="s">
        <v>54</v>
      </c>
      <c r="K2378" s="15">
        <v>1000000</v>
      </c>
      <c r="L2378" s="5" t="str">
        <f t="shared" si="37"/>
        <v>9 - 14</v>
      </c>
    </row>
    <row r="2379" spans="3:12" hidden="1">
      <c r="C2379" t="s">
        <v>31</v>
      </c>
      <c r="D2379" t="s">
        <v>73</v>
      </c>
      <c r="E2379">
        <v>9</v>
      </c>
      <c r="F2379" t="s">
        <v>10</v>
      </c>
      <c r="G2379" t="s">
        <v>59</v>
      </c>
      <c r="H2379" t="s">
        <v>479</v>
      </c>
      <c r="I2379" s="3" t="s">
        <v>205</v>
      </c>
      <c r="J2379" t="s">
        <v>66</v>
      </c>
      <c r="K2379" s="15">
        <v>2500000</v>
      </c>
      <c r="L2379" s="5" t="str">
        <f t="shared" si="37"/>
        <v>9 - 14</v>
      </c>
    </row>
    <row r="2380" spans="3:12" hidden="1">
      <c r="C2380" t="s">
        <v>30</v>
      </c>
      <c r="D2380" t="s">
        <v>91</v>
      </c>
      <c r="E2380">
        <v>8</v>
      </c>
      <c r="F2380" t="s">
        <v>10</v>
      </c>
      <c r="G2380" t="s">
        <v>59</v>
      </c>
      <c r="H2380" t="s">
        <v>479</v>
      </c>
      <c r="I2380" s="3" t="s">
        <v>106</v>
      </c>
      <c r="J2380" t="s">
        <v>66</v>
      </c>
      <c r="K2380" s="15">
        <v>1100000</v>
      </c>
      <c r="L2380" s="5" t="str">
        <f t="shared" si="37"/>
        <v>5  - 8</v>
      </c>
    </row>
    <row r="2381" spans="3:12" hidden="1">
      <c r="C2381" t="s">
        <v>31</v>
      </c>
      <c r="D2381" t="s">
        <v>77</v>
      </c>
      <c r="E2381">
        <v>8</v>
      </c>
      <c r="F2381" t="s">
        <v>10</v>
      </c>
      <c r="G2381" t="s">
        <v>51</v>
      </c>
      <c r="H2381" t="s">
        <v>479</v>
      </c>
      <c r="I2381" s="3" t="s">
        <v>493</v>
      </c>
      <c r="J2381" t="s">
        <v>54</v>
      </c>
      <c r="K2381" s="15">
        <v>826000</v>
      </c>
      <c r="L2381" s="5" t="str">
        <f t="shared" si="37"/>
        <v>5  - 8</v>
      </c>
    </row>
    <row r="2382" spans="3:12" hidden="1">
      <c r="C2382" t="s">
        <v>31</v>
      </c>
      <c r="D2382" t="s">
        <v>55</v>
      </c>
      <c r="E2382">
        <v>8</v>
      </c>
      <c r="F2382" t="s">
        <v>10</v>
      </c>
      <c r="G2382" t="s">
        <v>51</v>
      </c>
      <c r="H2382" t="s">
        <v>479</v>
      </c>
      <c r="I2382" s="3" t="s">
        <v>53</v>
      </c>
      <c r="J2382" t="s">
        <v>54</v>
      </c>
      <c r="K2382" s="15">
        <v>865000</v>
      </c>
      <c r="L2382" s="5" t="str">
        <f t="shared" si="37"/>
        <v>5  - 8</v>
      </c>
    </row>
    <row r="2383" spans="3:12" hidden="1">
      <c r="C2383" t="s">
        <v>31</v>
      </c>
      <c r="D2383" t="s">
        <v>73</v>
      </c>
      <c r="E2383">
        <v>8</v>
      </c>
      <c r="F2383" t="s">
        <v>10</v>
      </c>
      <c r="G2383" t="s">
        <v>51</v>
      </c>
      <c r="H2383" t="s">
        <v>479</v>
      </c>
      <c r="I2383" s="3" t="s">
        <v>111</v>
      </c>
      <c r="J2383" t="s">
        <v>54</v>
      </c>
      <c r="K2383" s="15">
        <v>870000</v>
      </c>
      <c r="L2383" s="5" t="str">
        <f t="shared" si="37"/>
        <v>5  - 8</v>
      </c>
    </row>
    <row r="2384" spans="3:12" hidden="1">
      <c r="C2384" t="s">
        <v>30</v>
      </c>
      <c r="D2384" t="s">
        <v>55</v>
      </c>
      <c r="E2384">
        <v>7</v>
      </c>
      <c r="F2384" t="s">
        <v>10</v>
      </c>
      <c r="G2384" t="s">
        <v>51</v>
      </c>
      <c r="H2384" t="s">
        <v>479</v>
      </c>
      <c r="I2384" s="3" t="s">
        <v>130</v>
      </c>
      <c r="J2384" t="s">
        <v>54</v>
      </c>
      <c r="K2384" s="15">
        <v>950000</v>
      </c>
      <c r="L2384" s="5" t="str">
        <f t="shared" si="37"/>
        <v>5  - 8</v>
      </c>
    </row>
    <row r="2385" spans="3:12" hidden="1">
      <c r="C2385" t="s">
        <v>31</v>
      </c>
      <c r="D2385" t="s">
        <v>55</v>
      </c>
      <c r="E2385">
        <v>7</v>
      </c>
      <c r="F2385" t="s">
        <v>10</v>
      </c>
      <c r="G2385" t="s">
        <v>59</v>
      </c>
      <c r="H2385" t="s">
        <v>479</v>
      </c>
      <c r="I2385" s="3" t="s">
        <v>106</v>
      </c>
      <c r="J2385" t="s">
        <v>66</v>
      </c>
      <c r="K2385" s="15">
        <v>1100000</v>
      </c>
      <c r="L2385" s="5" t="str">
        <f t="shared" si="37"/>
        <v>5  - 8</v>
      </c>
    </row>
    <row r="2386" spans="3:12" hidden="1">
      <c r="C2386" t="s">
        <v>31</v>
      </c>
      <c r="D2386" t="s">
        <v>73</v>
      </c>
      <c r="E2386">
        <v>7</v>
      </c>
      <c r="F2386" t="s">
        <v>10</v>
      </c>
      <c r="G2386" t="s">
        <v>51</v>
      </c>
      <c r="H2386" t="s">
        <v>479</v>
      </c>
      <c r="I2386" s="3" t="s">
        <v>106</v>
      </c>
      <c r="J2386" t="s">
        <v>66</v>
      </c>
      <c r="K2386" s="15">
        <v>1100000</v>
      </c>
      <c r="L2386" s="5" t="str">
        <f t="shared" si="37"/>
        <v>5  - 8</v>
      </c>
    </row>
    <row r="2387" spans="3:12" hidden="1">
      <c r="C2387" t="s">
        <v>30</v>
      </c>
      <c r="D2387" t="s">
        <v>62</v>
      </c>
      <c r="E2387">
        <v>6</v>
      </c>
      <c r="F2387" t="s">
        <v>10</v>
      </c>
      <c r="G2387" t="s">
        <v>51</v>
      </c>
      <c r="H2387" t="s">
        <v>479</v>
      </c>
      <c r="I2387" s="3" t="s">
        <v>110</v>
      </c>
      <c r="J2387" t="s">
        <v>66</v>
      </c>
      <c r="K2387" s="15">
        <v>1000000</v>
      </c>
      <c r="L2387" s="5" t="str">
        <f t="shared" si="37"/>
        <v>5  - 8</v>
      </c>
    </row>
    <row r="2388" spans="3:12" hidden="1">
      <c r="C2388" t="s">
        <v>31</v>
      </c>
      <c r="D2388" t="s">
        <v>77</v>
      </c>
      <c r="E2388">
        <v>6</v>
      </c>
      <c r="F2388" t="s">
        <v>10</v>
      </c>
      <c r="G2388" t="s">
        <v>51</v>
      </c>
      <c r="H2388" t="s">
        <v>479</v>
      </c>
      <c r="I2388" s="3" t="s">
        <v>85</v>
      </c>
      <c r="J2388" t="s">
        <v>54</v>
      </c>
      <c r="K2388" s="15">
        <v>650000</v>
      </c>
      <c r="L2388" s="5" t="str">
        <f t="shared" si="37"/>
        <v>5  - 8</v>
      </c>
    </row>
    <row r="2389" spans="3:12" hidden="1">
      <c r="C2389" t="s">
        <v>31</v>
      </c>
      <c r="D2389" t="s">
        <v>55</v>
      </c>
      <c r="E2389">
        <v>6</v>
      </c>
      <c r="F2389" t="s">
        <v>10</v>
      </c>
      <c r="G2389" t="s">
        <v>59</v>
      </c>
      <c r="H2389" t="s">
        <v>479</v>
      </c>
      <c r="I2389" s="3" t="s">
        <v>494</v>
      </c>
      <c r="J2389" t="s">
        <v>54</v>
      </c>
      <c r="K2389" s="15">
        <v>1066200</v>
      </c>
      <c r="L2389" s="5" t="str">
        <f t="shared" si="37"/>
        <v>5  - 8</v>
      </c>
    </row>
    <row r="2390" spans="3:12" hidden="1">
      <c r="C2390" t="s">
        <v>30</v>
      </c>
      <c r="D2390" t="s">
        <v>73</v>
      </c>
      <c r="E2390">
        <v>5</v>
      </c>
      <c r="F2390" t="s">
        <v>10</v>
      </c>
      <c r="G2390" t="s">
        <v>51</v>
      </c>
      <c r="H2390" t="s">
        <v>479</v>
      </c>
      <c r="I2390" s="3" t="s">
        <v>156</v>
      </c>
      <c r="J2390" t="s">
        <v>54</v>
      </c>
      <c r="K2390" s="15">
        <v>770000</v>
      </c>
      <c r="L2390" s="5" t="str">
        <f t="shared" si="37"/>
        <v>5  - 8</v>
      </c>
    </row>
    <row r="2391" spans="3:12" hidden="1">
      <c r="C2391" t="s">
        <v>30</v>
      </c>
      <c r="D2391" t="s">
        <v>55</v>
      </c>
      <c r="E2391">
        <v>5</v>
      </c>
      <c r="F2391" t="s">
        <v>10</v>
      </c>
      <c r="G2391" t="s">
        <v>59</v>
      </c>
      <c r="H2391" t="s">
        <v>479</v>
      </c>
      <c r="I2391" s="3" t="s">
        <v>72</v>
      </c>
      <c r="J2391" t="s">
        <v>54</v>
      </c>
      <c r="K2391" s="15">
        <v>850000</v>
      </c>
      <c r="L2391" s="5" t="str">
        <f t="shared" si="37"/>
        <v>5  - 8</v>
      </c>
    </row>
    <row r="2392" spans="3:12" hidden="1">
      <c r="C2392" t="s">
        <v>31</v>
      </c>
      <c r="D2392" t="s">
        <v>73</v>
      </c>
      <c r="E2392">
        <v>5</v>
      </c>
      <c r="F2392" t="s">
        <v>10</v>
      </c>
      <c r="G2392" t="s">
        <v>51</v>
      </c>
      <c r="H2392" t="s">
        <v>479</v>
      </c>
      <c r="I2392" s="3" t="s">
        <v>274</v>
      </c>
      <c r="J2392" t="s">
        <v>66</v>
      </c>
      <c r="K2392" s="15">
        <v>725000</v>
      </c>
      <c r="L2392" s="5" t="str">
        <f t="shared" si="37"/>
        <v>5  - 8</v>
      </c>
    </row>
    <row r="2393" spans="3:12" hidden="1">
      <c r="C2393" t="s">
        <v>31</v>
      </c>
      <c r="D2393" t="s">
        <v>55</v>
      </c>
      <c r="E2393">
        <v>5</v>
      </c>
      <c r="F2393" t="s">
        <v>10</v>
      </c>
      <c r="G2393" t="s">
        <v>51</v>
      </c>
      <c r="H2393" t="s">
        <v>479</v>
      </c>
      <c r="I2393" s="3" t="s">
        <v>71</v>
      </c>
      <c r="J2393" t="s">
        <v>54</v>
      </c>
      <c r="K2393" s="15">
        <v>820000</v>
      </c>
      <c r="L2393" s="5" t="str">
        <f t="shared" si="37"/>
        <v>5  - 8</v>
      </c>
    </row>
    <row r="2394" spans="3:12" hidden="1">
      <c r="C2394" t="s">
        <v>30</v>
      </c>
      <c r="D2394" t="s">
        <v>73</v>
      </c>
      <c r="E2394">
        <v>4</v>
      </c>
      <c r="F2394" t="s">
        <v>10</v>
      </c>
      <c r="G2394" t="s">
        <v>57</v>
      </c>
      <c r="H2394" t="s">
        <v>479</v>
      </c>
      <c r="I2394" s="3" t="s">
        <v>495</v>
      </c>
      <c r="J2394" t="s">
        <v>54</v>
      </c>
      <c r="K2394" s="15">
        <v>627000</v>
      </c>
      <c r="L2394" s="5" t="str">
        <f t="shared" si="37"/>
        <v>0 - 4</v>
      </c>
    </row>
    <row r="2395" spans="3:12" hidden="1">
      <c r="C2395" t="s">
        <v>30</v>
      </c>
      <c r="D2395" t="s">
        <v>55</v>
      </c>
      <c r="E2395">
        <v>4</v>
      </c>
      <c r="F2395" t="s">
        <v>10</v>
      </c>
      <c r="G2395" t="s">
        <v>59</v>
      </c>
      <c r="H2395" t="s">
        <v>479</v>
      </c>
      <c r="I2395" s="3" t="s">
        <v>79</v>
      </c>
      <c r="J2395" t="s">
        <v>54</v>
      </c>
      <c r="K2395" s="15">
        <v>900000</v>
      </c>
      <c r="L2395" s="5" t="str">
        <f t="shared" si="37"/>
        <v>0 - 4</v>
      </c>
    </row>
    <row r="2396" spans="3:12" hidden="1">
      <c r="C2396" t="s">
        <v>31</v>
      </c>
      <c r="D2396" t="s">
        <v>55</v>
      </c>
      <c r="E2396">
        <v>4</v>
      </c>
      <c r="F2396" t="s">
        <v>10</v>
      </c>
      <c r="G2396" t="s">
        <v>51</v>
      </c>
      <c r="H2396" t="s">
        <v>479</v>
      </c>
      <c r="I2396" s="3" t="s">
        <v>140</v>
      </c>
      <c r="J2396" t="s">
        <v>54</v>
      </c>
      <c r="K2396" s="15">
        <v>735000</v>
      </c>
      <c r="L2396" s="5" t="str">
        <f t="shared" si="37"/>
        <v>0 - 4</v>
      </c>
    </row>
    <row r="2397" spans="3:12" hidden="1">
      <c r="C2397" t="s">
        <v>31</v>
      </c>
      <c r="D2397" t="s">
        <v>55</v>
      </c>
      <c r="E2397">
        <v>4</v>
      </c>
      <c r="F2397" t="s">
        <v>10</v>
      </c>
      <c r="G2397" t="s">
        <v>51</v>
      </c>
      <c r="H2397" t="s">
        <v>479</v>
      </c>
      <c r="I2397" s="3" t="s">
        <v>220</v>
      </c>
      <c r="J2397" t="s">
        <v>54</v>
      </c>
      <c r="K2397" s="15">
        <v>760000</v>
      </c>
      <c r="L2397" s="5" t="str">
        <f t="shared" si="37"/>
        <v>0 - 4</v>
      </c>
    </row>
    <row r="2398" spans="3:12" hidden="1">
      <c r="C2398" t="s">
        <v>31</v>
      </c>
      <c r="D2398" t="s">
        <v>73</v>
      </c>
      <c r="E2398">
        <v>4</v>
      </c>
      <c r="F2398" t="s">
        <v>10</v>
      </c>
      <c r="G2398" t="s">
        <v>59</v>
      </c>
      <c r="H2398" t="s">
        <v>479</v>
      </c>
      <c r="I2398" s="3" t="s">
        <v>116</v>
      </c>
      <c r="J2398" t="s">
        <v>66</v>
      </c>
      <c r="K2398" s="15">
        <v>800000</v>
      </c>
      <c r="L2398" s="5" t="str">
        <f t="shared" si="37"/>
        <v>0 - 4</v>
      </c>
    </row>
    <row r="2399" spans="3:12" hidden="1">
      <c r="C2399" t="s">
        <v>31</v>
      </c>
      <c r="D2399" t="s">
        <v>73</v>
      </c>
      <c r="E2399">
        <v>4</v>
      </c>
      <c r="F2399" t="s">
        <v>10</v>
      </c>
      <c r="G2399" t="s">
        <v>59</v>
      </c>
      <c r="H2399" t="s">
        <v>479</v>
      </c>
      <c r="I2399" s="3" t="s">
        <v>167</v>
      </c>
      <c r="J2399" t="s">
        <v>54</v>
      </c>
      <c r="K2399" s="15">
        <v>860000</v>
      </c>
      <c r="L2399" s="5" t="str">
        <f t="shared" si="37"/>
        <v>0 - 4</v>
      </c>
    </row>
    <row r="2400" spans="3:12" hidden="1">
      <c r="C2400" t="s">
        <v>31</v>
      </c>
      <c r="D2400" t="s">
        <v>50</v>
      </c>
      <c r="E2400">
        <v>3</v>
      </c>
      <c r="F2400" t="s">
        <v>10</v>
      </c>
      <c r="G2400" t="s">
        <v>51</v>
      </c>
      <c r="H2400" t="s">
        <v>479</v>
      </c>
      <c r="I2400" s="3" t="s">
        <v>281</v>
      </c>
      <c r="J2400" t="s">
        <v>54</v>
      </c>
      <c r="K2400" s="15">
        <v>610000</v>
      </c>
      <c r="L2400" s="5" t="str">
        <f t="shared" si="37"/>
        <v>0 - 4</v>
      </c>
    </row>
    <row r="2401" spans="3:12" hidden="1">
      <c r="C2401" t="s">
        <v>31</v>
      </c>
      <c r="D2401" t="s">
        <v>55</v>
      </c>
      <c r="E2401">
        <v>3</v>
      </c>
      <c r="F2401" t="s">
        <v>10</v>
      </c>
      <c r="G2401" t="s">
        <v>51</v>
      </c>
      <c r="H2401" t="s">
        <v>479</v>
      </c>
      <c r="I2401" s="3" t="s">
        <v>116</v>
      </c>
      <c r="J2401" t="s">
        <v>54</v>
      </c>
      <c r="K2401" s="15">
        <v>800000</v>
      </c>
      <c r="L2401" s="5" t="str">
        <f t="shared" si="37"/>
        <v>0 - 4</v>
      </c>
    </row>
    <row r="2402" spans="3:12" hidden="1">
      <c r="C2402" t="s">
        <v>31</v>
      </c>
      <c r="D2402" t="s">
        <v>50</v>
      </c>
      <c r="E2402">
        <v>3</v>
      </c>
      <c r="F2402" t="s">
        <v>10</v>
      </c>
      <c r="G2402" t="s">
        <v>57</v>
      </c>
      <c r="H2402" t="s">
        <v>479</v>
      </c>
      <c r="I2402" s="3" t="s">
        <v>116</v>
      </c>
      <c r="J2402" t="s">
        <v>54</v>
      </c>
      <c r="K2402" s="15">
        <v>800000</v>
      </c>
      <c r="L2402" s="5" t="str">
        <f t="shared" si="37"/>
        <v>0 - 4</v>
      </c>
    </row>
    <row r="2403" spans="3:12" hidden="1">
      <c r="C2403" t="s">
        <v>31</v>
      </c>
      <c r="D2403" t="s">
        <v>55</v>
      </c>
      <c r="E2403">
        <v>3</v>
      </c>
      <c r="F2403" t="s">
        <v>10</v>
      </c>
      <c r="G2403" t="s">
        <v>59</v>
      </c>
      <c r="H2403" t="s">
        <v>479</v>
      </c>
      <c r="I2403" s="3" t="s">
        <v>133</v>
      </c>
      <c r="J2403" t="s">
        <v>66</v>
      </c>
      <c r="K2403" s="15">
        <v>960000</v>
      </c>
      <c r="L2403" s="5" t="str">
        <f t="shared" si="37"/>
        <v>0 - 4</v>
      </c>
    </row>
    <row r="2404" spans="3:12" hidden="1">
      <c r="C2404" t="s">
        <v>31</v>
      </c>
      <c r="D2404" t="s">
        <v>77</v>
      </c>
      <c r="E2404">
        <v>2</v>
      </c>
      <c r="F2404" t="s">
        <v>10</v>
      </c>
      <c r="G2404" t="s">
        <v>51</v>
      </c>
      <c r="H2404" t="s">
        <v>479</v>
      </c>
      <c r="I2404" s="3" t="s">
        <v>191</v>
      </c>
      <c r="J2404" t="s">
        <v>54</v>
      </c>
      <c r="K2404" s="15">
        <v>530000</v>
      </c>
      <c r="L2404" s="5" t="str">
        <f t="shared" si="37"/>
        <v>0 - 4</v>
      </c>
    </row>
    <row r="2405" spans="3:12" hidden="1">
      <c r="C2405" t="s">
        <v>31</v>
      </c>
      <c r="D2405" t="s">
        <v>55</v>
      </c>
      <c r="E2405">
        <v>2</v>
      </c>
      <c r="F2405" t="s">
        <v>10</v>
      </c>
      <c r="G2405" t="s">
        <v>59</v>
      </c>
      <c r="H2405" t="s">
        <v>479</v>
      </c>
      <c r="I2405" s="3" t="s">
        <v>113</v>
      </c>
      <c r="J2405" t="s">
        <v>54</v>
      </c>
      <c r="K2405" s="15">
        <v>590000</v>
      </c>
      <c r="L2405" s="5" t="str">
        <f t="shared" si="37"/>
        <v>0 - 4</v>
      </c>
    </row>
    <row r="2406" spans="3:12" hidden="1">
      <c r="C2406" t="s">
        <v>31</v>
      </c>
      <c r="D2406" t="s">
        <v>55</v>
      </c>
      <c r="E2406">
        <v>2</v>
      </c>
      <c r="F2406" t="s">
        <v>10</v>
      </c>
      <c r="G2406" t="s">
        <v>59</v>
      </c>
      <c r="H2406" t="s">
        <v>479</v>
      </c>
      <c r="I2406" s="3" t="s">
        <v>130</v>
      </c>
      <c r="J2406" t="s">
        <v>66</v>
      </c>
      <c r="K2406" s="15">
        <v>950000</v>
      </c>
      <c r="L2406" s="5" t="str">
        <f t="shared" si="37"/>
        <v>0 - 4</v>
      </c>
    </row>
    <row r="2407" spans="3:12" hidden="1">
      <c r="C2407" t="s">
        <v>31</v>
      </c>
      <c r="D2407" t="s">
        <v>49</v>
      </c>
      <c r="E2407">
        <v>0</v>
      </c>
      <c r="F2407" t="s">
        <v>10</v>
      </c>
      <c r="G2407" t="s">
        <v>59</v>
      </c>
      <c r="H2407" t="s">
        <v>479</v>
      </c>
      <c r="I2407" s="3" t="s">
        <v>69</v>
      </c>
      <c r="J2407" t="s">
        <v>54</v>
      </c>
      <c r="K2407" s="15">
        <v>750000</v>
      </c>
      <c r="L2407" s="5" t="str">
        <f t="shared" si="37"/>
        <v>0 - 4</v>
      </c>
    </row>
    <row r="2408" spans="3:12" hidden="1">
      <c r="C2408" t="s">
        <v>31</v>
      </c>
      <c r="D2408" t="s">
        <v>73</v>
      </c>
      <c r="E2408">
        <v>38</v>
      </c>
      <c r="F2408" t="s">
        <v>11</v>
      </c>
      <c r="G2408" t="s">
        <v>127</v>
      </c>
      <c r="H2408" t="s">
        <v>479</v>
      </c>
      <c r="I2408" s="3" t="s">
        <v>72</v>
      </c>
      <c r="J2408" t="s">
        <v>54</v>
      </c>
      <c r="K2408" s="15">
        <v>850000</v>
      </c>
      <c r="L2408" s="5" t="str">
        <f t="shared" si="37"/>
        <v>15 +</v>
      </c>
    </row>
    <row r="2409" spans="3:12" hidden="1">
      <c r="C2409" t="s">
        <v>31</v>
      </c>
      <c r="D2409" t="s">
        <v>55</v>
      </c>
      <c r="E2409">
        <v>25</v>
      </c>
      <c r="F2409" t="s">
        <v>11</v>
      </c>
      <c r="G2409" t="s">
        <v>59</v>
      </c>
      <c r="H2409" t="s">
        <v>479</v>
      </c>
      <c r="I2409" s="3" t="s">
        <v>496</v>
      </c>
      <c r="J2409" t="s">
        <v>54</v>
      </c>
      <c r="K2409" s="15">
        <v>1475000</v>
      </c>
      <c r="L2409" s="5" t="str">
        <f t="shared" si="37"/>
        <v>15 +</v>
      </c>
    </row>
    <row r="2410" spans="3:12" hidden="1">
      <c r="C2410" t="s">
        <v>31</v>
      </c>
      <c r="D2410" t="s">
        <v>55</v>
      </c>
      <c r="E2410">
        <v>23</v>
      </c>
      <c r="F2410" t="s">
        <v>11</v>
      </c>
      <c r="G2410" t="s">
        <v>59</v>
      </c>
      <c r="H2410" t="s">
        <v>479</v>
      </c>
      <c r="I2410" s="3" t="s">
        <v>61</v>
      </c>
      <c r="J2410" t="s">
        <v>66</v>
      </c>
      <c r="K2410" s="15">
        <v>1200000</v>
      </c>
      <c r="L2410" s="5" t="str">
        <f t="shared" si="37"/>
        <v>15 +</v>
      </c>
    </row>
    <row r="2411" spans="3:12" hidden="1">
      <c r="C2411" t="s">
        <v>31</v>
      </c>
      <c r="D2411" t="s">
        <v>55</v>
      </c>
      <c r="E2411">
        <v>20</v>
      </c>
      <c r="F2411" t="s">
        <v>11</v>
      </c>
      <c r="G2411" t="s">
        <v>51</v>
      </c>
      <c r="H2411" t="s">
        <v>479</v>
      </c>
      <c r="I2411" s="3" t="s">
        <v>110</v>
      </c>
      <c r="J2411" t="s">
        <v>54</v>
      </c>
      <c r="K2411" s="15">
        <v>1000000</v>
      </c>
      <c r="L2411" s="5" t="str">
        <f t="shared" si="37"/>
        <v>15 +</v>
      </c>
    </row>
    <row r="2412" spans="3:12" hidden="1">
      <c r="C2412" t="s">
        <v>30</v>
      </c>
      <c r="D2412" t="s">
        <v>67</v>
      </c>
      <c r="E2412">
        <v>15</v>
      </c>
      <c r="F2412" t="s">
        <v>11</v>
      </c>
      <c r="G2412" t="s">
        <v>59</v>
      </c>
      <c r="H2412" t="s">
        <v>479</v>
      </c>
      <c r="I2412" s="3" t="s">
        <v>69</v>
      </c>
      <c r="J2412" t="s">
        <v>66</v>
      </c>
      <c r="K2412" s="15">
        <v>750000</v>
      </c>
      <c r="L2412" s="5" t="str">
        <f t="shared" si="37"/>
        <v>15 +</v>
      </c>
    </row>
    <row r="2413" spans="3:12" hidden="1">
      <c r="C2413" t="s">
        <v>31</v>
      </c>
      <c r="D2413" t="s">
        <v>73</v>
      </c>
      <c r="E2413">
        <v>15</v>
      </c>
      <c r="F2413" t="s">
        <v>11</v>
      </c>
      <c r="G2413" t="s">
        <v>51</v>
      </c>
      <c r="H2413" t="s">
        <v>479</v>
      </c>
      <c r="I2413" s="3" t="s">
        <v>106</v>
      </c>
      <c r="J2413" t="s">
        <v>54</v>
      </c>
      <c r="K2413" s="15">
        <v>1100000</v>
      </c>
      <c r="L2413" s="5" t="str">
        <f t="shared" si="37"/>
        <v>15 +</v>
      </c>
    </row>
    <row r="2414" spans="3:12" hidden="1">
      <c r="C2414" t="s">
        <v>31</v>
      </c>
      <c r="D2414" t="s">
        <v>77</v>
      </c>
      <c r="E2414">
        <v>15</v>
      </c>
      <c r="F2414" t="s">
        <v>11</v>
      </c>
      <c r="G2414" t="s">
        <v>51</v>
      </c>
      <c r="H2414" t="s">
        <v>479</v>
      </c>
      <c r="I2414" s="3" t="s">
        <v>184</v>
      </c>
      <c r="J2414" t="s">
        <v>54</v>
      </c>
      <c r="K2414" s="15">
        <v>1350000</v>
      </c>
      <c r="L2414" s="5" t="str">
        <f t="shared" si="37"/>
        <v>15 +</v>
      </c>
    </row>
    <row r="2415" spans="3:12" hidden="1">
      <c r="C2415" t="s">
        <v>31</v>
      </c>
      <c r="D2415" t="s">
        <v>73</v>
      </c>
      <c r="E2415">
        <v>13</v>
      </c>
      <c r="F2415" t="s">
        <v>11</v>
      </c>
      <c r="G2415" t="s">
        <v>59</v>
      </c>
      <c r="H2415" t="s">
        <v>479</v>
      </c>
      <c r="I2415" s="3" t="s">
        <v>173</v>
      </c>
      <c r="J2415" t="s">
        <v>66</v>
      </c>
      <c r="K2415" s="15">
        <v>1250000</v>
      </c>
      <c r="L2415" s="5" t="str">
        <f t="shared" si="37"/>
        <v>9 - 14</v>
      </c>
    </row>
    <row r="2416" spans="3:12" hidden="1">
      <c r="C2416" t="s">
        <v>30</v>
      </c>
      <c r="D2416" t="s">
        <v>55</v>
      </c>
      <c r="E2416">
        <v>7</v>
      </c>
      <c r="F2416" t="s">
        <v>11</v>
      </c>
      <c r="G2416" t="s">
        <v>51</v>
      </c>
      <c r="H2416" t="s">
        <v>479</v>
      </c>
      <c r="I2416" s="3" t="s">
        <v>110</v>
      </c>
      <c r="J2416" t="s">
        <v>66</v>
      </c>
      <c r="K2416" s="15">
        <v>1000000</v>
      </c>
      <c r="L2416" s="5" t="str">
        <f t="shared" si="37"/>
        <v>5  - 8</v>
      </c>
    </row>
    <row r="2417" spans="3:12" hidden="1">
      <c r="C2417" t="s">
        <v>30</v>
      </c>
      <c r="D2417" t="s">
        <v>55</v>
      </c>
      <c r="E2417">
        <v>4</v>
      </c>
      <c r="F2417" t="s">
        <v>11</v>
      </c>
      <c r="G2417" t="s">
        <v>59</v>
      </c>
      <c r="H2417" t="s">
        <v>479</v>
      </c>
      <c r="I2417" s="3" t="s">
        <v>209</v>
      </c>
      <c r="J2417" t="s">
        <v>66</v>
      </c>
      <c r="K2417" s="15">
        <v>1010000</v>
      </c>
      <c r="L2417" s="5" t="str">
        <f t="shared" si="37"/>
        <v>0 - 4</v>
      </c>
    </row>
    <row r="2418" spans="3:12" hidden="1">
      <c r="C2418" t="s">
        <v>31</v>
      </c>
      <c r="D2418" t="s">
        <v>132</v>
      </c>
      <c r="E2418">
        <v>25</v>
      </c>
      <c r="F2418" t="s">
        <v>12</v>
      </c>
      <c r="G2418" t="s">
        <v>59</v>
      </c>
      <c r="H2418" t="s">
        <v>479</v>
      </c>
      <c r="I2418" s="3" t="s">
        <v>134</v>
      </c>
      <c r="J2418" t="s">
        <v>66</v>
      </c>
      <c r="K2418" s="15">
        <v>1650000</v>
      </c>
      <c r="L2418" s="5" t="str">
        <f t="shared" si="37"/>
        <v>15 +</v>
      </c>
    </row>
    <row r="2419" spans="3:12" hidden="1">
      <c r="C2419" t="s">
        <v>31</v>
      </c>
      <c r="D2419" t="s">
        <v>49</v>
      </c>
      <c r="E2419">
        <v>15</v>
      </c>
      <c r="F2419" t="s">
        <v>12</v>
      </c>
      <c r="G2419" t="s">
        <v>51</v>
      </c>
      <c r="H2419" t="s">
        <v>479</v>
      </c>
      <c r="I2419" s="3" t="s">
        <v>110</v>
      </c>
      <c r="J2419" t="s">
        <v>54</v>
      </c>
      <c r="K2419" s="15">
        <v>1000000</v>
      </c>
      <c r="L2419" s="5" t="str">
        <f t="shared" si="37"/>
        <v>15 +</v>
      </c>
    </row>
    <row r="2420" spans="3:12" hidden="1">
      <c r="C2420" t="s">
        <v>31</v>
      </c>
      <c r="D2420" t="s">
        <v>55</v>
      </c>
      <c r="E2420">
        <v>7</v>
      </c>
      <c r="F2420" t="s">
        <v>12</v>
      </c>
      <c r="G2420" t="s">
        <v>51</v>
      </c>
      <c r="H2420" t="s">
        <v>479</v>
      </c>
      <c r="I2420" s="3" t="s">
        <v>133</v>
      </c>
      <c r="J2420" t="s">
        <v>54</v>
      </c>
      <c r="K2420" s="15">
        <v>960000</v>
      </c>
      <c r="L2420" s="5" t="str">
        <f t="shared" si="37"/>
        <v>5  - 8</v>
      </c>
    </row>
    <row r="2421" spans="3:12" hidden="1">
      <c r="C2421" t="s">
        <v>31</v>
      </c>
      <c r="D2421" t="s">
        <v>77</v>
      </c>
      <c r="E2421">
        <v>28</v>
      </c>
      <c r="F2421" t="s">
        <v>13</v>
      </c>
      <c r="G2421" t="s">
        <v>51</v>
      </c>
      <c r="H2421" t="s">
        <v>479</v>
      </c>
      <c r="I2421" s="3" t="s">
        <v>110</v>
      </c>
      <c r="J2421" t="s">
        <v>54</v>
      </c>
      <c r="K2421" s="15">
        <v>1000000</v>
      </c>
      <c r="L2421" s="5" t="str">
        <f t="shared" si="37"/>
        <v>15 +</v>
      </c>
    </row>
    <row r="2422" spans="3:12" hidden="1">
      <c r="C2422" t="s">
        <v>30</v>
      </c>
      <c r="D2422" t="s">
        <v>50</v>
      </c>
      <c r="E2422">
        <v>25</v>
      </c>
      <c r="F2422" t="s">
        <v>13</v>
      </c>
      <c r="G2422" t="s">
        <v>51</v>
      </c>
      <c r="H2422" t="s">
        <v>479</v>
      </c>
      <c r="I2422" s="3" t="s">
        <v>168</v>
      </c>
      <c r="J2422" t="s">
        <v>66</v>
      </c>
      <c r="K2422" s="15">
        <v>880000</v>
      </c>
      <c r="L2422" s="5" t="str">
        <f t="shared" si="37"/>
        <v>15 +</v>
      </c>
    </row>
    <row r="2423" spans="3:12" hidden="1">
      <c r="C2423" t="s">
        <v>31</v>
      </c>
      <c r="D2423" t="s">
        <v>55</v>
      </c>
      <c r="E2423">
        <v>17</v>
      </c>
      <c r="F2423" t="s">
        <v>13</v>
      </c>
      <c r="G2423" t="s">
        <v>59</v>
      </c>
      <c r="H2423" t="s">
        <v>479</v>
      </c>
      <c r="I2423" s="3" t="s">
        <v>61</v>
      </c>
      <c r="J2423" t="s">
        <v>66</v>
      </c>
      <c r="K2423" s="15">
        <v>1200000</v>
      </c>
      <c r="L2423" s="5" t="str">
        <f t="shared" si="37"/>
        <v>15 +</v>
      </c>
    </row>
    <row r="2424" spans="3:12" hidden="1">
      <c r="C2424" t="s">
        <v>31</v>
      </c>
      <c r="D2424" t="s">
        <v>55</v>
      </c>
      <c r="E2424">
        <v>16</v>
      </c>
      <c r="F2424" t="s">
        <v>13</v>
      </c>
      <c r="G2424" t="s">
        <v>59</v>
      </c>
      <c r="H2424" t="s">
        <v>479</v>
      </c>
      <c r="I2424" s="3" t="s">
        <v>388</v>
      </c>
      <c r="J2424" t="s">
        <v>66</v>
      </c>
      <c r="K2424" s="15">
        <v>1320000</v>
      </c>
      <c r="L2424" s="5" t="str">
        <f t="shared" si="37"/>
        <v>15 +</v>
      </c>
    </row>
    <row r="2425" spans="3:12" hidden="1">
      <c r="C2425" t="s">
        <v>31</v>
      </c>
      <c r="D2425" t="s">
        <v>56</v>
      </c>
      <c r="E2425">
        <v>15</v>
      </c>
      <c r="F2425" t="s">
        <v>13</v>
      </c>
      <c r="G2425" t="s">
        <v>51</v>
      </c>
      <c r="H2425" t="s">
        <v>479</v>
      </c>
      <c r="I2425" s="3" t="s">
        <v>116</v>
      </c>
      <c r="J2425" t="s">
        <v>54</v>
      </c>
      <c r="K2425" s="15">
        <v>800000</v>
      </c>
      <c r="L2425" s="5" t="str">
        <f t="shared" si="37"/>
        <v>15 +</v>
      </c>
    </row>
    <row r="2426" spans="3:12" hidden="1">
      <c r="C2426" t="s">
        <v>30</v>
      </c>
      <c r="D2426" t="s">
        <v>55</v>
      </c>
      <c r="E2426">
        <v>13</v>
      </c>
      <c r="F2426" t="s">
        <v>13</v>
      </c>
      <c r="G2426" t="s">
        <v>59</v>
      </c>
      <c r="H2426" t="s">
        <v>479</v>
      </c>
      <c r="I2426" s="3" t="s">
        <v>497</v>
      </c>
      <c r="J2426" t="s">
        <v>54</v>
      </c>
      <c r="K2426" s="15">
        <v>1065000</v>
      </c>
      <c r="L2426" s="5" t="str">
        <f t="shared" si="37"/>
        <v>9 - 14</v>
      </c>
    </row>
    <row r="2427" spans="3:12" hidden="1">
      <c r="C2427" t="s">
        <v>31</v>
      </c>
      <c r="D2427" t="s">
        <v>73</v>
      </c>
      <c r="E2427">
        <v>12</v>
      </c>
      <c r="F2427" t="s">
        <v>13</v>
      </c>
      <c r="G2427" t="s">
        <v>59</v>
      </c>
      <c r="H2427" t="s">
        <v>479</v>
      </c>
      <c r="I2427" s="3" t="s">
        <v>60</v>
      </c>
      <c r="J2427" t="s">
        <v>66</v>
      </c>
      <c r="K2427" s="15">
        <v>1500000</v>
      </c>
      <c r="L2427" s="5" t="str">
        <f t="shared" si="37"/>
        <v>9 - 14</v>
      </c>
    </row>
    <row r="2428" spans="3:12" hidden="1">
      <c r="C2428" t="s">
        <v>31</v>
      </c>
      <c r="D2428" t="s">
        <v>55</v>
      </c>
      <c r="E2428">
        <v>5</v>
      </c>
      <c r="F2428" t="s">
        <v>13</v>
      </c>
      <c r="G2428" t="s">
        <v>59</v>
      </c>
      <c r="H2428" t="s">
        <v>479</v>
      </c>
      <c r="I2428" s="3" t="s">
        <v>154</v>
      </c>
      <c r="J2428" t="s">
        <v>66</v>
      </c>
      <c r="K2428" s="15">
        <v>875000</v>
      </c>
      <c r="L2428" s="5" t="str">
        <f t="shared" si="37"/>
        <v>5  - 8</v>
      </c>
    </row>
    <row r="2429" spans="3:12" hidden="1">
      <c r="C2429" t="s">
        <v>31</v>
      </c>
      <c r="D2429" t="s">
        <v>73</v>
      </c>
      <c r="E2429">
        <v>3</v>
      </c>
      <c r="F2429" t="s">
        <v>13</v>
      </c>
      <c r="G2429" t="s">
        <v>59</v>
      </c>
      <c r="H2429" t="s">
        <v>479</v>
      </c>
      <c r="I2429" s="3" t="s">
        <v>281</v>
      </c>
      <c r="J2429" t="s">
        <v>66</v>
      </c>
      <c r="K2429" s="15">
        <v>610000</v>
      </c>
      <c r="L2429" s="5" t="str">
        <f t="shared" si="37"/>
        <v>0 - 4</v>
      </c>
    </row>
    <row r="2430" spans="3:12" hidden="1">
      <c r="C2430" t="s">
        <v>31</v>
      </c>
      <c r="D2430" t="s">
        <v>55</v>
      </c>
      <c r="E2430">
        <v>3</v>
      </c>
      <c r="F2430" t="s">
        <v>13</v>
      </c>
      <c r="G2430" t="s">
        <v>51</v>
      </c>
      <c r="H2430" t="s">
        <v>479</v>
      </c>
      <c r="I2430" s="3" t="s">
        <v>159</v>
      </c>
      <c r="J2430" t="s">
        <v>54</v>
      </c>
      <c r="K2430" s="15">
        <v>680000</v>
      </c>
      <c r="L2430" s="5" t="str">
        <f t="shared" si="37"/>
        <v>0 - 4</v>
      </c>
    </row>
    <row r="2431" spans="3:12" hidden="1">
      <c r="C2431" t="s">
        <v>31</v>
      </c>
      <c r="D2431" t="s">
        <v>73</v>
      </c>
      <c r="E2431">
        <v>20</v>
      </c>
      <c r="F2431" t="s">
        <v>17</v>
      </c>
      <c r="G2431" t="s">
        <v>127</v>
      </c>
      <c r="H2431" t="s">
        <v>479</v>
      </c>
      <c r="I2431" s="3" t="s">
        <v>339</v>
      </c>
      <c r="J2431" t="s">
        <v>54</v>
      </c>
      <c r="K2431" s="15">
        <v>500000</v>
      </c>
      <c r="L2431" s="5" t="str">
        <f t="shared" si="37"/>
        <v>15 +</v>
      </c>
    </row>
    <row r="2432" spans="3:12" hidden="1">
      <c r="C2432" t="s">
        <v>30</v>
      </c>
      <c r="D2432" t="s">
        <v>77</v>
      </c>
      <c r="E2432">
        <v>5</v>
      </c>
      <c r="F2432" t="s">
        <v>17</v>
      </c>
      <c r="G2432" t="s">
        <v>51</v>
      </c>
      <c r="H2432" t="s">
        <v>479</v>
      </c>
      <c r="I2432" s="3" t="s">
        <v>110</v>
      </c>
      <c r="J2432" t="s">
        <v>54</v>
      </c>
      <c r="K2432" s="15">
        <v>1000000</v>
      </c>
      <c r="L2432" s="5" t="str">
        <f t="shared" si="37"/>
        <v>5  - 8</v>
      </c>
    </row>
    <row r="2433" spans="3:12" hidden="1">
      <c r="C2433" t="s">
        <v>31</v>
      </c>
      <c r="D2433" t="s">
        <v>73</v>
      </c>
      <c r="E2433">
        <v>25</v>
      </c>
      <c r="F2433" t="s">
        <v>18</v>
      </c>
      <c r="G2433" t="s">
        <v>51</v>
      </c>
      <c r="H2433" t="s">
        <v>479</v>
      </c>
      <c r="I2433" s="3" t="s">
        <v>79</v>
      </c>
      <c r="J2433" t="s">
        <v>54</v>
      </c>
      <c r="K2433" s="15">
        <v>900000</v>
      </c>
      <c r="L2433" s="5" t="str">
        <f t="shared" si="37"/>
        <v>15 +</v>
      </c>
    </row>
    <row r="2434" spans="3:12" hidden="1">
      <c r="C2434" t="s">
        <v>30</v>
      </c>
      <c r="D2434" t="s">
        <v>56</v>
      </c>
      <c r="E2434">
        <v>24</v>
      </c>
      <c r="F2434" t="s">
        <v>18</v>
      </c>
      <c r="G2434" t="s">
        <v>59</v>
      </c>
      <c r="H2434" t="s">
        <v>479</v>
      </c>
      <c r="I2434" s="3" t="s">
        <v>104</v>
      </c>
      <c r="J2434" t="s">
        <v>66</v>
      </c>
      <c r="K2434" s="15">
        <v>1300000</v>
      </c>
      <c r="L2434" s="5" t="str">
        <f t="shared" si="37"/>
        <v>15 +</v>
      </c>
    </row>
    <row r="2435" spans="3:12" hidden="1">
      <c r="C2435" t="s">
        <v>31</v>
      </c>
      <c r="D2435" t="s">
        <v>80</v>
      </c>
      <c r="E2435">
        <v>15</v>
      </c>
      <c r="F2435" t="s">
        <v>18</v>
      </c>
      <c r="G2435" t="s">
        <v>51</v>
      </c>
      <c r="H2435" t="s">
        <v>479</v>
      </c>
      <c r="I2435" s="3" t="s">
        <v>61</v>
      </c>
      <c r="J2435" t="s">
        <v>54</v>
      </c>
      <c r="K2435" s="15">
        <v>1200000</v>
      </c>
      <c r="L2435" s="5" t="str">
        <f t="shared" ref="L2435:L2498" si="38">_xlfn.XLOOKUP(E2435,$P$2:$P$5,$O$2:$O$5,,1)</f>
        <v>15 +</v>
      </c>
    </row>
    <row r="2436" spans="3:12" hidden="1">
      <c r="C2436" t="s">
        <v>31</v>
      </c>
      <c r="D2436" t="s">
        <v>73</v>
      </c>
      <c r="E2436">
        <v>5</v>
      </c>
      <c r="F2436" t="s">
        <v>18</v>
      </c>
      <c r="G2436" t="s">
        <v>51</v>
      </c>
      <c r="H2436" t="s">
        <v>479</v>
      </c>
      <c r="I2436" s="3" t="s">
        <v>498</v>
      </c>
      <c r="J2436" t="s">
        <v>54</v>
      </c>
      <c r="K2436" s="15">
        <v>611000</v>
      </c>
      <c r="L2436" s="5" t="str">
        <f t="shared" si="38"/>
        <v>5  - 8</v>
      </c>
    </row>
    <row r="2437" spans="3:12" hidden="1">
      <c r="C2437" t="s">
        <v>31</v>
      </c>
      <c r="D2437" t="s">
        <v>77</v>
      </c>
      <c r="E2437">
        <v>5</v>
      </c>
      <c r="F2437" t="s">
        <v>18</v>
      </c>
      <c r="G2437" t="s">
        <v>51</v>
      </c>
      <c r="H2437" t="s">
        <v>479</v>
      </c>
      <c r="I2437" s="3" t="s">
        <v>130</v>
      </c>
      <c r="J2437" t="s">
        <v>54</v>
      </c>
      <c r="K2437" s="15">
        <v>950000</v>
      </c>
      <c r="L2437" s="5" t="str">
        <f t="shared" si="38"/>
        <v>5  - 8</v>
      </c>
    </row>
    <row r="2438" spans="3:12" hidden="1">
      <c r="C2438" t="s">
        <v>30</v>
      </c>
      <c r="D2438" t="s">
        <v>73</v>
      </c>
      <c r="E2438">
        <v>1</v>
      </c>
      <c r="F2438" t="s">
        <v>18</v>
      </c>
      <c r="G2438" t="s">
        <v>57</v>
      </c>
      <c r="H2438" t="s">
        <v>479</v>
      </c>
      <c r="I2438" s="3" t="s">
        <v>81</v>
      </c>
      <c r="J2438" t="s">
        <v>54</v>
      </c>
      <c r="K2438" s="15">
        <v>640000</v>
      </c>
      <c r="L2438" s="5" t="str">
        <f t="shared" si="38"/>
        <v>0 - 4</v>
      </c>
    </row>
    <row r="2439" spans="3:12" hidden="1">
      <c r="C2439" t="s">
        <v>31</v>
      </c>
      <c r="D2439" t="s">
        <v>49</v>
      </c>
      <c r="E2439">
        <v>26</v>
      </c>
      <c r="F2439" t="s">
        <v>14</v>
      </c>
      <c r="G2439" t="s">
        <v>51</v>
      </c>
      <c r="H2439" t="s">
        <v>479</v>
      </c>
      <c r="I2439" s="3" t="s">
        <v>173</v>
      </c>
      <c r="J2439" t="s">
        <v>66</v>
      </c>
      <c r="K2439" s="15">
        <v>1250000</v>
      </c>
      <c r="L2439" s="5" t="str">
        <f t="shared" si="38"/>
        <v>15 +</v>
      </c>
    </row>
    <row r="2440" spans="3:12" hidden="1">
      <c r="C2440" t="s">
        <v>31</v>
      </c>
      <c r="D2440" t="s">
        <v>55</v>
      </c>
      <c r="E2440">
        <v>21</v>
      </c>
      <c r="F2440" t="s">
        <v>14</v>
      </c>
      <c r="G2440" t="s">
        <v>51</v>
      </c>
      <c r="H2440" t="s">
        <v>479</v>
      </c>
      <c r="I2440" s="3" t="s">
        <v>463</v>
      </c>
      <c r="J2440" t="s">
        <v>54</v>
      </c>
      <c r="K2440" s="15">
        <v>916000</v>
      </c>
      <c r="L2440" s="5" t="str">
        <f t="shared" si="38"/>
        <v>15 +</v>
      </c>
    </row>
    <row r="2441" spans="3:12" hidden="1">
      <c r="C2441" t="s">
        <v>31</v>
      </c>
      <c r="D2441" t="s">
        <v>121</v>
      </c>
      <c r="E2441">
        <v>20</v>
      </c>
      <c r="F2441" t="s">
        <v>14</v>
      </c>
      <c r="G2441" t="s">
        <v>51</v>
      </c>
      <c r="H2441" t="s">
        <v>479</v>
      </c>
      <c r="I2441" s="3" t="s">
        <v>148</v>
      </c>
      <c r="J2441" t="s">
        <v>54</v>
      </c>
      <c r="K2441" s="15">
        <v>1050000</v>
      </c>
      <c r="L2441" s="5" t="str">
        <f t="shared" si="38"/>
        <v>15 +</v>
      </c>
    </row>
    <row r="2442" spans="3:12" hidden="1">
      <c r="C2442" t="s">
        <v>31</v>
      </c>
      <c r="D2442" t="s">
        <v>73</v>
      </c>
      <c r="E2442">
        <v>17</v>
      </c>
      <c r="F2442" t="s">
        <v>14</v>
      </c>
      <c r="G2442" t="s">
        <v>51</v>
      </c>
      <c r="H2442" t="s">
        <v>479</v>
      </c>
      <c r="I2442" s="3" t="s">
        <v>452</v>
      </c>
      <c r="J2442" t="s">
        <v>66</v>
      </c>
      <c r="K2442" s="15">
        <v>1160000</v>
      </c>
      <c r="L2442" s="5" t="str">
        <f t="shared" si="38"/>
        <v>15 +</v>
      </c>
    </row>
    <row r="2443" spans="3:12" hidden="1">
      <c r="C2443" t="s">
        <v>31</v>
      </c>
      <c r="D2443" t="s">
        <v>77</v>
      </c>
      <c r="E2443">
        <v>15</v>
      </c>
      <c r="F2443" t="s">
        <v>14</v>
      </c>
      <c r="G2443" t="s">
        <v>51</v>
      </c>
      <c r="H2443" t="s">
        <v>479</v>
      </c>
      <c r="I2443" s="3" t="s">
        <v>110</v>
      </c>
      <c r="J2443" t="s">
        <v>54</v>
      </c>
      <c r="K2443" s="15">
        <v>1000000</v>
      </c>
      <c r="L2443" s="5" t="str">
        <f t="shared" si="38"/>
        <v>15 +</v>
      </c>
    </row>
    <row r="2444" spans="3:12" hidden="1">
      <c r="C2444" t="s">
        <v>31</v>
      </c>
      <c r="D2444" t="s">
        <v>55</v>
      </c>
      <c r="E2444">
        <v>12</v>
      </c>
      <c r="F2444" t="s">
        <v>14</v>
      </c>
      <c r="G2444" t="s">
        <v>57</v>
      </c>
      <c r="H2444" t="s">
        <v>479</v>
      </c>
      <c r="I2444" s="3" t="s">
        <v>71</v>
      </c>
      <c r="J2444" t="s">
        <v>54</v>
      </c>
      <c r="K2444" s="15">
        <v>820000</v>
      </c>
      <c r="L2444" s="5" t="str">
        <f t="shared" si="38"/>
        <v>9 - 14</v>
      </c>
    </row>
    <row r="2445" spans="3:12" hidden="1">
      <c r="C2445" t="s">
        <v>31</v>
      </c>
      <c r="D2445" t="s">
        <v>88</v>
      </c>
      <c r="E2445">
        <v>12</v>
      </c>
      <c r="F2445" t="s">
        <v>14</v>
      </c>
      <c r="G2445" t="s">
        <v>51</v>
      </c>
      <c r="H2445" t="s">
        <v>479</v>
      </c>
      <c r="I2445" s="3" t="s">
        <v>411</v>
      </c>
      <c r="J2445" t="s">
        <v>66</v>
      </c>
      <c r="K2445" s="15">
        <v>1380000</v>
      </c>
      <c r="L2445" s="5" t="str">
        <f t="shared" si="38"/>
        <v>9 - 14</v>
      </c>
    </row>
    <row r="2446" spans="3:12" hidden="1">
      <c r="C2446" t="s">
        <v>31</v>
      </c>
      <c r="D2446" t="s">
        <v>73</v>
      </c>
      <c r="E2446">
        <v>8</v>
      </c>
      <c r="F2446" t="s">
        <v>14</v>
      </c>
      <c r="G2446" t="s">
        <v>51</v>
      </c>
      <c r="H2446" t="s">
        <v>479</v>
      </c>
      <c r="I2446" s="3" t="s">
        <v>85</v>
      </c>
      <c r="J2446" t="s">
        <v>54</v>
      </c>
      <c r="K2446" s="15">
        <v>650000</v>
      </c>
      <c r="L2446" s="5" t="str">
        <f t="shared" si="38"/>
        <v>5  - 8</v>
      </c>
    </row>
    <row r="2447" spans="3:12" hidden="1">
      <c r="C2447" t="s">
        <v>31</v>
      </c>
      <c r="D2447" t="s">
        <v>67</v>
      </c>
      <c r="E2447">
        <v>7</v>
      </c>
      <c r="F2447" t="s">
        <v>14</v>
      </c>
      <c r="G2447" t="s">
        <v>59</v>
      </c>
      <c r="H2447" t="s">
        <v>479</v>
      </c>
      <c r="I2447" s="3" t="s">
        <v>72</v>
      </c>
      <c r="J2447" t="s">
        <v>66</v>
      </c>
      <c r="K2447" s="15">
        <v>850000</v>
      </c>
      <c r="L2447" s="5" t="str">
        <f t="shared" si="38"/>
        <v>5  - 8</v>
      </c>
    </row>
    <row r="2448" spans="3:12" hidden="1">
      <c r="C2448" t="s">
        <v>31</v>
      </c>
      <c r="D2448" t="s">
        <v>55</v>
      </c>
      <c r="E2448">
        <v>5</v>
      </c>
      <c r="F2448" t="s">
        <v>14</v>
      </c>
      <c r="G2448" t="s">
        <v>59</v>
      </c>
      <c r="H2448" t="s">
        <v>479</v>
      </c>
      <c r="I2448" s="3" t="s">
        <v>166</v>
      </c>
      <c r="J2448" t="s">
        <v>66</v>
      </c>
      <c r="K2448" s="15">
        <v>890000</v>
      </c>
      <c r="L2448" s="5" t="str">
        <f t="shared" si="38"/>
        <v>5  - 8</v>
      </c>
    </row>
    <row r="2449" spans="3:12" hidden="1">
      <c r="C2449" t="s">
        <v>31</v>
      </c>
      <c r="D2449" t="s">
        <v>77</v>
      </c>
      <c r="E2449">
        <v>3</v>
      </c>
      <c r="F2449" t="s">
        <v>14</v>
      </c>
      <c r="G2449" t="s">
        <v>51</v>
      </c>
      <c r="H2449" t="s">
        <v>479</v>
      </c>
      <c r="I2449" s="3" t="s">
        <v>339</v>
      </c>
      <c r="J2449" t="s">
        <v>54</v>
      </c>
      <c r="K2449" s="15">
        <v>500000</v>
      </c>
      <c r="L2449" s="5" t="str">
        <f t="shared" si="38"/>
        <v>0 - 4</v>
      </c>
    </row>
    <row r="2450" spans="3:12" hidden="1">
      <c r="C2450" t="s">
        <v>31</v>
      </c>
      <c r="D2450" t="s">
        <v>55</v>
      </c>
      <c r="E2450">
        <v>2</v>
      </c>
      <c r="F2450" t="s">
        <v>14</v>
      </c>
      <c r="G2450" t="s">
        <v>51</v>
      </c>
      <c r="H2450" t="s">
        <v>479</v>
      </c>
      <c r="I2450" s="3" t="s">
        <v>111</v>
      </c>
      <c r="J2450" t="s">
        <v>54</v>
      </c>
      <c r="K2450" s="15">
        <v>870000</v>
      </c>
      <c r="L2450" s="5" t="str">
        <f t="shared" si="38"/>
        <v>0 - 4</v>
      </c>
    </row>
    <row r="2451" spans="3:12" hidden="1">
      <c r="C2451" t="s">
        <v>31</v>
      </c>
      <c r="D2451" t="s">
        <v>105</v>
      </c>
      <c r="E2451">
        <v>38</v>
      </c>
      <c r="F2451" t="s">
        <v>15</v>
      </c>
      <c r="G2451" t="s">
        <v>57</v>
      </c>
      <c r="H2451" t="s">
        <v>479</v>
      </c>
      <c r="I2451" s="3" t="s">
        <v>108</v>
      </c>
      <c r="J2451" t="s">
        <v>54</v>
      </c>
      <c r="K2451" s="15">
        <v>700000</v>
      </c>
      <c r="L2451" s="5" t="str">
        <f t="shared" si="38"/>
        <v>15 +</v>
      </c>
    </row>
    <row r="2452" spans="3:12" hidden="1">
      <c r="C2452" t="s">
        <v>31</v>
      </c>
      <c r="D2452" t="s">
        <v>77</v>
      </c>
      <c r="E2452">
        <v>28</v>
      </c>
      <c r="F2452" t="s">
        <v>15</v>
      </c>
      <c r="G2452" t="s">
        <v>51</v>
      </c>
      <c r="H2452" t="s">
        <v>479</v>
      </c>
      <c r="I2452" s="3" t="s">
        <v>182</v>
      </c>
      <c r="J2452" t="s">
        <v>66</v>
      </c>
      <c r="K2452" s="15">
        <v>1450000</v>
      </c>
      <c r="L2452" s="5" t="str">
        <f t="shared" si="38"/>
        <v>15 +</v>
      </c>
    </row>
    <row r="2453" spans="3:12" hidden="1">
      <c r="C2453" t="s">
        <v>31</v>
      </c>
      <c r="D2453" t="s">
        <v>55</v>
      </c>
      <c r="E2453">
        <v>26</v>
      </c>
      <c r="F2453" t="s">
        <v>15</v>
      </c>
      <c r="G2453" t="s">
        <v>51</v>
      </c>
      <c r="H2453" t="s">
        <v>479</v>
      </c>
      <c r="I2453" s="3" t="s">
        <v>173</v>
      </c>
      <c r="J2453" t="s">
        <v>66</v>
      </c>
      <c r="K2453" s="15">
        <v>1250000</v>
      </c>
      <c r="L2453" s="5" t="str">
        <f t="shared" si="38"/>
        <v>15 +</v>
      </c>
    </row>
    <row r="2454" spans="3:12" hidden="1">
      <c r="C2454" t="s">
        <v>31</v>
      </c>
      <c r="D2454" t="s">
        <v>55</v>
      </c>
      <c r="E2454">
        <v>14</v>
      </c>
      <c r="F2454" t="s">
        <v>15</v>
      </c>
      <c r="G2454" t="s">
        <v>59</v>
      </c>
      <c r="H2454" t="s">
        <v>479</v>
      </c>
      <c r="I2454" s="3" t="s">
        <v>184</v>
      </c>
      <c r="J2454" t="s">
        <v>66</v>
      </c>
      <c r="K2454" s="15">
        <v>1350000</v>
      </c>
      <c r="L2454" s="5" t="str">
        <f t="shared" si="38"/>
        <v>9 - 14</v>
      </c>
    </row>
    <row r="2455" spans="3:12" hidden="1">
      <c r="C2455" t="s">
        <v>31</v>
      </c>
      <c r="D2455" t="s">
        <v>77</v>
      </c>
      <c r="E2455">
        <v>10</v>
      </c>
      <c r="F2455" t="s">
        <v>15</v>
      </c>
      <c r="G2455" t="s">
        <v>57</v>
      </c>
      <c r="H2455" t="s">
        <v>479</v>
      </c>
      <c r="I2455" s="3" t="s">
        <v>256</v>
      </c>
      <c r="J2455" t="s">
        <v>54</v>
      </c>
      <c r="K2455" s="15">
        <v>825000</v>
      </c>
      <c r="L2455" s="5" t="str">
        <f t="shared" si="38"/>
        <v>9 - 14</v>
      </c>
    </row>
    <row r="2456" spans="3:12" hidden="1">
      <c r="C2456" t="s">
        <v>31</v>
      </c>
      <c r="D2456" t="s">
        <v>56</v>
      </c>
      <c r="E2456">
        <v>10</v>
      </c>
      <c r="F2456" t="s">
        <v>15</v>
      </c>
      <c r="G2456" t="s">
        <v>59</v>
      </c>
      <c r="H2456" t="s">
        <v>479</v>
      </c>
      <c r="I2456" s="3" t="s">
        <v>110</v>
      </c>
      <c r="J2456" t="s">
        <v>66</v>
      </c>
      <c r="K2456" s="15">
        <v>1000000</v>
      </c>
      <c r="L2456" s="5" t="str">
        <f t="shared" si="38"/>
        <v>9 - 14</v>
      </c>
    </row>
    <row r="2457" spans="3:12" hidden="1">
      <c r="C2457" t="s">
        <v>31</v>
      </c>
      <c r="D2457" t="s">
        <v>73</v>
      </c>
      <c r="E2457">
        <v>8</v>
      </c>
      <c r="F2457" t="s">
        <v>15</v>
      </c>
      <c r="G2457" t="s">
        <v>51</v>
      </c>
      <c r="H2457" t="s">
        <v>479</v>
      </c>
      <c r="I2457" s="3" t="s">
        <v>209</v>
      </c>
      <c r="J2457" t="s">
        <v>54</v>
      </c>
      <c r="K2457" s="15">
        <v>1010000</v>
      </c>
      <c r="L2457" s="5" t="str">
        <f t="shared" si="38"/>
        <v>5  - 8</v>
      </c>
    </row>
    <row r="2458" spans="3:12" hidden="1">
      <c r="C2458" t="s">
        <v>31</v>
      </c>
      <c r="D2458" t="s">
        <v>73</v>
      </c>
      <c r="E2458">
        <v>6</v>
      </c>
      <c r="F2458" t="s">
        <v>15</v>
      </c>
      <c r="G2458" t="s">
        <v>51</v>
      </c>
      <c r="H2458" t="s">
        <v>479</v>
      </c>
      <c r="I2458" s="3" t="s">
        <v>129</v>
      </c>
      <c r="J2458" t="s">
        <v>66</v>
      </c>
      <c r="K2458" s="15">
        <v>1150000</v>
      </c>
      <c r="L2458" s="5" t="str">
        <f t="shared" si="38"/>
        <v>5  - 8</v>
      </c>
    </row>
    <row r="2459" spans="3:12" hidden="1">
      <c r="C2459" t="s">
        <v>30</v>
      </c>
      <c r="D2459" t="s">
        <v>73</v>
      </c>
      <c r="E2459">
        <v>5</v>
      </c>
      <c r="F2459" t="s">
        <v>15</v>
      </c>
      <c r="G2459" t="s">
        <v>59</v>
      </c>
      <c r="H2459" t="s">
        <v>479</v>
      </c>
      <c r="I2459" s="3" t="s">
        <v>499</v>
      </c>
      <c r="J2459" t="s">
        <v>66</v>
      </c>
      <c r="K2459" s="15">
        <v>806000</v>
      </c>
      <c r="L2459" s="5" t="str">
        <f t="shared" si="38"/>
        <v>5  - 8</v>
      </c>
    </row>
    <row r="2460" spans="3:12" hidden="1">
      <c r="C2460" t="s">
        <v>31</v>
      </c>
      <c r="D2460" t="s">
        <v>77</v>
      </c>
      <c r="E2460">
        <v>5</v>
      </c>
      <c r="F2460" t="s">
        <v>15</v>
      </c>
      <c r="G2460" t="s">
        <v>51</v>
      </c>
      <c r="H2460" t="s">
        <v>479</v>
      </c>
      <c r="I2460" s="3" t="s">
        <v>184</v>
      </c>
      <c r="J2460" t="s">
        <v>66</v>
      </c>
      <c r="K2460" s="15">
        <v>1350000</v>
      </c>
      <c r="L2460" s="5" t="str">
        <f t="shared" si="38"/>
        <v>5  - 8</v>
      </c>
    </row>
    <row r="2461" spans="3:12" hidden="1">
      <c r="C2461" t="s">
        <v>31</v>
      </c>
      <c r="D2461" t="s">
        <v>55</v>
      </c>
      <c r="E2461">
        <v>18</v>
      </c>
      <c r="F2461" t="s">
        <v>8</v>
      </c>
      <c r="G2461" t="s">
        <v>59</v>
      </c>
      <c r="H2461" t="s">
        <v>500</v>
      </c>
      <c r="I2461" s="3" t="s">
        <v>60</v>
      </c>
      <c r="J2461" t="s">
        <v>54</v>
      </c>
      <c r="K2461" s="15">
        <v>1500000</v>
      </c>
      <c r="L2461" s="5" t="str">
        <f t="shared" si="38"/>
        <v>15 +</v>
      </c>
    </row>
    <row r="2462" spans="3:12" hidden="1">
      <c r="C2462" t="s">
        <v>31</v>
      </c>
      <c r="D2462" t="s">
        <v>77</v>
      </c>
      <c r="E2462">
        <v>14</v>
      </c>
      <c r="F2462" t="s">
        <v>8</v>
      </c>
      <c r="G2462" t="s">
        <v>59</v>
      </c>
      <c r="H2462" t="s">
        <v>500</v>
      </c>
      <c r="I2462" s="3" t="s">
        <v>130</v>
      </c>
      <c r="J2462" t="s">
        <v>66</v>
      </c>
      <c r="K2462" s="15">
        <v>950000</v>
      </c>
      <c r="L2462" s="5" t="str">
        <f t="shared" si="38"/>
        <v>9 - 14</v>
      </c>
    </row>
    <row r="2463" spans="3:12" hidden="1">
      <c r="C2463" t="s">
        <v>31</v>
      </c>
      <c r="D2463" t="s">
        <v>73</v>
      </c>
      <c r="E2463">
        <v>1</v>
      </c>
      <c r="F2463" t="s">
        <v>8</v>
      </c>
      <c r="G2463" t="s">
        <v>51</v>
      </c>
      <c r="H2463" t="s">
        <v>500</v>
      </c>
      <c r="I2463" s="3" t="s">
        <v>281</v>
      </c>
      <c r="J2463" t="s">
        <v>54</v>
      </c>
      <c r="K2463" s="15">
        <v>610000</v>
      </c>
      <c r="L2463" s="5" t="str">
        <f t="shared" si="38"/>
        <v>0 - 4</v>
      </c>
    </row>
    <row r="2464" spans="3:12" hidden="1">
      <c r="C2464" t="s">
        <v>31</v>
      </c>
      <c r="D2464" t="s">
        <v>55</v>
      </c>
      <c r="E2464">
        <v>0</v>
      </c>
      <c r="F2464" t="s">
        <v>8</v>
      </c>
      <c r="G2464" t="s">
        <v>51</v>
      </c>
      <c r="H2464" t="s">
        <v>500</v>
      </c>
      <c r="I2464" s="3" t="s">
        <v>376</v>
      </c>
      <c r="J2464" t="s">
        <v>54</v>
      </c>
      <c r="K2464" s="15">
        <v>555000</v>
      </c>
      <c r="L2464" s="5" t="str">
        <f t="shared" si="38"/>
        <v>0 - 4</v>
      </c>
    </row>
    <row r="2465" spans="3:12" hidden="1">
      <c r="C2465" t="s">
        <v>31</v>
      </c>
      <c r="D2465" t="s">
        <v>73</v>
      </c>
      <c r="E2465">
        <v>0</v>
      </c>
      <c r="F2465" t="s">
        <v>8</v>
      </c>
      <c r="G2465" t="s">
        <v>59</v>
      </c>
      <c r="H2465" t="s">
        <v>500</v>
      </c>
      <c r="I2465" s="3" t="s">
        <v>139</v>
      </c>
      <c r="J2465" t="s">
        <v>54</v>
      </c>
      <c r="K2465" s="15">
        <v>600000</v>
      </c>
      <c r="L2465" s="5" t="str">
        <f t="shared" si="38"/>
        <v>0 - 4</v>
      </c>
    </row>
    <row r="2466" spans="3:12" hidden="1">
      <c r="C2466" t="s">
        <v>31</v>
      </c>
      <c r="D2466" t="s">
        <v>105</v>
      </c>
      <c r="E2466">
        <v>20</v>
      </c>
      <c r="F2466" t="s">
        <v>19</v>
      </c>
      <c r="G2466" t="s">
        <v>51</v>
      </c>
      <c r="H2466" t="s">
        <v>500</v>
      </c>
      <c r="I2466" s="3" t="s">
        <v>151</v>
      </c>
      <c r="J2466" t="s">
        <v>54</v>
      </c>
      <c r="K2466" s="15">
        <v>690000</v>
      </c>
      <c r="L2466" s="5" t="str">
        <f t="shared" si="38"/>
        <v>15 +</v>
      </c>
    </row>
    <row r="2467" spans="3:12" hidden="1">
      <c r="C2467" t="s">
        <v>31</v>
      </c>
      <c r="D2467" t="s">
        <v>63</v>
      </c>
      <c r="E2467">
        <v>18</v>
      </c>
      <c r="F2467" t="s">
        <v>19</v>
      </c>
      <c r="G2467" t="s">
        <v>51</v>
      </c>
      <c r="H2467" t="s">
        <v>500</v>
      </c>
      <c r="I2467" s="3" t="s">
        <v>110</v>
      </c>
      <c r="J2467" t="s">
        <v>54</v>
      </c>
      <c r="K2467" s="15">
        <v>1000000</v>
      </c>
      <c r="L2467" s="5" t="str">
        <f t="shared" si="38"/>
        <v>15 +</v>
      </c>
    </row>
    <row r="2468" spans="3:12" hidden="1">
      <c r="C2468" t="s">
        <v>31</v>
      </c>
      <c r="D2468" t="s">
        <v>73</v>
      </c>
      <c r="E2468">
        <v>14</v>
      </c>
      <c r="F2468" t="s">
        <v>19</v>
      </c>
      <c r="G2468" t="s">
        <v>51</v>
      </c>
      <c r="H2468" t="s">
        <v>500</v>
      </c>
      <c r="I2468" s="3" t="s">
        <v>116</v>
      </c>
      <c r="J2468" t="s">
        <v>54</v>
      </c>
      <c r="K2468" s="15">
        <v>800000</v>
      </c>
      <c r="L2468" s="5" t="str">
        <f t="shared" si="38"/>
        <v>9 - 14</v>
      </c>
    </row>
    <row r="2469" spans="3:12" hidden="1">
      <c r="C2469" t="s">
        <v>31</v>
      </c>
      <c r="D2469" t="s">
        <v>55</v>
      </c>
      <c r="E2469">
        <v>3</v>
      </c>
      <c r="F2469" t="s">
        <v>9</v>
      </c>
      <c r="G2469" t="s">
        <v>51</v>
      </c>
      <c r="H2469" t="s">
        <v>500</v>
      </c>
      <c r="I2469" s="3" t="s">
        <v>154</v>
      </c>
      <c r="J2469" t="s">
        <v>66</v>
      </c>
      <c r="K2469" s="15">
        <v>875000</v>
      </c>
      <c r="L2469" s="5" t="str">
        <f t="shared" si="38"/>
        <v>0 - 4</v>
      </c>
    </row>
    <row r="2470" spans="3:12" hidden="1">
      <c r="C2470" t="s">
        <v>31</v>
      </c>
      <c r="D2470" t="s">
        <v>77</v>
      </c>
      <c r="E2470">
        <v>27</v>
      </c>
      <c r="F2470" t="s">
        <v>10</v>
      </c>
      <c r="G2470" t="s">
        <v>51</v>
      </c>
      <c r="H2470" t="s">
        <v>500</v>
      </c>
      <c r="I2470" s="36" t="s">
        <v>184</v>
      </c>
      <c r="J2470" t="s">
        <v>54</v>
      </c>
      <c r="K2470" s="15">
        <v>1350000</v>
      </c>
      <c r="L2470" s="5" t="str">
        <f t="shared" si="38"/>
        <v>15 +</v>
      </c>
    </row>
    <row r="2471" spans="3:12" hidden="1">
      <c r="C2471" t="s">
        <v>32</v>
      </c>
      <c r="D2471" t="s">
        <v>55</v>
      </c>
      <c r="E2471">
        <v>20</v>
      </c>
      <c r="F2471" t="s">
        <v>10</v>
      </c>
      <c r="G2471" t="s">
        <v>57</v>
      </c>
      <c r="H2471" t="s">
        <v>500</v>
      </c>
      <c r="I2471" s="36" t="s">
        <v>130</v>
      </c>
      <c r="J2471" t="s">
        <v>54</v>
      </c>
      <c r="K2471" s="15">
        <v>950000</v>
      </c>
      <c r="L2471" s="5" t="str">
        <f t="shared" si="38"/>
        <v>15 +</v>
      </c>
    </row>
    <row r="2472" spans="3:12" hidden="1">
      <c r="C2472" t="s">
        <v>31</v>
      </c>
      <c r="D2472" t="s">
        <v>55</v>
      </c>
      <c r="E2472">
        <v>20</v>
      </c>
      <c r="F2472" t="s">
        <v>10</v>
      </c>
      <c r="G2472" t="s">
        <v>127</v>
      </c>
      <c r="H2472" t="s">
        <v>500</v>
      </c>
      <c r="I2472" s="36" t="s">
        <v>205</v>
      </c>
      <c r="J2472" t="s">
        <v>54</v>
      </c>
      <c r="K2472" s="15">
        <v>2500000</v>
      </c>
      <c r="L2472" s="5" t="str">
        <f t="shared" si="38"/>
        <v>15 +</v>
      </c>
    </row>
    <row r="2473" spans="3:12" hidden="1">
      <c r="C2473" t="s">
        <v>31</v>
      </c>
      <c r="D2473" t="s">
        <v>55</v>
      </c>
      <c r="E2473">
        <v>13</v>
      </c>
      <c r="F2473" t="s">
        <v>10</v>
      </c>
      <c r="G2473" t="s">
        <v>51</v>
      </c>
      <c r="H2473" t="s">
        <v>500</v>
      </c>
      <c r="I2473" s="3" t="s">
        <v>79</v>
      </c>
      <c r="J2473" t="s">
        <v>54</v>
      </c>
      <c r="K2473" s="15">
        <v>900000</v>
      </c>
      <c r="L2473" s="5" t="str">
        <f t="shared" si="38"/>
        <v>9 - 14</v>
      </c>
    </row>
    <row r="2474" spans="3:12" hidden="1">
      <c r="C2474" t="s">
        <v>31</v>
      </c>
      <c r="D2474" t="s">
        <v>55</v>
      </c>
      <c r="E2474">
        <v>13</v>
      </c>
      <c r="F2474" t="s">
        <v>10</v>
      </c>
      <c r="G2474" t="s">
        <v>59</v>
      </c>
      <c r="H2474" t="s">
        <v>500</v>
      </c>
      <c r="I2474" s="3" t="s">
        <v>211</v>
      </c>
      <c r="J2474" t="s">
        <v>54</v>
      </c>
      <c r="K2474" s="15">
        <v>1060000</v>
      </c>
      <c r="L2474" s="5" t="str">
        <f t="shared" si="38"/>
        <v>9 - 14</v>
      </c>
    </row>
    <row r="2475" spans="3:12" hidden="1">
      <c r="C2475" t="s">
        <v>31</v>
      </c>
      <c r="D2475" t="s">
        <v>73</v>
      </c>
      <c r="E2475">
        <v>12</v>
      </c>
      <c r="F2475" t="s">
        <v>10</v>
      </c>
      <c r="G2475" t="s">
        <v>51</v>
      </c>
      <c r="H2475" t="s">
        <v>500</v>
      </c>
      <c r="I2475" s="3" t="s">
        <v>79</v>
      </c>
      <c r="J2475" t="s">
        <v>54</v>
      </c>
      <c r="K2475" s="15">
        <v>900000</v>
      </c>
      <c r="L2475" s="5" t="str">
        <f t="shared" si="38"/>
        <v>9 - 14</v>
      </c>
    </row>
    <row r="2476" spans="3:12" hidden="1">
      <c r="C2476" t="s">
        <v>31</v>
      </c>
      <c r="D2476" t="s">
        <v>55</v>
      </c>
      <c r="E2476">
        <v>11</v>
      </c>
      <c r="F2476" t="s">
        <v>10</v>
      </c>
      <c r="G2476" t="s">
        <v>51</v>
      </c>
      <c r="H2476" t="s">
        <v>500</v>
      </c>
      <c r="I2476" s="3" t="s">
        <v>501</v>
      </c>
      <c r="J2476" t="s">
        <v>54</v>
      </c>
      <c r="K2476" s="15">
        <v>1122000</v>
      </c>
      <c r="L2476" s="5" t="str">
        <f t="shared" si="38"/>
        <v>9 - 14</v>
      </c>
    </row>
    <row r="2477" spans="3:12" hidden="1">
      <c r="C2477" t="s">
        <v>30</v>
      </c>
      <c r="D2477" t="s">
        <v>55</v>
      </c>
      <c r="E2477">
        <v>7</v>
      </c>
      <c r="F2477" t="s">
        <v>10</v>
      </c>
      <c r="G2477" t="s">
        <v>51</v>
      </c>
      <c r="H2477" t="s">
        <v>500</v>
      </c>
      <c r="I2477" s="3" t="s">
        <v>502</v>
      </c>
      <c r="J2477" t="s">
        <v>54</v>
      </c>
      <c r="K2477" s="15">
        <v>876000</v>
      </c>
      <c r="L2477" s="5" t="str">
        <f t="shared" si="38"/>
        <v>5  - 8</v>
      </c>
    </row>
    <row r="2478" spans="3:12" hidden="1">
      <c r="C2478" t="s">
        <v>31</v>
      </c>
      <c r="D2478" t="s">
        <v>55</v>
      </c>
      <c r="E2478">
        <v>7</v>
      </c>
      <c r="F2478" t="s">
        <v>10</v>
      </c>
      <c r="G2478" t="s">
        <v>59</v>
      </c>
      <c r="H2478" t="s">
        <v>500</v>
      </c>
      <c r="I2478" s="3" t="s">
        <v>108</v>
      </c>
      <c r="J2478" t="s">
        <v>54</v>
      </c>
      <c r="K2478" s="15">
        <v>700000</v>
      </c>
      <c r="L2478" s="5" t="str">
        <f t="shared" si="38"/>
        <v>5  - 8</v>
      </c>
    </row>
    <row r="2479" spans="3:12" hidden="1">
      <c r="C2479" t="s">
        <v>31</v>
      </c>
      <c r="D2479" t="s">
        <v>73</v>
      </c>
      <c r="E2479">
        <v>7</v>
      </c>
      <c r="F2479" t="s">
        <v>10</v>
      </c>
      <c r="G2479" t="s">
        <v>51</v>
      </c>
      <c r="H2479" t="s">
        <v>500</v>
      </c>
      <c r="I2479" s="3" t="s">
        <v>167</v>
      </c>
      <c r="J2479" t="s">
        <v>54</v>
      </c>
      <c r="K2479" s="15">
        <v>860000</v>
      </c>
      <c r="L2479" s="5" t="str">
        <f t="shared" si="38"/>
        <v>5  - 8</v>
      </c>
    </row>
    <row r="2480" spans="3:12" hidden="1">
      <c r="C2480" t="s">
        <v>31</v>
      </c>
      <c r="D2480" t="s">
        <v>73</v>
      </c>
      <c r="E2480">
        <v>7</v>
      </c>
      <c r="F2480" t="s">
        <v>10</v>
      </c>
      <c r="G2480" t="s">
        <v>51</v>
      </c>
      <c r="H2480" t="s">
        <v>500</v>
      </c>
      <c r="I2480" s="3" t="s">
        <v>503</v>
      </c>
      <c r="J2480" t="s">
        <v>66</v>
      </c>
      <c r="K2480" s="15">
        <v>965000</v>
      </c>
      <c r="L2480" s="5" t="str">
        <f t="shared" si="38"/>
        <v>5  - 8</v>
      </c>
    </row>
    <row r="2481" spans="3:12" hidden="1">
      <c r="C2481" t="s">
        <v>31</v>
      </c>
      <c r="D2481" t="s">
        <v>55</v>
      </c>
      <c r="E2481">
        <v>6</v>
      </c>
      <c r="F2481" t="s">
        <v>10</v>
      </c>
      <c r="G2481" t="s">
        <v>51</v>
      </c>
      <c r="H2481" t="s">
        <v>500</v>
      </c>
      <c r="I2481" s="3" t="s">
        <v>130</v>
      </c>
      <c r="J2481" t="s">
        <v>54</v>
      </c>
      <c r="K2481" s="15">
        <v>950000</v>
      </c>
      <c r="L2481" s="5" t="str">
        <f t="shared" si="38"/>
        <v>5  - 8</v>
      </c>
    </row>
    <row r="2482" spans="3:12" hidden="1">
      <c r="C2482" t="s">
        <v>30</v>
      </c>
      <c r="D2482" t="s">
        <v>55</v>
      </c>
      <c r="E2482">
        <v>5</v>
      </c>
      <c r="F2482" t="s">
        <v>10</v>
      </c>
      <c r="G2482" t="s">
        <v>59</v>
      </c>
      <c r="H2482" t="s">
        <v>500</v>
      </c>
      <c r="I2482" s="3" t="s">
        <v>166</v>
      </c>
      <c r="J2482" t="s">
        <v>66</v>
      </c>
      <c r="K2482" s="15">
        <v>890000</v>
      </c>
      <c r="L2482" s="5" t="str">
        <f t="shared" si="38"/>
        <v>5  - 8</v>
      </c>
    </row>
    <row r="2483" spans="3:12" hidden="1">
      <c r="C2483" t="s">
        <v>31</v>
      </c>
      <c r="D2483" t="s">
        <v>73</v>
      </c>
      <c r="E2483">
        <v>5</v>
      </c>
      <c r="F2483" t="s">
        <v>10</v>
      </c>
      <c r="G2483" t="s">
        <v>51</v>
      </c>
      <c r="H2483" t="s">
        <v>500</v>
      </c>
      <c r="I2483" s="3" t="s">
        <v>166</v>
      </c>
      <c r="J2483" t="s">
        <v>54</v>
      </c>
      <c r="K2483" s="15">
        <v>890000</v>
      </c>
      <c r="L2483" s="5" t="str">
        <f t="shared" si="38"/>
        <v>5  - 8</v>
      </c>
    </row>
    <row r="2484" spans="3:12" hidden="1">
      <c r="C2484" t="s">
        <v>31</v>
      </c>
      <c r="D2484" t="s">
        <v>73</v>
      </c>
      <c r="E2484">
        <v>5</v>
      </c>
      <c r="F2484" t="s">
        <v>10</v>
      </c>
      <c r="G2484" t="s">
        <v>59</v>
      </c>
      <c r="H2484" t="s">
        <v>500</v>
      </c>
      <c r="I2484" s="3" t="s">
        <v>79</v>
      </c>
      <c r="J2484" t="s">
        <v>54</v>
      </c>
      <c r="K2484" s="15">
        <v>900000</v>
      </c>
      <c r="L2484" s="5" t="str">
        <f t="shared" si="38"/>
        <v>5  - 8</v>
      </c>
    </row>
    <row r="2485" spans="3:12" hidden="1">
      <c r="C2485" t="s">
        <v>31</v>
      </c>
      <c r="D2485" t="s">
        <v>55</v>
      </c>
      <c r="E2485">
        <v>5</v>
      </c>
      <c r="F2485" t="s">
        <v>10</v>
      </c>
      <c r="G2485" t="s">
        <v>51</v>
      </c>
      <c r="H2485" t="s">
        <v>500</v>
      </c>
      <c r="I2485" s="3" t="s">
        <v>79</v>
      </c>
      <c r="J2485" t="s">
        <v>54</v>
      </c>
      <c r="K2485" s="15">
        <v>900000</v>
      </c>
      <c r="L2485" s="5" t="str">
        <f t="shared" si="38"/>
        <v>5  - 8</v>
      </c>
    </row>
    <row r="2486" spans="3:12" hidden="1">
      <c r="C2486" t="s">
        <v>31</v>
      </c>
      <c r="D2486" t="s">
        <v>77</v>
      </c>
      <c r="E2486">
        <v>5</v>
      </c>
      <c r="F2486" t="s">
        <v>10</v>
      </c>
      <c r="G2486" t="s">
        <v>59</v>
      </c>
      <c r="H2486" t="s">
        <v>500</v>
      </c>
      <c r="I2486" s="3" t="s">
        <v>148</v>
      </c>
      <c r="J2486" t="s">
        <v>66</v>
      </c>
      <c r="K2486" s="15">
        <v>1050000</v>
      </c>
      <c r="L2486" s="5" t="str">
        <f t="shared" si="38"/>
        <v>5  - 8</v>
      </c>
    </row>
    <row r="2487" spans="3:12" hidden="1">
      <c r="C2487" t="s">
        <v>31</v>
      </c>
      <c r="D2487" t="s">
        <v>55</v>
      </c>
      <c r="E2487">
        <v>5</v>
      </c>
      <c r="F2487" t="s">
        <v>10</v>
      </c>
      <c r="G2487" t="s">
        <v>59</v>
      </c>
      <c r="H2487" t="s">
        <v>500</v>
      </c>
      <c r="I2487" s="3" t="s">
        <v>106</v>
      </c>
      <c r="J2487" t="s">
        <v>66</v>
      </c>
      <c r="K2487" s="15">
        <v>1100000</v>
      </c>
      <c r="L2487" s="5" t="str">
        <f t="shared" si="38"/>
        <v>5  - 8</v>
      </c>
    </row>
    <row r="2488" spans="3:12" hidden="1">
      <c r="C2488" t="s">
        <v>31</v>
      </c>
      <c r="D2488" t="s">
        <v>73</v>
      </c>
      <c r="E2488">
        <v>5</v>
      </c>
      <c r="F2488" t="s">
        <v>10</v>
      </c>
      <c r="G2488" t="s">
        <v>59</v>
      </c>
      <c r="H2488" t="s">
        <v>500</v>
      </c>
      <c r="I2488" s="3" t="s">
        <v>61</v>
      </c>
      <c r="J2488" t="s">
        <v>54</v>
      </c>
      <c r="K2488" s="15">
        <v>1200000</v>
      </c>
      <c r="L2488" s="5" t="str">
        <f t="shared" si="38"/>
        <v>5  - 8</v>
      </c>
    </row>
    <row r="2489" spans="3:12" hidden="1">
      <c r="C2489" t="s">
        <v>31</v>
      </c>
      <c r="D2489" t="s">
        <v>73</v>
      </c>
      <c r="E2489">
        <v>4</v>
      </c>
      <c r="F2489" t="s">
        <v>10</v>
      </c>
      <c r="G2489" t="s">
        <v>51</v>
      </c>
      <c r="H2489" t="s">
        <v>500</v>
      </c>
      <c r="I2489" s="3" t="s">
        <v>116</v>
      </c>
      <c r="J2489" t="s">
        <v>54</v>
      </c>
      <c r="K2489" s="15">
        <v>800000</v>
      </c>
      <c r="L2489" s="5" t="str">
        <f t="shared" si="38"/>
        <v>0 - 4</v>
      </c>
    </row>
    <row r="2490" spans="3:12" hidden="1">
      <c r="C2490" t="s">
        <v>30</v>
      </c>
      <c r="D2490" t="s">
        <v>55</v>
      </c>
      <c r="E2490">
        <v>3</v>
      </c>
      <c r="F2490" t="s">
        <v>10</v>
      </c>
      <c r="G2490" t="s">
        <v>57</v>
      </c>
      <c r="H2490" t="s">
        <v>500</v>
      </c>
      <c r="I2490" s="3" t="s">
        <v>69</v>
      </c>
      <c r="J2490" t="s">
        <v>66</v>
      </c>
      <c r="K2490" s="15">
        <v>750000</v>
      </c>
      <c r="L2490" s="5" t="str">
        <f t="shared" si="38"/>
        <v>0 - 4</v>
      </c>
    </row>
    <row r="2491" spans="3:12" hidden="1">
      <c r="C2491" t="s">
        <v>30</v>
      </c>
      <c r="D2491" t="s">
        <v>73</v>
      </c>
      <c r="E2491">
        <v>2</v>
      </c>
      <c r="F2491" t="s">
        <v>10</v>
      </c>
      <c r="G2491" t="s">
        <v>51</v>
      </c>
      <c r="H2491" t="s">
        <v>500</v>
      </c>
      <c r="I2491" s="3" t="s">
        <v>90</v>
      </c>
      <c r="J2491" t="s">
        <v>54</v>
      </c>
      <c r="K2491" s="15">
        <v>660000</v>
      </c>
      <c r="L2491" s="5" t="str">
        <f t="shared" si="38"/>
        <v>0 - 4</v>
      </c>
    </row>
    <row r="2492" spans="3:12" hidden="1">
      <c r="C2492" t="s">
        <v>30</v>
      </c>
      <c r="D2492" t="s">
        <v>73</v>
      </c>
      <c r="E2492">
        <v>2</v>
      </c>
      <c r="F2492" t="s">
        <v>10</v>
      </c>
      <c r="G2492" t="s">
        <v>57</v>
      </c>
      <c r="H2492" t="s">
        <v>500</v>
      </c>
      <c r="I2492" s="3" t="s">
        <v>108</v>
      </c>
      <c r="J2492" t="s">
        <v>54</v>
      </c>
      <c r="K2492" s="15">
        <v>700000</v>
      </c>
      <c r="L2492" s="5" t="str">
        <f t="shared" si="38"/>
        <v>0 - 4</v>
      </c>
    </row>
    <row r="2493" spans="3:12" hidden="1">
      <c r="C2493" t="s">
        <v>31</v>
      </c>
      <c r="D2493" t="s">
        <v>55</v>
      </c>
      <c r="E2493">
        <v>2</v>
      </c>
      <c r="F2493" t="s">
        <v>10</v>
      </c>
      <c r="G2493" t="s">
        <v>59</v>
      </c>
      <c r="H2493" t="s">
        <v>500</v>
      </c>
      <c r="I2493" s="3" t="s">
        <v>213</v>
      </c>
      <c r="J2493" t="s">
        <v>66</v>
      </c>
      <c r="K2493" s="15">
        <v>620000</v>
      </c>
      <c r="L2493" s="5" t="str">
        <f t="shared" si="38"/>
        <v>0 - 4</v>
      </c>
    </row>
    <row r="2494" spans="3:12" hidden="1">
      <c r="C2494" t="s">
        <v>31</v>
      </c>
      <c r="D2494" t="s">
        <v>55</v>
      </c>
      <c r="E2494">
        <v>2</v>
      </c>
      <c r="F2494" t="s">
        <v>10</v>
      </c>
      <c r="G2494" t="s">
        <v>51</v>
      </c>
      <c r="H2494" t="s">
        <v>500</v>
      </c>
      <c r="I2494" s="3" t="s">
        <v>151</v>
      </c>
      <c r="J2494" t="s">
        <v>66</v>
      </c>
      <c r="K2494" s="15">
        <v>690000</v>
      </c>
      <c r="L2494" s="5" t="str">
        <f t="shared" si="38"/>
        <v>0 - 4</v>
      </c>
    </row>
    <row r="2495" spans="3:12" hidden="1">
      <c r="C2495" t="s">
        <v>31</v>
      </c>
      <c r="D2495" t="s">
        <v>55</v>
      </c>
      <c r="E2495">
        <v>2</v>
      </c>
      <c r="F2495" t="s">
        <v>10</v>
      </c>
      <c r="G2495" t="s">
        <v>51</v>
      </c>
      <c r="H2495" t="s">
        <v>500</v>
      </c>
      <c r="I2495" s="3" t="s">
        <v>165</v>
      </c>
      <c r="J2495" t="s">
        <v>66</v>
      </c>
      <c r="K2495" s="15">
        <v>720000</v>
      </c>
      <c r="L2495" s="5" t="str">
        <f t="shared" si="38"/>
        <v>0 - 4</v>
      </c>
    </row>
    <row r="2496" spans="3:12" hidden="1">
      <c r="C2496" t="s">
        <v>31</v>
      </c>
      <c r="D2496" t="s">
        <v>67</v>
      </c>
      <c r="E2496">
        <v>2</v>
      </c>
      <c r="F2496" t="s">
        <v>10</v>
      </c>
      <c r="G2496" t="s">
        <v>51</v>
      </c>
      <c r="H2496" t="s">
        <v>500</v>
      </c>
      <c r="I2496" s="3" t="s">
        <v>69</v>
      </c>
      <c r="J2496" t="s">
        <v>54</v>
      </c>
      <c r="K2496" s="15">
        <v>750000</v>
      </c>
      <c r="L2496" s="5" t="str">
        <f t="shared" si="38"/>
        <v>0 - 4</v>
      </c>
    </row>
    <row r="2497" spans="3:12" hidden="1">
      <c r="C2497" t="s">
        <v>30</v>
      </c>
      <c r="D2497" t="s">
        <v>55</v>
      </c>
      <c r="E2497">
        <v>1</v>
      </c>
      <c r="F2497" t="s">
        <v>10</v>
      </c>
      <c r="G2497" t="s">
        <v>59</v>
      </c>
      <c r="H2497" t="s">
        <v>500</v>
      </c>
      <c r="I2497" s="3" t="s">
        <v>139</v>
      </c>
      <c r="J2497" t="s">
        <v>66</v>
      </c>
      <c r="K2497" s="15">
        <v>600000</v>
      </c>
      <c r="L2497" s="5" t="str">
        <f t="shared" si="38"/>
        <v>0 - 4</v>
      </c>
    </row>
    <row r="2498" spans="3:12" hidden="1">
      <c r="C2498" t="s">
        <v>31</v>
      </c>
      <c r="D2498" t="s">
        <v>49</v>
      </c>
      <c r="E2498">
        <v>15</v>
      </c>
      <c r="F2498" t="s">
        <v>11</v>
      </c>
      <c r="G2498" t="s">
        <v>51</v>
      </c>
      <c r="H2498" t="s">
        <v>500</v>
      </c>
      <c r="I2498" s="3" t="s">
        <v>504</v>
      </c>
      <c r="J2498" t="s">
        <v>54</v>
      </c>
      <c r="K2498" s="15">
        <v>1057762</v>
      </c>
      <c r="L2498" s="5" t="str">
        <f t="shared" si="38"/>
        <v>15 +</v>
      </c>
    </row>
    <row r="2499" spans="3:12" hidden="1">
      <c r="C2499" t="s">
        <v>31</v>
      </c>
      <c r="D2499" t="s">
        <v>55</v>
      </c>
      <c r="E2499">
        <v>6</v>
      </c>
      <c r="F2499" t="s">
        <v>11</v>
      </c>
      <c r="G2499" t="s">
        <v>59</v>
      </c>
      <c r="H2499" t="s">
        <v>500</v>
      </c>
      <c r="I2499" s="3" t="s">
        <v>505</v>
      </c>
      <c r="J2499" t="s">
        <v>54</v>
      </c>
      <c r="K2499" s="15">
        <v>998000</v>
      </c>
      <c r="L2499" s="5" t="str">
        <f t="shared" ref="L2499:L2562" si="39">_xlfn.XLOOKUP(E2499,$P$2:$P$5,$O$2:$O$5,,1)</f>
        <v>5  - 8</v>
      </c>
    </row>
    <row r="2500" spans="3:12" hidden="1">
      <c r="C2500" t="s">
        <v>30</v>
      </c>
      <c r="D2500" t="s">
        <v>73</v>
      </c>
      <c r="E2500">
        <v>5</v>
      </c>
      <c r="F2500" t="s">
        <v>11</v>
      </c>
      <c r="G2500" t="s">
        <v>59</v>
      </c>
      <c r="H2500" t="s">
        <v>500</v>
      </c>
      <c r="I2500" s="3" t="s">
        <v>256</v>
      </c>
      <c r="J2500" t="s">
        <v>54</v>
      </c>
      <c r="K2500" s="15">
        <v>825000</v>
      </c>
      <c r="L2500" s="5" t="str">
        <f t="shared" si="39"/>
        <v>5  - 8</v>
      </c>
    </row>
    <row r="2501" spans="3:12" hidden="1">
      <c r="C2501" t="s">
        <v>31</v>
      </c>
      <c r="D2501" t="s">
        <v>80</v>
      </c>
      <c r="E2501">
        <v>2</v>
      </c>
      <c r="F2501" t="s">
        <v>11</v>
      </c>
      <c r="G2501" t="s">
        <v>59</v>
      </c>
      <c r="H2501" t="s">
        <v>500</v>
      </c>
      <c r="I2501" s="3" t="s">
        <v>108</v>
      </c>
      <c r="J2501" t="s">
        <v>66</v>
      </c>
      <c r="K2501" s="15">
        <v>700000</v>
      </c>
      <c r="L2501" s="5" t="str">
        <f t="shared" si="39"/>
        <v>0 - 4</v>
      </c>
    </row>
    <row r="2502" spans="3:12" hidden="1">
      <c r="C2502" t="s">
        <v>31</v>
      </c>
      <c r="D2502" t="s">
        <v>73</v>
      </c>
      <c r="E2502">
        <v>2</v>
      </c>
      <c r="F2502" t="s">
        <v>11</v>
      </c>
      <c r="G2502" t="s">
        <v>51</v>
      </c>
      <c r="H2502" t="s">
        <v>500</v>
      </c>
      <c r="I2502" s="3" t="s">
        <v>156</v>
      </c>
      <c r="J2502" t="s">
        <v>54</v>
      </c>
      <c r="K2502" s="15">
        <v>770000</v>
      </c>
      <c r="L2502" s="5" t="str">
        <f t="shared" si="39"/>
        <v>0 - 4</v>
      </c>
    </row>
    <row r="2503" spans="3:12" hidden="1">
      <c r="C2503" t="s">
        <v>31</v>
      </c>
      <c r="D2503" t="s">
        <v>55</v>
      </c>
      <c r="E2503">
        <v>0</v>
      </c>
      <c r="F2503" t="s">
        <v>11</v>
      </c>
      <c r="G2503" t="s">
        <v>51</v>
      </c>
      <c r="H2503" t="s">
        <v>500</v>
      </c>
      <c r="I2503" s="3" t="s">
        <v>90</v>
      </c>
      <c r="J2503" t="s">
        <v>66</v>
      </c>
      <c r="K2503" s="15">
        <v>660000</v>
      </c>
      <c r="L2503" s="5" t="str">
        <f t="shared" si="39"/>
        <v>0 - 4</v>
      </c>
    </row>
    <row r="2504" spans="3:12" hidden="1">
      <c r="C2504" t="s">
        <v>31</v>
      </c>
      <c r="D2504" t="s">
        <v>49</v>
      </c>
      <c r="E2504">
        <v>43</v>
      </c>
      <c r="F2504" t="s">
        <v>13</v>
      </c>
      <c r="G2504" t="s">
        <v>51</v>
      </c>
      <c r="H2504" t="s">
        <v>500</v>
      </c>
      <c r="I2504" s="3" t="s">
        <v>106</v>
      </c>
      <c r="J2504" t="s">
        <v>66</v>
      </c>
      <c r="K2504" s="15">
        <v>1100000</v>
      </c>
      <c r="L2504" s="5" t="str">
        <f t="shared" si="39"/>
        <v>15 +</v>
      </c>
    </row>
    <row r="2505" spans="3:12" hidden="1">
      <c r="C2505" t="s">
        <v>31</v>
      </c>
      <c r="D2505" t="s">
        <v>55</v>
      </c>
      <c r="E2505">
        <v>15</v>
      </c>
      <c r="F2505" t="s">
        <v>13</v>
      </c>
      <c r="G2505" t="s">
        <v>51</v>
      </c>
      <c r="H2505" t="s">
        <v>500</v>
      </c>
      <c r="I2505" s="3" t="s">
        <v>110</v>
      </c>
      <c r="J2505" t="s">
        <v>66</v>
      </c>
      <c r="K2505" s="15">
        <v>1000000</v>
      </c>
      <c r="L2505" s="5" t="str">
        <f t="shared" si="39"/>
        <v>15 +</v>
      </c>
    </row>
    <row r="2506" spans="3:12" hidden="1">
      <c r="C2506" t="s">
        <v>31</v>
      </c>
      <c r="D2506" t="s">
        <v>73</v>
      </c>
      <c r="E2506">
        <v>2</v>
      </c>
      <c r="F2506" t="s">
        <v>13</v>
      </c>
      <c r="G2506" t="s">
        <v>51</v>
      </c>
      <c r="H2506" t="s">
        <v>500</v>
      </c>
      <c r="I2506" s="3" t="s">
        <v>90</v>
      </c>
      <c r="J2506" t="s">
        <v>54</v>
      </c>
      <c r="K2506" s="15">
        <v>660000</v>
      </c>
      <c r="L2506" s="5" t="str">
        <f t="shared" si="39"/>
        <v>0 - 4</v>
      </c>
    </row>
    <row r="2507" spans="3:12" hidden="1">
      <c r="C2507" t="s">
        <v>31</v>
      </c>
      <c r="D2507" t="s">
        <v>55</v>
      </c>
      <c r="E2507">
        <v>1</v>
      </c>
      <c r="F2507" t="s">
        <v>13</v>
      </c>
      <c r="G2507" t="s">
        <v>59</v>
      </c>
      <c r="H2507" t="s">
        <v>500</v>
      </c>
      <c r="I2507" s="3" t="s">
        <v>159</v>
      </c>
      <c r="J2507" t="s">
        <v>66</v>
      </c>
      <c r="K2507" s="15">
        <v>680000</v>
      </c>
      <c r="L2507" s="5" t="str">
        <f t="shared" si="39"/>
        <v>0 - 4</v>
      </c>
    </row>
    <row r="2508" spans="3:12" hidden="1">
      <c r="C2508" t="s">
        <v>31</v>
      </c>
      <c r="D2508" t="s">
        <v>55</v>
      </c>
      <c r="E2508">
        <v>7</v>
      </c>
      <c r="F2508" t="s">
        <v>17</v>
      </c>
      <c r="G2508" t="s">
        <v>51</v>
      </c>
      <c r="H2508" t="s">
        <v>500</v>
      </c>
      <c r="I2508" s="3" t="s">
        <v>506</v>
      </c>
      <c r="J2508" t="s">
        <v>54</v>
      </c>
      <c r="K2508" s="15">
        <v>2206000</v>
      </c>
      <c r="L2508" s="5" t="str">
        <f t="shared" si="39"/>
        <v>5  - 8</v>
      </c>
    </row>
    <row r="2509" spans="3:12" hidden="1">
      <c r="C2509" t="s">
        <v>30</v>
      </c>
      <c r="D2509" t="s">
        <v>67</v>
      </c>
      <c r="E2509">
        <v>20</v>
      </c>
      <c r="F2509" t="s">
        <v>18</v>
      </c>
      <c r="G2509" t="s">
        <v>51</v>
      </c>
      <c r="H2509" t="s">
        <v>500</v>
      </c>
      <c r="I2509" s="3" t="s">
        <v>122</v>
      </c>
      <c r="J2509" t="s">
        <v>54</v>
      </c>
      <c r="K2509" s="15">
        <v>930000</v>
      </c>
      <c r="L2509" s="5" t="str">
        <f t="shared" si="39"/>
        <v>15 +</v>
      </c>
    </row>
    <row r="2510" spans="3:12" hidden="1">
      <c r="C2510" t="s">
        <v>31</v>
      </c>
      <c r="D2510" t="s">
        <v>67</v>
      </c>
      <c r="E2510">
        <v>16</v>
      </c>
      <c r="F2510" t="s">
        <v>18</v>
      </c>
      <c r="G2510" t="s">
        <v>57</v>
      </c>
      <c r="H2510" t="s">
        <v>500</v>
      </c>
      <c r="I2510" s="3" t="s">
        <v>110</v>
      </c>
      <c r="J2510" t="s">
        <v>54</v>
      </c>
      <c r="K2510" s="15">
        <v>1000000</v>
      </c>
      <c r="L2510" s="5" t="str">
        <f t="shared" si="39"/>
        <v>15 +</v>
      </c>
    </row>
    <row r="2511" spans="3:12" hidden="1">
      <c r="C2511" t="s">
        <v>31</v>
      </c>
      <c r="D2511" t="s">
        <v>55</v>
      </c>
      <c r="E2511">
        <v>15</v>
      </c>
      <c r="F2511" t="s">
        <v>18</v>
      </c>
      <c r="G2511" t="s">
        <v>51</v>
      </c>
      <c r="H2511" t="s">
        <v>500</v>
      </c>
      <c r="I2511" s="3" t="s">
        <v>110</v>
      </c>
      <c r="J2511" t="s">
        <v>66</v>
      </c>
      <c r="K2511" s="15">
        <v>1000000</v>
      </c>
      <c r="L2511" s="5" t="str">
        <f t="shared" si="39"/>
        <v>15 +</v>
      </c>
    </row>
    <row r="2512" spans="3:12" hidden="1">
      <c r="C2512" t="s">
        <v>30</v>
      </c>
      <c r="D2512" t="s">
        <v>67</v>
      </c>
      <c r="E2512">
        <v>10</v>
      </c>
      <c r="F2512" t="s">
        <v>18</v>
      </c>
      <c r="G2512" t="s">
        <v>51</v>
      </c>
      <c r="H2512" t="s">
        <v>500</v>
      </c>
      <c r="I2512" s="3" t="s">
        <v>122</v>
      </c>
      <c r="J2512" t="s">
        <v>54</v>
      </c>
      <c r="K2512" s="15">
        <v>930000</v>
      </c>
      <c r="L2512" s="5" t="str">
        <f t="shared" si="39"/>
        <v>9 - 14</v>
      </c>
    </row>
    <row r="2513" spans="3:12" hidden="1">
      <c r="C2513" t="s">
        <v>31</v>
      </c>
      <c r="D2513" t="s">
        <v>73</v>
      </c>
      <c r="E2513">
        <v>5</v>
      </c>
      <c r="F2513" t="s">
        <v>18</v>
      </c>
      <c r="G2513" t="s">
        <v>59</v>
      </c>
      <c r="H2513" t="s">
        <v>500</v>
      </c>
      <c r="I2513" s="3" t="s">
        <v>104</v>
      </c>
      <c r="J2513" t="s">
        <v>66</v>
      </c>
      <c r="K2513" s="15">
        <v>1300000</v>
      </c>
      <c r="L2513" s="5" t="str">
        <f t="shared" si="39"/>
        <v>5  - 8</v>
      </c>
    </row>
    <row r="2514" spans="3:12" hidden="1">
      <c r="C2514" t="s">
        <v>31</v>
      </c>
      <c r="D2514" t="s">
        <v>73</v>
      </c>
      <c r="E2514">
        <v>2</v>
      </c>
      <c r="F2514" t="s">
        <v>18</v>
      </c>
      <c r="G2514" t="s">
        <v>51</v>
      </c>
      <c r="H2514" t="s">
        <v>500</v>
      </c>
      <c r="I2514" s="3" t="s">
        <v>94</v>
      </c>
      <c r="J2514" t="s">
        <v>54</v>
      </c>
      <c r="K2514" s="15">
        <v>550000</v>
      </c>
      <c r="L2514" s="5" t="str">
        <f t="shared" si="39"/>
        <v>0 - 4</v>
      </c>
    </row>
    <row r="2515" spans="3:12" hidden="1">
      <c r="C2515" t="s">
        <v>30</v>
      </c>
      <c r="D2515" t="s">
        <v>73</v>
      </c>
      <c r="E2515">
        <v>25</v>
      </c>
      <c r="F2515" t="s">
        <v>14</v>
      </c>
      <c r="G2515" t="s">
        <v>51</v>
      </c>
      <c r="H2515" t="s">
        <v>500</v>
      </c>
      <c r="I2515" s="3" t="s">
        <v>507</v>
      </c>
      <c r="J2515" t="s">
        <v>54</v>
      </c>
      <c r="K2515" s="15">
        <v>1023000</v>
      </c>
      <c r="L2515" s="5" t="str">
        <f t="shared" si="39"/>
        <v>15 +</v>
      </c>
    </row>
    <row r="2516" spans="3:12" hidden="1">
      <c r="C2516" t="s">
        <v>31</v>
      </c>
      <c r="D2516" t="s">
        <v>73</v>
      </c>
      <c r="E2516">
        <v>22</v>
      </c>
      <c r="F2516" t="s">
        <v>14</v>
      </c>
      <c r="G2516" t="s">
        <v>51</v>
      </c>
      <c r="H2516" t="s">
        <v>500</v>
      </c>
      <c r="I2516" s="3" t="s">
        <v>505</v>
      </c>
      <c r="J2516" t="s">
        <v>54</v>
      </c>
      <c r="K2516" s="15">
        <v>998000</v>
      </c>
      <c r="L2516" s="5" t="str">
        <f t="shared" si="39"/>
        <v>15 +</v>
      </c>
    </row>
    <row r="2517" spans="3:12" hidden="1">
      <c r="C2517" t="s">
        <v>31</v>
      </c>
      <c r="D2517" t="s">
        <v>49</v>
      </c>
      <c r="E2517">
        <v>17</v>
      </c>
      <c r="F2517" t="s">
        <v>14</v>
      </c>
      <c r="G2517" t="s">
        <v>51</v>
      </c>
      <c r="H2517" t="s">
        <v>500</v>
      </c>
      <c r="I2517" s="3" t="s">
        <v>79</v>
      </c>
      <c r="J2517" t="s">
        <v>54</v>
      </c>
      <c r="K2517" s="15">
        <v>900000</v>
      </c>
      <c r="L2517" s="5" t="str">
        <f t="shared" si="39"/>
        <v>15 +</v>
      </c>
    </row>
    <row r="2518" spans="3:12" hidden="1">
      <c r="C2518" t="s">
        <v>31</v>
      </c>
      <c r="D2518" t="s">
        <v>77</v>
      </c>
      <c r="E2518">
        <v>12</v>
      </c>
      <c r="F2518" t="s">
        <v>14</v>
      </c>
      <c r="G2518" t="s">
        <v>59</v>
      </c>
      <c r="H2518" t="s">
        <v>500</v>
      </c>
      <c r="I2518" s="3" t="s">
        <v>256</v>
      </c>
      <c r="J2518" t="s">
        <v>54</v>
      </c>
      <c r="K2518" s="15">
        <v>825000</v>
      </c>
      <c r="L2518" s="5" t="str">
        <f t="shared" si="39"/>
        <v>9 - 14</v>
      </c>
    </row>
    <row r="2519" spans="3:12" hidden="1">
      <c r="C2519" t="s">
        <v>31</v>
      </c>
      <c r="D2519" t="s">
        <v>67</v>
      </c>
      <c r="E2519">
        <v>10</v>
      </c>
      <c r="F2519" t="s">
        <v>14</v>
      </c>
      <c r="G2519" t="s">
        <v>51</v>
      </c>
      <c r="H2519" t="s">
        <v>500</v>
      </c>
      <c r="I2519" s="3" t="s">
        <v>508</v>
      </c>
      <c r="J2519" t="s">
        <v>54</v>
      </c>
      <c r="K2519" s="15">
        <v>636000</v>
      </c>
      <c r="L2519" s="5" t="str">
        <f t="shared" si="39"/>
        <v>9 - 14</v>
      </c>
    </row>
    <row r="2520" spans="3:12" hidden="1">
      <c r="C2520" t="s">
        <v>31</v>
      </c>
      <c r="D2520" t="s">
        <v>73</v>
      </c>
      <c r="E2520">
        <v>5</v>
      </c>
      <c r="F2520" t="s">
        <v>14</v>
      </c>
      <c r="G2520" t="s">
        <v>59</v>
      </c>
      <c r="H2520" t="s">
        <v>500</v>
      </c>
      <c r="I2520" s="3" t="s">
        <v>130</v>
      </c>
      <c r="J2520" t="s">
        <v>54</v>
      </c>
      <c r="K2520" s="15">
        <v>950000</v>
      </c>
      <c r="L2520" s="5" t="str">
        <f t="shared" si="39"/>
        <v>5  - 8</v>
      </c>
    </row>
    <row r="2521" spans="3:12" hidden="1">
      <c r="C2521" t="s">
        <v>32</v>
      </c>
      <c r="D2521" t="s">
        <v>73</v>
      </c>
      <c r="E2521">
        <v>3</v>
      </c>
      <c r="F2521" t="s">
        <v>14</v>
      </c>
      <c r="G2521" t="s">
        <v>59</v>
      </c>
      <c r="H2521" t="s">
        <v>500</v>
      </c>
      <c r="I2521" s="3" t="s">
        <v>354</v>
      </c>
      <c r="J2521" t="s">
        <v>54</v>
      </c>
      <c r="K2521" s="15">
        <v>520000</v>
      </c>
      <c r="L2521" s="5" t="str">
        <f t="shared" si="39"/>
        <v>0 - 4</v>
      </c>
    </row>
    <row r="2522" spans="3:12" hidden="1">
      <c r="C2522" t="s">
        <v>31</v>
      </c>
      <c r="D2522" t="s">
        <v>73</v>
      </c>
      <c r="E2522">
        <v>2</v>
      </c>
      <c r="F2522" t="s">
        <v>14</v>
      </c>
      <c r="G2522" t="s">
        <v>51</v>
      </c>
      <c r="H2522" t="s">
        <v>500</v>
      </c>
      <c r="I2522" s="3" t="s">
        <v>294</v>
      </c>
      <c r="J2522" t="s">
        <v>54</v>
      </c>
      <c r="K2522" s="15">
        <v>665000</v>
      </c>
      <c r="L2522" s="5" t="str">
        <f t="shared" si="39"/>
        <v>0 - 4</v>
      </c>
    </row>
    <row r="2523" spans="3:12" hidden="1">
      <c r="C2523" t="s">
        <v>31</v>
      </c>
      <c r="D2523" t="s">
        <v>55</v>
      </c>
      <c r="E2523">
        <v>19</v>
      </c>
      <c r="F2523" t="s">
        <v>15</v>
      </c>
      <c r="G2523" t="s">
        <v>51</v>
      </c>
      <c r="H2523" t="s">
        <v>500</v>
      </c>
      <c r="I2523" s="3" t="s">
        <v>187</v>
      </c>
      <c r="J2523" t="s">
        <v>66</v>
      </c>
      <c r="K2523" s="15">
        <v>1900000</v>
      </c>
      <c r="L2523" s="5" t="str">
        <f t="shared" si="39"/>
        <v>15 +</v>
      </c>
    </row>
    <row r="2524" spans="3:12" hidden="1">
      <c r="C2524" t="s">
        <v>31</v>
      </c>
      <c r="D2524" t="s">
        <v>73</v>
      </c>
      <c r="E2524">
        <v>15</v>
      </c>
      <c r="F2524" t="s">
        <v>15</v>
      </c>
      <c r="G2524" t="s">
        <v>127</v>
      </c>
      <c r="H2524" t="s">
        <v>500</v>
      </c>
      <c r="I2524" s="3" t="s">
        <v>192</v>
      </c>
      <c r="J2524" t="s">
        <v>66</v>
      </c>
      <c r="K2524" s="15">
        <v>1600000</v>
      </c>
      <c r="L2524" s="5" t="str">
        <f t="shared" si="39"/>
        <v>15 +</v>
      </c>
    </row>
    <row r="2525" spans="3:12" hidden="1">
      <c r="C2525" t="s">
        <v>31</v>
      </c>
      <c r="D2525" t="s">
        <v>55</v>
      </c>
      <c r="E2525">
        <v>8</v>
      </c>
      <c r="F2525" t="s">
        <v>15</v>
      </c>
      <c r="G2525" t="s">
        <v>51</v>
      </c>
      <c r="H2525" t="s">
        <v>500</v>
      </c>
      <c r="I2525" s="3" t="s">
        <v>213</v>
      </c>
      <c r="J2525" t="s">
        <v>54</v>
      </c>
      <c r="K2525" s="15">
        <v>620000</v>
      </c>
      <c r="L2525" s="5" t="str">
        <f t="shared" si="39"/>
        <v>5  - 8</v>
      </c>
    </row>
    <row r="2526" spans="3:12" hidden="1">
      <c r="C2526" t="s">
        <v>31</v>
      </c>
      <c r="D2526" t="s">
        <v>73</v>
      </c>
      <c r="E2526">
        <v>6</v>
      </c>
      <c r="F2526" t="s">
        <v>15</v>
      </c>
      <c r="G2526" t="s">
        <v>51</v>
      </c>
      <c r="H2526" t="s">
        <v>500</v>
      </c>
      <c r="I2526" s="3" t="s">
        <v>223</v>
      </c>
      <c r="J2526" t="s">
        <v>54</v>
      </c>
      <c r="K2526" s="15">
        <v>790000</v>
      </c>
      <c r="L2526" s="5" t="str">
        <f t="shared" si="39"/>
        <v>5  - 8</v>
      </c>
    </row>
    <row r="2527" spans="3:12" hidden="1">
      <c r="C2527" t="s">
        <v>31</v>
      </c>
      <c r="D2527" t="s">
        <v>91</v>
      </c>
      <c r="E2527">
        <v>6</v>
      </c>
      <c r="F2527" t="s">
        <v>15</v>
      </c>
      <c r="G2527" t="s">
        <v>59</v>
      </c>
      <c r="H2527" t="s">
        <v>500</v>
      </c>
      <c r="I2527" s="3" t="s">
        <v>106</v>
      </c>
      <c r="J2527" t="s">
        <v>66</v>
      </c>
      <c r="K2527" s="15">
        <v>1100000</v>
      </c>
      <c r="L2527" s="5" t="str">
        <f t="shared" si="39"/>
        <v>5  - 8</v>
      </c>
    </row>
    <row r="2528" spans="3:12" hidden="1">
      <c r="C2528" t="s">
        <v>31</v>
      </c>
      <c r="D2528" t="s">
        <v>73</v>
      </c>
      <c r="E2528">
        <v>3</v>
      </c>
      <c r="F2528" t="s">
        <v>15</v>
      </c>
      <c r="G2528" t="s">
        <v>51</v>
      </c>
      <c r="H2528" t="s">
        <v>500</v>
      </c>
      <c r="I2528" s="3" t="s">
        <v>108</v>
      </c>
      <c r="J2528" t="s">
        <v>66</v>
      </c>
      <c r="K2528" s="15">
        <v>700000</v>
      </c>
      <c r="L2528" s="5" t="str">
        <f t="shared" si="39"/>
        <v>0 - 4</v>
      </c>
    </row>
    <row r="2529" spans="3:12" hidden="1">
      <c r="C2529" t="s">
        <v>31</v>
      </c>
      <c r="D2529" t="s">
        <v>73</v>
      </c>
      <c r="E2529">
        <v>1</v>
      </c>
      <c r="F2529" t="s">
        <v>15</v>
      </c>
      <c r="G2529" t="s">
        <v>51</v>
      </c>
      <c r="H2529" t="s">
        <v>500</v>
      </c>
      <c r="I2529" s="3" t="s">
        <v>213</v>
      </c>
      <c r="J2529" t="s">
        <v>54</v>
      </c>
      <c r="K2529" s="15">
        <v>620000</v>
      </c>
      <c r="L2529" s="5" t="str">
        <f t="shared" si="39"/>
        <v>0 - 4</v>
      </c>
    </row>
    <row r="2530" spans="3:12" hidden="1">
      <c r="C2530" t="s">
        <v>31</v>
      </c>
      <c r="D2530" t="s">
        <v>73</v>
      </c>
      <c r="E2530">
        <v>1</v>
      </c>
      <c r="F2530" t="s">
        <v>15</v>
      </c>
      <c r="G2530" t="s">
        <v>51</v>
      </c>
      <c r="H2530" t="s">
        <v>500</v>
      </c>
      <c r="I2530" s="3" t="s">
        <v>85</v>
      </c>
      <c r="J2530" t="s">
        <v>66</v>
      </c>
      <c r="K2530" s="15">
        <v>650000</v>
      </c>
      <c r="L2530" s="5" t="str">
        <f t="shared" si="39"/>
        <v>0 - 4</v>
      </c>
    </row>
    <row r="2531" spans="3:12" hidden="1">
      <c r="C2531" t="s">
        <v>30</v>
      </c>
      <c r="D2531" t="s">
        <v>80</v>
      </c>
      <c r="E2531">
        <v>0</v>
      </c>
      <c r="F2531" t="s">
        <v>15</v>
      </c>
      <c r="G2531" t="s">
        <v>51</v>
      </c>
      <c r="H2531" t="s">
        <v>500</v>
      </c>
      <c r="I2531" s="3" t="s">
        <v>139</v>
      </c>
      <c r="J2531" t="s">
        <v>54</v>
      </c>
      <c r="K2531" s="15">
        <v>600000</v>
      </c>
      <c r="L2531" s="5" t="str">
        <f t="shared" si="39"/>
        <v>0 - 4</v>
      </c>
    </row>
    <row r="2532" spans="3:12" hidden="1">
      <c r="C2532" t="s">
        <v>31</v>
      </c>
      <c r="D2532" t="s">
        <v>55</v>
      </c>
      <c r="E2532">
        <v>0</v>
      </c>
      <c r="F2532" t="s">
        <v>15</v>
      </c>
      <c r="G2532" t="s">
        <v>51</v>
      </c>
      <c r="H2532" t="s">
        <v>500</v>
      </c>
      <c r="I2532" s="3" t="s">
        <v>119</v>
      </c>
      <c r="J2532" t="s">
        <v>54</v>
      </c>
      <c r="K2532" s="15">
        <v>630000</v>
      </c>
      <c r="L2532" s="5" t="str">
        <f t="shared" si="39"/>
        <v>0 - 4</v>
      </c>
    </row>
    <row r="2533" spans="3:12" hidden="1">
      <c r="C2533" t="s">
        <v>31</v>
      </c>
      <c r="D2533" t="s">
        <v>55</v>
      </c>
      <c r="E2533">
        <v>5</v>
      </c>
      <c r="F2533" t="s">
        <v>8</v>
      </c>
      <c r="G2533" t="s">
        <v>57</v>
      </c>
      <c r="H2533" t="s">
        <v>509</v>
      </c>
      <c r="I2533" s="3" t="s">
        <v>108</v>
      </c>
      <c r="J2533" t="s">
        <v>54</v>
      </c>
      <c r="K2533" s="15">
        <v>700000</v>
      </c>
      <c r="L2533" s="5" t="str">
        <f t="shared" si="39"/>
        <v>5  - 8</v>
      </c>
    </row>
    <row r="2534" spans="3:12" hidden="1">
      <c r="C2534" t="s">
        <v>31</v>
      </c>
      <c r="D2534" t="s">
        <v>77</v>
      </c>
      <c r="E2534">
        <v>3</v>
      </c>
      <c r="F2534" t="s">
        <v>8</v>
      </c>
      <c r="G2534" t="s">
        <v>57</v>
      </c>
      <c r="H2534" t="s">
        <v>509</v>
      </c>
      <c r="I2534" s="3" t="s">
        <v>69</v>
      </c>
      <c r="J2534" t="s">
        <v>54</v>
      </c>
      <c r="K2534" s="15">
        <v>750000</v>
      </c>
      <c r="L2534" s="5" t="str">
        <f t="shared" si="39"/>
        <v>0 - 4</v>
      </c>
    </row>
    <row r="2535" spans="3:12" hidden="1">
      <c r="C2535" t="s">
        <v>31</v>
      </c>
      <c r="D2535" t="s">
        <v>49</v>
      </c>
      <c r="E2535">
        <v>1</v>
      </c>
      <c r="F2535" t="s">
        <v>8</v>
      </c>
      <c r="G2535" t="s">
        <v>51</v>
      </c>
      <c r="H2535" t="s">
        <v>509</v>
      </c>
      <c r="I2535" s="3" t="s">
        <v>123</v>
      </c>
      <c r="J2535" t="s">
        <v>54</v>
      </c>
      <c r="K2535" s="15">
        <v>580000</v>
      </c>
      <c r="L2535" s="5" t="str">
        <f t="shared" si="39"/>
        <v>0 - 4</v>
      </c>
    </row>
    <row r="2536" spans="3:12" hidden="1">
      <c r="C2536" t="s">
        <v>31</v>
      </c>
      <c r="D2536" t="s">
        <v>55</v>
      </c>
      <c r="E2536">
        <v>0</v>
      </c>
      <c r="F2536" t="s">
        <v>8</v>
      </c>
      <c r="G2536" t="s">
        <v>51</v>
      </c>
      <c r="H2536" t="s">
        <v>509</v>
      </c>
      <c r="I2536" s="3" t="s">
        <v>119</v>
      </c>
      <c r="J2536" t="s">
        <v>54</v>
      </c>
      <c r="K2536" s="15">
        <v>630000</v>
      </c>
      <c r="L2536" s="5" t="str">
        <f t="shared" si="39"/>
        <v>0 - 4</v>
      </c>
    </row>
    <row r="2537" spans="3:12" hidden="1">
      <c r="C2537" t="s">
        <v>31</v>
      </c>
      <c r="D2537" t="s">
        <v>73</v>
      </c>
      <c r="E2537">
        <v>25</v>
      </c>
      <c r="F2537" t="s">
        <v>16</v>
      </c>
      <c r="G2537" t="s">
        <v>59</v>
      </c>
      <c r="H2537" t="s">
        <v>509</v>
      </c>
      <c r="I2537" s="3" t="s">
        <v>61</v>
      </c>
      <c r="J2537" t="s">
        <v>66</v>
      </c>
      <c r="K2537" s="15">
        <v>1200000</v>
      </c>
      <c r="L2537" s="5" t="str">
        <f t="shared" si="39"/>
        <v>15 +</v>
      </c>
    </row>
    <row r="2538" spans="3:12" hidden="1">
      <c r="C2538" t="s">
        <v>31</v>
      </c>
      <c r="D2538" t="s">
        <v>49</v>
      </c>
      <c r="E2538">
        <v>16</v>
      </c>
      <c r="F2538" t="s">
        <v>16</v>
      </c>
      <c r="G2538" t="s">
        <v>127</v>
      </c>
      <c r="H2538" t="s">
        <v>509</v>
      </c>
      <c r="I2538" s="3" t="s">
        <v>61</v>
      </c>
      <c r="J2538" t="s">
        <v>54</v>
      </c>
      <c r="K2538" s="15">
        <v>1200000</v>
      </c>
      <c r="L2538" s="5" t="str">
        <f t="shared" si="39"/>
        <v>15 +</v>
      </c>
    </row>
    <row r="2539" spans="3:12" hidden="1">
      <c r="C2539" t="s">
        <v>31</v>
      </c>
      <c r="D2539" t="s">
        <v>73</v>
      </c>
      <c r="E2539">
        <v>16</v>
      </c>
      <c r="F2539" t="s">
        <v>16</v>
      </c>
      <c r="G2539" t="s">
        <v>59</v>
      </c>
      <c r="H2539" t="s">
        <v>509</v>
      </c>
      <c r="I2539" s="3" t="s">
        <v>60</v>
      </c>
      <c r="J2539" t="s">
        <v>54</v>
      </c>
      <c r="K2539" s="15">
        <v>1500000</v>
      </c>
      <c r="L2539" s="5" t="str">
        <f t="shared" si="39"/>
        <v>15 +</v>
      </c>
    </row>
    <row r="2540" spans="3:12" hidden="1">
      <c r="C2540" t="s">
        <v>32</v>
      </c>
      <c r="D2540" t="s">
        <v>49</v>
      </c>
      <c r="E2540">
        <v>1</v>
      </c>
      <c r="F2540" t="s">
        <v>16</v>
      </c>
      <c r="G2540" t="s">
        <v>57</v>
      </c>
      <c r="H2540" t="s">
        <v>509</v>
      </c>
      <c r="I2540" s="3" t="s">
        <v>510</v>
      </c>
      <c r="J2540" t="s">
        <v>54</v>
      </c>
      <c r="K2540" s="15">
        <v>415000</v>
      </c>
      <c r="L2540" s="5" t="str">
        <f t="shared" si="39"/>
        <v>0 - 4</v>
      </c>
    </row>
    <row r="2541" spans="3:12" hidden="1">
      <c r="C2541" t="s">
        <v>31</v>
      </c>
      <c r="D2541" t="s">
        <v>73</v>
      </c>
      <c r="E2541">
        <v>7</v>
      </c>
      <c r="F2541" t="s">
        <v>19</v>
      </c>
      <c r="G2541" t="s">
        <v>59</v>
      </c>
      <c r="H2541" t="s">
        <v>509</v>
      </c>
      <c r="I2541" s="3" t="s">
        <v>110</v>
      </c>
      <c r="J2541" t="s">
        <v>66</v>
      </c>
      <c r="K2541" s="15">
        <v>1000000</v>
      </c>
      <c r="L2541" s="5" t="str">
        <f t="shared" si="39"/>
        <v>5  - 8</v>
      </c>
    </row>
    <row r="2542" spans="3:12" hidden="1">
      <c r="C2542" t="s">
        <v>31</v>
      </c>
      <c r="D2542" t="s">
        <v>73</v>
      </c>
      <c r="E2542">
        <v>12</v>
      </c>
      <c r="F2542" t="s">
        <v>9</v>
      </c>
      <c r="G2542" t="s">
        <v>51</v>
      </c>
      <c r="H2542" t="s">
        <v>509</v>
      </c>
      <c r="I2542" s="3" t="s">
        <v>104</v>
      </c>
      <c r="J2542" t="s">
        <v>66</v>
      </c>
      <c r="K2542" s="15">
        <v>1300000</v>
      </c>
      <c r="L2542" s="5" t="str">
        <f t="shared" si="39"/>
        <v>9 - 14</v>
      </c>
    </row>
    <row r="2543" spans="3:12" hidden="1">
      <c r="C2543" t="s">
        <v>31</v>
      </c>
      <c r="D2543" t="s">
        <v>55</v>
      </c>
      <c r="E2543">
        <v>31</v>
      </c>
      <c r="F2543" t="s">
        <v>10</v>
      </c>
      <c r="G2543" t="s">
        <v>59</v>
      </c>
      <c r="H2543" t="s">
        <v>509</v>
      </c>
      <c r="I2543" s="36" t="s">
        <v>329</v>
      </c>
      <c r="J2543" t="s">
        <v>66</v>
      </c>
      <c r="K2543" s="15">
        <v>2200000</v>
      </c>
      <c r="L2543" s="5" t="str">
        <f t="shared" si="39"/>
        <v>15 +</v>
      </c>
    </row>
    <row r="2544" spans="3:12" hidden="1">
      <c r="C2544" t="s">
        <v>31</v>
      </c>
      <c r="D2544" t="s">
        <v>88</v>
      </c>
      <c r="E2544">
        <v>24</v>
      </c>
      <c r="F2544" t="s">
        <v>10</v>
      </c>
      <c r="G2544" t="s">
        <v>59</v>
      </c>
      <c r="H2544" t="s">
        <v>509</v>
      </c>
      <c r="I2544" s="36" t="s">
        <v>60</v>
      </c>
      <c r="J2544" t="s">
        <v>66</v>
      </c>
      <c r="K2544" s="15">
        <v>1500000</v>
      </c>
      <c r="L2544" s="5" t="str">
        <f t="shared" si="39"/>
        <v>15 +</v>
      </c>
    </row>
    <row r="2545" spans="3:12" hidden="1">
      <c r="C2545" t="s">
        <v>31</v>
      </c>
      <c r="D2545" t="s">
        <v>73</v>
      </c>
      <c r="E2545">
        <v>20</v>
      </c>
      <c r="F2545" t="s">
        <v>10</v>
      </c>
      <c r="G2545" t="s">
        <v>51</v>
      </c>
      <c r="H2545" t="s">
        <v>509</v>
      </c>
      <c r="I2545" s="36" t="s">
        <v>61</v>
      </c>
      <c r="J2545" t="s">
        <v>66</v>
      </c>
      <c r="K2545" s="15">
        <v>1200000</v>
      </c>
      <c r="L2545" s="5" t="str">
        <f t="shared" si="39"/>
        <v>15 +</v>
      </c>
    </row>
    <row r="2546" spans="3:12" hidden="1">
      <c r="C2546" t="s">
        <v>31</v>
      </c>
      <c r="D2546" t="s">
        <v>67</v>
      </c>
      <c r="E2546">
        <v>17</v>
      </c>
      <c r="F2546" t="s">
        <v>10</v>
      </c>
      <c r="G2546" t="s">
        <v>51</v>
      </c>
      <c r="H2546" t="s">
        <v>509</v>
      </c>
      <c r="I2546" s="36" t="s">
        <v>249</v>
      </c>
      <c r="J2546" t="s">
        <v>54</v>
      </c>
      <c r="K2546" s="15">
        <v>1144000</v>
      </c>
      <c r="L2546" s="5" t="str">
        <f t="shared" si="39"/>
        <v>15 +</v>
      </c>
    </row>
    <row r="2547" spans="3:12" hidden="1">
      <c r="C2547" t="s">
        <v>31</v>
      </c>
      <c r="D2547" t="s">
        <v>77</v>
      </c>
      <c r="E2547">
        <v>15</v>
      </c>
      <c r="F2547" t="s">
        <v>10</v>
      </c>
      <c r="G2547" t="s">
        <v>59</v>
      </c>
      <c r="H2547" t="s">
        <v>509</v>
      </c>
      <c r="I2547" s="36" t="s">
        <v>175</v>
      </c>
      <c r="J2547" t="s">
        <v>66</v>
      </c>
      <c r="K2547" s="15">
        <v>1400000</v>
      </c>
      <c r="L2547" s="5" t="str">
        <f t="shared" si="39"/>
        <v>15 +</v>
      </c>
    </row>
    <row r="2548" spans="3:12" hidden="1">
      <c r="C2548" t="s">
        <v>31</v>
      </c>
      <c r="D2548" t="s">
        <v>73</v>
      </c>
      <c r="E2548">
        <v>14</v>
      </c>
      <c r="F2548" t="s">
        <v>10</v>
      </c>
      <c r="G2548" t="s">
        <v>51</v>
      </c>
      <c r="H2548" t="s">
        <v>509</v>
      </c>
      <c r="I2548" s="3" t="s">
        <v>148</v>
      </c>
      <c r="J2548" t="s">
        <v>54</v>
      </c>
      <c r="K2548" s="15">
        <v>1050000</v>
      </c>
      <c r="L2548" s="5" t="str">
        <f t="shared" si="39"/>
        <v>9 - 14</v>
      </c>
    </row>
    <row r="2549" spans="3:12" hidden="1">
      <c r="C2549" t="s">
        <v>31</v>
      </c>
      <c r="D2549" t="s">
        <v>67</v>
      </c>
      <c r="E2549">
        <v>13</v>
      </c>
      <c r="F2549" t="s">
        <v>10</v>
      </c>
      <c r="G2549" t="s">
        <v>59</v>
      </c>
      <c r="H2549" t="s">
        <v>509</v>
      </c>
      <c r="I2549" s="3" t="s">
        <v>184</v>
      </c>
      <c r="J2549" t="s">
        <v>66</v>
      </c>
      <c r="K2549" s="15">
        <v>1350000</v>
      </c>
      <c r="L2549" s="5" t="str">
        <f t="shared" si="39"/>
        <v>9 - 14</v>
      </c>
    </row>
    <row r="2550" spans="3:12" hidden="1">
      <c r="C2550" t="s">
        <v>31</v>
      </c>
      <c r="D2550" t="s">
        <v>55</v>
      </c>
      <c r="E2550">
        <v>12</v>
      </c>
      <c r="F2550" t="s">
        <v>10</v>
      </c>
      <c r="G2550" t="s">
        <v>51</v>
      </c>
      <c r="H2550" t="s">
        <v>509</v>
      </c>
      <c r="I2550" s="3" t="s">
        <v>177</v>
      </c>
      <c r="J2550" t="s">
        <v>66</v>
      </c>
      <c r="K2550" s="15">
        <v>1360000</v>
      </c>
      <c r="L2550" s="5" t="str">
        <f t="shared" si="39"/>
        <v>9 - 14</v>
      </c>
    </row>
    <row r="2551" spans="3:12" hidden="1">
      <c r="C2551" t="s">
        <v>31</v>
      </c>
      <c r="D2551" t="s">
        <v>105</v>
      </c>
      <c r="E2551">
        <v>10</v>
      </c>
      <c r="F2551" t="s">
        <v>10</v>
      </c>
      <c r="G2551" t="s">
        <v>51</v>
      </c>
      <c r="H2551" t="s">
        <v>509</v>
      </c>
      <c r="I2551" s="3" t="s">
        <v>176</v>
      </c>
      <c r="J2551" t="s">
        <v>66</v>
      </c>
      <c r="K2551" s="15">
        <v>1005000</v>
      </c>
      <c r="L2551" s="5" t="str">
        <f t="shared" si="39"/>
        <v>9 - 14</v>
      </c>
    </row>
    <row r="2552" spans="3:12" hidden="1">
      <c r="C2552" t="s">
        <v>31</v>
      </c>
      <c r="D2552" t="s">
        <v>56</v>
      </c>
      <c r="E2552">
        <v>10</v>
      </c>
      <c r="F2552" t="s">
        <v>10</v>
      </c>
      <c r="G2552" t="s">
        <v>51</v>
      </c>
      <c r="H2552" t="s">
        <v>509</v>
      </c>
      <c r="I2552" s="3" t="s">
        <v>184</v>
      </c>
      <c r="J2552" t="s">
        <v>54</v>
      </c>
      <c r="K2552" s="15">
        <v>1350000</v>
      </c>
      <c r="L2552" s="5" t="str">
        <f t="shared" si="39"/>
        <v>9 - 14</v>
      </c>
    </row>
    <row r="2553" spans="3:12" hidden="1">
      <c r="C2553" t="s">
        <v>30</v>
      </c>
      <c r="D2553" t="s">
        <v>91</v>
      </c>
      <c r="E2553">
        <v>8</v>
      </c>
      <c r="F2553" t="s">
        <v>10</v>
      </c>
      <c r="G2553" t="s">
        <v>57</v>
      </c>
      <c r="H2553" t="s">
        <v>509</v>
      </c>
      <c r="I2553" s="3" t="s">
        <v>223</v>
      </c>
      <c r="J2553" t="s">
        <v>54</v>
      </c>
      <c r="K2553" s="15">
        <v>790000</v>
      </c>
      <c r="L2553" s="5" t="str">
        <f t="shared" si="39"/>
        <v>5  - 8</v>
      </c>
    </row>
    <row r="2554" spans="3:12" hidden="1">
      <c r="C2554" t="s">
        <v>31</v>
      </c>
      <c r="D2554" t="s">
        <v>73</v>
      </c>
      <c r="E2554">
        <v>8</v>
      </c>
      <c r="F2554" t="s">
        <v>10</v>
      </c>
      <c r="G2554" t="s">
        <v>59</v>
      </c>
      <c r="H2554" t="s">
        <v>509</v>
      </c>
      <c r="I2554" s="3" t="s">
        <v>79</v>
      </c>
      <c r="J2554" t="s">
        <v>66</v>
      </c>
      <c r="K2554" s="15">
        <v>900000</v>
      </c>
      <c r="L2554" s="5" t="str">
        <f t="shared" si="39"/>
        <v>5  - 8</v>
      </c>
    </row>
    <row r="2555" spans="3:12" hidden="1">
      <c r="C2555" t="s">
        <v>31</v>
      </c>
      <c r="D2555" t="s">
        <v>55</v>
      </c>
      <c r="E2555">
        <v>8</v>
      </c>
      <c r="F2555" t="s">
        <v>10</v>
      </c>
      <c r="G2555" t="s">
        <v>51</v>
      </c>
      <c r="H2555" t="s">
        <v>509</v>
      </c>
      <c r="I2555" s="3" t="s">
        <v>106</v>
      </c>
      <c r="J2555" t="s">
        <v>66</v>
      </c>
      <c r="K2555" s="15">
        <v>1100000</v>
      </c>
      <c r="L2555" s="5" t="str">
        <f t="shared" si="39"/>
        <v>5  - 8</v>
      </c>
    </row>
    <row r="2556" spans="3:12" hidden="1">
      <c r="C2556" t="s">
        <v>31</v>
      </c>
      <c r="D2556" t="s">
        <v>55</v>
      </c>
      <c r="E2556">
        <v>7</v>
      </c>
      <c r="F2556" t="s">
        <v>10</v>
      </c>
      <c r="G2556" t="s">
        <v>51</v>
      </c>
      <c r="H2556" t="s">
        <v>509</v>
      </c>
      <c r="I2556" s="3" t="s">
        <v>511</v>
      </c>
      <c r="J2556" t="s">
        <v>54</v>
      </c>
      <c r="K2556" s="15">
        <v>899000</v>
      </c>
      <c r="L2556" s="5" t="str">
        <f t="shared" si="39"/>
        <v>5  - 8</v>
      </c>
    </row>
    <row r="2557" spans="3:12" hidden="1">
      <c r="C2557" t="s">
        <v>31</v>
      </c>
      <c r="D2557" t="s">
        <v>55</v>
      </c>
      <c r="E2557">
        <v>7</v>
      </c>
      <c r="F2557" t="s">
        <v>10</v>
      </c>
      <c r="G2557" t="s">
        <v>59</v>
      </c>
      <c r="H2557" t="s">
        <v>509</v>
      </c>
      <c r="I2557" s="3" t="s">
        <v>209</v>
      </c>
      <c r="J2557" t="s">
        <v>54</v>
      </c>
      <c r="K2557" s="15">
        <v>1010000</v>
      </c>
      <c r="L2557" s="5" t="str">
        <f t="shared" si="39"/>
        <v>5  - 8</v>
      </c>
    </row>
    <row r="2558" spans="3:12" hidden="1">
      <c r="C2558" t="s">
        <v>31</v>
      </c>
      <c r="D2558" t="s">
        <v>73</v>
      </c>
      <c r="E2558">
        <v>7</v>
      </c>
      <c r="F2558" t="s">
        <v>10</v>
      </c>
      <c r="G2558" t="s">
        <v>51</v>
      </c>
      <c r="H2558" t="s">
        <v>509</v>
      </c>
      <c r="I2558" s="3" t="s">
        <v>60</v>
      </c>
      <c r="J2558" t="s">
        <v>66</v>
      </c>
      <c r="K2558" s="15">
        <v>1500000</v>
      </c>
      <c r="L2558" s="5" t="str">
        <f t="shared" si="39"/>
        <v>5  - 8</v>
      </c>
    </row>
    <row r="2559" spans="3:12" hidden="1">
      <c r="C2559" t="s">
        <v>31</v>
      </c>
      <c r="D2559" t="s">
        <v>73</v>
      </c>
      <c r="E2559">
        <v>6</v>
      </c>
      <c r="F2559" t="s">
        <v>10</v>
      </c>
      <c r="G2559" t="s">
        <v>59</v>
      </c>
      <c r="H2559" t="s">
        <v>509</v>
      </c>
      <c r="I2559" s="3" t="s">
        <v>108</v>
      </c>
      <c r="J2559" t="s">
        <v>54</v>
      </c>
      <c r="K2559" s="15">
        <v>700000</v>
      </c>
      <c r="L2559" s="5" t="str">
        <f t="shared" si="39"/>
        <v>5  - 8</v>
      </c>
    </row>
    <row r="2560" spans="3:12" hidden="1">
      <c r="C2560" t="s">
        <v>31</v>
      </c>
      <c r="D2560" t="s">
        <v>73</v>
      </c>
      <c r="E2560">
        <v>5</v>
      </c>
      <c r="F2560" t="s">
        <v>10</v>
      </c>
      <c r="G2560" t="s">
        <v>51</v>
      </c>
      <c r="H2560" t="s">
        <v>509</v>
      </c>
      <c r="I2560" s="3" t="s">
        <v>512</v>
      </c>
      <c r="J2560" t="s">
        <v>54</v>
      </c>
      <c r="K2560" s="15">
        <v>807000</v>
      </c>
      <c r="L2560" s="5" t="str">
        <f t="shared" si="39"/>
        <v>5  - 8</v>
      </c>
    </row>
    <row r="2561" spans="3:12" hidden="1">
      <c r="C2561" t="s">
        <v>31</v>
      </c>
      <c r="D2561" t="s">
        <v>55</v>
      </c>
      <c r="E2561">
        <v>5</v>
      </c>
      <c r="F2561" t="s">
        <v>10</v>
      </c>
      <c r="G2561" t="s">
        <v>59</v>
      </c>
      <c r="H2561" t="s">
        <v>509</v>
      </c>
      <c r="I2561" s="3" t="s">
        <v>336</v>
      </c>
      <c r="J2561" t="s">
        <v>66</v>
      </c>
      <c r="K2561" s="15">
        <v>985000</v>
      </c>
      <c r="L2561" s="5" t="str">
        <f t="shared" si="39"/>
        <v>5  - 8</v>
      </c>
    </row>
    <row r="2562" spans="3:12" hidden="1">
      <c r="C2562" t="s">
        <v>32</v>
      </c>
      <c r="D2562" t="s">
        <v>73</v>
      </c>
      <c r="E2562">
        <v>4</v>
      </c>
      <c r="F2562" t="s">
        <v>10</v>
      </c>
      <c r="G2562" t="s">
        <v>51</v>
      </c>
      <c r="H2562" t="s">
        <v>509</v>
      </c>
      <c r="I2562" s="3" t="s">
        <v>69</v>
      </c>
      <c r="J2562" t="s">
        <v>54</v>
      </c>
      <c r="K2562" s="15">
        <v>750000</v>
      </c>
      <c r="L2562" s="5" t="str">
        <f t="shared" si="39"/>
        <v>0 - 4</v>
      </c>
    </row>
    <row r="2563" spans="3:12" hidden="1">
      <c r="C2563" t="s">
        <v>31</v>
      </c>
      <c r="D2563" t="s">
        <v>64</v>
      </c>
      <c r="E2563">
        <v>4</v>
      </c>
      <c r="F2563" t="s">
        <v>10</v>
      </c>
      <c r="G2563" t="s">
        <v>57</v>
      </c>
      <c r="H2563" t="s">
        <v>509</v>
      </c>
      <c r="I2563" s="3" t="s">
        <v>96</v>
      </c>
      <c r="J2563" t="s">
        <v>54</v>
      </c>
      <c r="K2563" s="15">
        <v>780000</v>
      </c>
      <c r="L2563" s="5" t="str">
        <f t="shared" ref="L2563:L2626" si="40">_xlfn.XLOOKUP(E2563,$P$2:$P$5,$O$2:$O$5,,1)</f>
        <v>0 - 4</v>
      </c>
    </row>
    <row r="2564" spans="3:12" hidden="1">
      <c r="C2564" t="s">
        <v>31</v>
      </c>
      <c r="D2564" t="s">
        <v>67</v>
      </c>
      <c r="E2564">
        <v>4</v>
      </c>
      <c r="F2564" t="s">
        <v>10</v>
      </c>
      <c r="G2564" t="s">
        <v>59</v>
      </c>
      <c r="H2564" t="s">
        <v>509</v>
      </c>
      <c r="I2564" s="3" t="s">
        <v>116</v>
      </c>
      <c r="J2564" t="s">
        <v>66</v>
      </c>
      <c r="K2564" s="15">
        <v>800000</v>
      </c>
      <c r="L2564" s="5" t="str">
        <f t="shared" si="40"/>
        <v>0 - 4</v>
      </c>
    </row>
    <row r="2565" spans="3:12" hidden="1">
      <c r="C2565" t="s">
        <v>31</v>
      </c>
      <c r="D2565" t="s">
        <v>67</v>
      </c>
      <c r="E2565">
        <v>4</v>
      </c>
      <c r="F2565" t="s">
        <v>10</v>
      </c>
      <c r="G2565" t="s">
        <v>57</v>
      </c>
      <c r="H2565" t="s">
        <v>509</v>
      </c>
      <c r="I2565" s="3" t="s">
        <v>513</v>
      </c>
      <c r="J2565" t="s">
        <v>54</v>
      </c>
      <c r="K2565" s="15">
        <v>838000</v>
      </c>
      <c r="L2565" s="5" t="str">
        <f t="shared" si="40"/>
        <v>0 - 4</v>
      </c>
    </row>
    <row r="2566" spans="3:12" hidden="1">
      <c r="C2566" t="s">
        <v>31</v>
      </c>
      <c r="D2566" t="s">
        <v>77</v>
      </c>
      <c r="E2566">
        <v>3</v>
      </c>
      <c r="F2566" t="s">
        <v>10</v>
      </c>
      <c r="G2566" t="s">
        <v>57</v>
      </c>
      <c r="H2566" t="s">
        <v>509</v>
      </c>
      <c r="I2566" s="3" t="s">
        <v>159</v>
      </c>
      <c r="J2566" t="s">
        <v>54</v>
      </c>
      <c r="K2566" s="15">
        <v>680000</v>
      </c>
      <c r="L2566" s="5" t="str">
        <f t="shared" si="40"/>
        <v>0 - 4</v>
      </c>
    </row>
    <row r="2567" spans="3:12" hidden="1">
      <c r="C2567" t="s">
        <v>31</v>
      </c>
      <c r="D2567" t="s">
        <v>55</v>
      </c>
      <c r="E2567">
        <v>3</v>
      </c>
      <c r="F2567" t="s">
        <v>10</v>
      </c>
      <c r="G2567" t="s">
        <v>59</v>
      </c>
      <c r="H2567" t="s">
        <v>509</v>
      </c>
      <c r="I2567" s="3" t="s">
        <v>130</v>
      </c>
      <c r="J2567" t="s">
        <v>66</v>
      </c>
      <c r="K2567" s="15">
        <v>950000</v>
      </c>
      <c r="L2567" s="5" t="str">
        <f t="shared" si="40"/>
        <v>0 - 4</v>
      </c>
    </row>
    <row r="2568" spans="3:12" hidden="1">
      <c r="C2568" t="s">
        <v>31</v>
      </c>
      <c r="D2568" t="s">
        <v>73</v>
      </c>
      <c r="E2568">
        <v>2</v>
      </c>
      <c r="F2568" t="s">
        <v>10</v>
      </c>
      <c r="G2568" t="s">
        <v>59</v>
      </c>
      <c r="H2568" t="s">
        <v>509</v>
      </c>
      <c r="I2568" s="3" t="s">
        <v>377</v>
      </c>
      <c r="J2568" t="s">
        <v>66</v>
      </c>
      <c r="K2568" s="15">
        <v>634000</v>
      </c>
      <c r="L2568" s="5" t="str">
        <f t="shared" si="40"/>
        <v>0 - 4</v>
      </c>
    </row>
    <row r="2569" spans="3:12" hidden="1">
      <c r="C2569" t="s">
        <v>31</v>
      </c>
      <c r="D2569" t="s">
        <v>73</v>
      </c>
      <c r="E2569">
        <v>2</v>
      </c>
      <c r="F2569" t="s">
        <v>10</v>
      </c>
      <c r="G2569" t="s">
        <v>57</v>
      </c>
      <c r="H2569" t="s">
        <v>509</v>
      </c>
      <c r="I2569" s="3" t="s">
        <v>514</v>
      </c>
      <c r="J2569" t="s">
        <v>66</v>
      </c>
      <c r="K2569" s="15">
        <v>827000</v>
      </c>
      <c r="L2569" s="5" t="str">
        <f t="shared" si="40"/>
        <v>0 - 4</v>
      </c>
    </row>
    <row r="2570" spans="3:12" hidden="1">
      <c r="C2570" t="s">
        <v>31</v>
      </c>
      <c r="D2570" t="s">
        <v>73</v>
      </c>
      <c r="E2570">
        <v>1</v>
      </c>
      <c r="F2570" t="s">
        <v>10</v>
      </c>
      <c r="G2570" t="s">
        <v>51</v>
      </c>
      <c r="H2570" t="s">
        <v>509</v>
      </c>
      <c r="I2570" s="3" t="s">
        <v>515</v>
      </c>
      <c r="J2570" t="s">
        <v>54</v>
      </c>
      <c r="K2570" s="15">
        <v>468000</v>
      </c>
      <c r="L2570" s="5" t="str">
        <f t="shared" si="40"/>
        <v>0 - 4</v>
      </c>
    </row>
    <row r="2571" spans="3:12" hidden="1">
      <c r="C2571" t="s">
        <v>31</v>
      </c>
      <c r="D2571" t="s">
        <v>73</v>
      </c>
      <c r="E2571">
        <v>1</v>
      </c>
      <c r="F2571" t="s">
        <v>10</v>
      </c>
      <c r="G2571" t="s">
        <v>59</v>
      </c>
      <c r="H2571" t="s">
        <v>509</v>
      </c>
      <c r="I2571" s="3" t="s">
        <v>191</v>
      </c>
      <c r="J2571" t="s">
        <v>66</v>
      </c>
      <c r="K2571" s="15">
        <v>530000</v>
      </c>
      <c r="L2571" s="5" t="str">
        <f t="shared" si="40"/>
        <v>0 - 4</v>
      </c>
    </row>
    <row r="2572" spans="3:12" hidden="1">
      <c r="C2572" t="s">
        <v>31</v>
      </c>
      <c r="D2572" t="s">
        <v>73</v>
      </c>
      <c r="E2572">
        <v>1</v>
      </c>
      <c r="F2572" t="s">
        <v>10</v>
      </c>
      <c r="G2572" t="s">
        <v>57</v>
      </c>
      <c r="H2572" t="s">
        <v>509</v>
      </c>
      <c r="I2572" s="3" t="s">
        <v>293</v>
      </c>
      <c r="J2572" t="s">
        <v>54</v>
      </c>
      <c r="K2572" s="15">
        <v>615000</v>
      </c>
      <c r="L2572" s="5" t="str">
        <f t="shared" si="40"/>
        <v>0 - 4</v>
      </c>
    </row>
    <row r="2573" spans="3:12" hidden="1">
      <c r="C2573" t="s">
        <v>30</v>
      </c>
      <c r="D2573" t="s">
        <v>55</v>
      </c>
      <c r="E2573">
        <v>0</v>
      </c>
      <c r="F2573" t="s">
        <v>10</v>
      </c>
      <c r="G2573" t="s">
        <v>59</v>
      </c>
      <c r="H2573" t="s">
        <v>509</v>
      </c>
      <c r="I2573" s="3" t="s">
        <v>281</v>
      </c>
      <c r="J2573" t="s">
        <v>54</v>
      </c>
      <c r="K2573" s="15">
        <v>610000</v>
      </c>
      <c r="L2573" s="5" t="str">
        <f t="shared" si="40"/>
        <v>0 - 4</v>
      </c>
    </row>
    <row r="2574" spans="3:12" hidden="1">
      <c r="C2574" t="s">
        <v>30</v>
      </c>
      <c r="D2574" t="s">
        <v>55</v>
      </c>
      <c r="E2574">
        <v>0</v>
      </c>
      <c r="F2574" t="s">
        <v>10</v>
      </c>
      <c r="G2574" t="s">
        <v>59</v>
      </c>
      <c r="H2574" t="s">
        <v>509</v>
      </c>
      <c r="I2574" s="3" t="s">
        <v>222</v>
      </c>
      <c r="J2574" t="s">
        <v>54</v>
      </c>
      <c r="K2574" s="15">
        <v>670000</v>
      </c>
      <c r="L2574" s="5" t="str">
        <f t="shared" si="40"/>
        <v>0 - 4</v>
      </c>
    </row>
    <row r="2575" spans="3:12" hidden="1">
      <c r="C2575" t="s">
        <v>31</v>
      </c>
      <c r="D2575" t="s">
        <v>55</v>
      </c>
      <c r="E2575">
        <v>0</v>
      </c>
      <c r="F2575" t="s">
        <v>10</v>
      </c>
      <c r="G2575" t="s">
        <v>59</v>
      </c>
      <c r="H2575" t="s">
        <v>509</v>
      </c>
      <c r="I2575" s="3" t="s">
        <v>516</v>
      </c>
      <c r="J2575" t="s">
        <v>66</v>
      </c>
      <c r="K2575" s="15">
        <v>622000</v>
      </c>
      <c r="L2575" s="5" t="str">
        <f t="shared" si="40"/>
        <v>0 - 4</v>
      </c>
    </row>
    <row r="2576" spans="3:12" hidden="1">
      <c r="C2576" t="s">
        <v>31</v>
      </c>
      <c r="D2576" t="s">
        <v>49</v>
      </c>
      <c r="E2576">
        <v>24</v>
      </c>
      <c r="F2576" t="s">
        <v>11</v>
      </c>
      <c r="G2576" t="s">
        <v>59</v>
      </c>
      <c r="H2576" t="s">
        <v>509</v>
      </c>
      <c r="I2576" s="3" t="s">
        <v>154</v>
      </c>
      <c r="J2576" t="s">
        <v>66</v>
      </c>
      <c r="K2576" s="15">
        <v>875000</v>
      </c>
      <c r="L2576" s="5" t="str">
        <f t="shared" si="40"/>
        <v>15 +</v>
      </c>
    </row>
    <row r="2577" spans="3:12" hidden="1">
      <c r="C2577" t="s">
        <v>31</v>
      </c>
      <c r="D2577" t="s">
        <v>55</v>
      </c>
      <c r="E2577">
        <v>4</v>
      </c>
      <c r="F2577" t="s">
        <v>11</v>
      </c>
      <c r="G2577" t="s">
        <v>59</v>
      </c>
      <c r="H2577" t="s">
        <v>509</v>
      </c>
      <c r="I2577" s="3" t="s">
        <v>151</v>
      </c>
      <c r="J2577" t="s">
        <v>54</v>
      </c>
      <c r="K2577" s="15">
        <v>690000</v>
      </c>
      <c r="L2577" s="5" t="str">
        <f t="shared" si="40"/>
        <v>0 - 4</v>
      </c>
    </row>
    <row r="2578" spans="3:12" hidden="1">
      <c r="C2578" t="s">
        <v>31</v>
      </c>
      <c r="D2578" t="s">
        <v>73</v>
      </c>
      <c r="E2578">
        <v>4</v>
      </c>
      <c r="F2578" t="s">
        <v>11</v>
      </c>
      <c r="G2578" t="s">
        <v>57</v>
      </c>
      <c r="H2578" t="s">
        <v>509</v>
      </c>
      <c r="I2578" s="3" t="s">
        <v>108</v>
      </c>
      <c r="J2578" t="s">
        <v>54</v>
      </c>
      <c r="K2578" s="15">
        <v>700000</v>
      </c>
      <c r="L2578" s="5" t="str">
        <f t="shared" si="40"/>
        <v>0 - 4</v>
      </c>
    </row>
    <row r="2579" spans="3:12" hidden="1">
      <c r="C2579" t="s">
        <v>31</v>
      </c>
      <c r="D2579" t="s">
        <v>91</v>
      </c>
      <c r="E2579">
        <v>4</v>
      </c>
      <c r="F2579" t="s">
        <v>11</v>
      </c>
      <c r="G2579" t="s">
        <v>59</v>
      </c>
      <c r="H2579" t="s">
        <v>509</v>
      </c>
      <c r="I2579" s="3" t="s">
        <v>130</v>
      </c>
      <c r="J2579" t="s">
        <v>66</v>
      </c>
      <c r="K2579" s="15">
        <v>950000</v>
      </c>
      <c r="L2579" s="5" t="str">
        <f t="shared" si="40"/>
        <v>0 - 4</v>
      </c>
    </row>
    <row r="2580" spans="3:12" hidden="1">
      <c r="C2580" t="s">
        <v>30</v>
      </c>
      <c r="D2580" t="s">
        <v>55</v>
      </c>
      <c r="E2580">
        <v>5</v>
      </c>
      <c r="F2580" t="s">
        <v>12</v>
      </c>
      <c r="G2580" t="s">
        <v>59</v>
      </c>
      <c r="H2580" t="s">
        <v>509</v>
      </c>
      <c r="I2580" s="3" t="s">
        <v>265</v>
      </c>
      <c r="J2580" t="s">
        <v>54</v>
      </c>
      <c r="K2580" s="15">
        <v>635000</v>
      </c>
      <c r="L2580" s="5" t="str">
        <f t="shared" si="40"/>
        <v>5  - 8</v>
      </c>
    </row>
    <row r="2581" spans="3:12" hidden="1">
      <c r="C2581" t="s">
        <v>31</v>
      </c>
      <c r="D2581" t="s">
        <v>55</v>
      </c>
      <c r="E2581">
        <v>24</v>
      </c>
      <c r="F2581" t="s">
        <v>13</v>
      </c>
      <c r="G2581" t="s">
        <v>51</v>
      </c>
      <c r="H2581" t="s">
        <v>509</v>
      </c>
      <c r="I2581" s="3" t="s">
        <v>106</v>
      </c>
      <c r="J2581" t="s">
        <v>54</v>
      </c>
      <c r="K2581" s="15">
        <v>1100000</v>
      </c>
      <c r="L2581" s="5" t="str">
        <f t="shared" si="40"/>
        <v>15 +</v>
      </c>
    </row>
    <row r="2582" spans="3:12" hidden="1">
      <c r="C2582" t="s">
        <v>31</v>
      </c>
      <c r="D2582" t="s">
        <v>55</v>
      </c>
      <c r="E2582">
        <v>20</v>
      </c>
      <c r="F2582" t="s">
        <v>13</v>
      </c>
      <c r="G2582" t="s">
        <v>57</v>
      </c>
      <c r="H2582" t="s">
        <v>509</v>
      </c>
      <c r="I2582" s="3" t="s">
        <v>149</v>
      </c>
      <c r="J2582" t="s">
        <v>54</v>
      </c>
      <c r="K2582" s="15">
        <v>1015000</v>
      </c>
      <c r="L2582" s="5" t="str">
        <f t="shared" si="40"/>
        <v>15 +</v>
      </c>
    </row>
    <row r="2583" spans="3:12" hidden="1">
      <c r="C2583" t="s">
        <v>31</v>
      </c>
      <c r="D2583" t="s">
        <v>55</v>
      </c>
      <c r="E2583">
        <v>17</v>
      </c>
      <c r="F2583" t="s">
        <v>13</v>
      </c>
      <c r="G2583" t="s">
        <v>57</v>
      </c>
      <c r="H2583" t="s">
        <v>509</v>
      </c>
      <c r="I2583" s="3" t="s">
        <v>167</v>
      </c>
      <c r="J2583" t="s">
        <v>54</v>
      </c>
      <c r="K2583" s="15">
        <v>860000</v>
      </c>
      <c r="L2583" s="5" t="str">
        <f t="shared" si="40"/>
        <v>15 +</v>
      </c>
    </row>
    <row r="2584" spans="3:12" hidden="1">
      <c r="C2584" t="s">
        <v>31</v>
      </c>
      <c r="D2584" t="s">
        <v>77</v>
      </c>
      <c r="E2584">
        <v>10</v>
      </c>
      <c r="F2584" t="s">
        <v>13</v>
      </c>
      <c r="G2584" t="s">
        <v>57</v>
      </c>
      <c r="H2584" t="s">
        <v>509</v>
      </c>
      <c r="I2584" s="3" t="s">
        <v>69</v>
      </c>
      <c r="J2584" t="s">
        <v>54</v>
      </c>
      <c r="K2584" s="15">
        <v>750000</v>
      </c>
      <c r="L2584" s="5" t="str">
        <f t="shared" si="40"/>
        <v>9 - 14</v>
      </c>
    </row>
    <row r="2585" spans="3:12" hidden="1">
      <c r="C2585" t="s">
        <v>31</v>
      </c>
      <c r="D2585" t="s">
        <v>55</v>
      </c>
      <c r="E2585">
        <v>4</v>
      </c>
      <c r="F2585" t="s">
        <v>13</v>
      </c>
      <c r="G2585" t="s">
        <v>57</v>
      </c>
      <c r="H2585" t="s">
        <v>509</v>
      </c>
      <c r="I2585" s="3" t="s">
        <v>159</v>
      </c>
      <c r="J2585" t="s">
        <v>54</v>
      </c>
      <c r="K2585" s="15">
        <v>680000</v>
      </c>
      <c r="L2585" s="5" t="str">
        <f t="shared" si="40"/>
        <v>0 - 4</v>
      </c>
    </row>
    <row r="2586" spans="3:12" hidden="1">
      <c r="C2586" t="s">
        <v>31</v>
      </c>
      <c r="D2586" t="s">
        <v>67</v>
      </c>
      <c r="E2586">
        <v>1</v>
      </c>
      <c r="F2586" t="s">
        <v>13</v>
      </c>
      <c r="G2586" t="s">
        <v>57</v>
      </c>
      <c r="H2586" t="s">
        <v>509</v>
      </c>
      <c r="I2586" s="3" t="s">
        <v>517</v>
      </c>
      <c r="J2586" t="s">
        <v>54</v>
      </c>
      <c r="K2586" s="15">
        <v>526300</v>
      </c>
      <c r="L2586" s="5" t="str">
        <f t="shared" si="40"/>
        <v>0 - 4</v>
      </c>
    </row>
    <row r="2587" spans="3:12" hidden="1">
      <c r="C2587" t="s">
        <v>31</v>
      </c>
      <c r="D2587" t="s">
        <v>73</v>
      </c>
      <c r="E2587">
        <v>1</v>
      </c>
      <c r="F2587" t="s">
        <v>13</v>
      </c>
      <c r="G2587" t="s">
        <v>59</v>
      </c>
      <c r="H2587" t="s">
        <v>509</v>
      </c>
      <c r="I2587" s="3" t="s">
        <v>139</v>
      </c>
      <c r="J2587" t="s">
        <v>66</v>
      </c>
      <c r="K2587" s="15">
        <v>600000</v>
      </c>
      <c r="L2587" s="5" t="str">
        <f t="shared" si="40"/>
        <v>0 - 4</v>
      </c>
    </row>
    <row r="2588" spans="3:12" hidden="1">
      <c r="C2588" t="s">
        <v>31</v>
      </c>
      <c r="D2588" t="s">
        <v>55</v>
      </c>
      <c r="E2588">
        <v>5</v>
      </c>
      <c r="F2588" t="s">
        <v>17</v>
      </c>
      <c r="G2588" t="s">
        <v>51</v>
      </c>
      <c r="H2588" t="s">
        <v>509</v>
      </c>
      <c r="I2588" s="3" t="s">
        <v>195</v>
      </c>
      <c r="J2588" t="s">
        <v>54</v>
      </c>
      <c r="K2588" s="15">
        <v>2000000</v>
      </c>
      <c r="L2588" s="5" t="str">
        <f t="shared" si="40"/>
        <v>5  - 8</v>
      </c>
    </row>
    <row r="2589" spans="3:12" hidden="1">
      <c r="C2589" t="s">
        <v>30</v>
      </c>
      <c r="D2589" t="s">
        <v>73</v>
      </c>
      <c r="E2589">
        <v>15</v>
      </c>
      <c r="F2589" t="s">
        <v>18</v>
      </c>
      <c r="G2589" t="s">
        <v>59</v>
      </c>
      <c r="H2589" t="s">
        <v>509</v>
      </c>
      <c r="I2589" s="3" t="s">
        <v>61</v>
      </c>
      <c r="J2589" t="s">
        <v>66</v>
      </c>
      <c r="K2589" s="15">
        <v>1200000</v>
      </c>
      <c r="L2589" s="5" t="str">
        <f t="shared" si="40"/>
        <v>15 +</v>
      </c>
    </row>
    <row r="2590" spans="3:12" hidden="1">
      <c r="C2590" t="s">
        <v>31</v>
      </c>
      <c r="D2590" t="s">
        <v>55</v>
      </c>
      <c r="E2590">
        <v>1</v>
      </c>
      <c r="F2590" t="s">
        <v>18</v>
      </c>
      <c r="G2590" t="s">
        <v>57</v>
      </c>
      <c r="H2590" t="s">
        <v>509</v>
      </c>
      <c r="I2590" s="3" t="s">
        <v>159</v>
      </c>
      <c r="J2590" t="s">
        <v>54</v>
      </c>
      <c r="K2590" s="15">
        <v>680000</v>
      </c>
      <c r="L2590" s="5" t="str">
        <f t="shared" si="40"/>
        <v>0 - 4</v>
      </c>
    </row>
    <row r="2591" spans="3:12" hidden="1">
      <c r="C2591" t="s">
        <v>31</v>
      </c>
      <c r="D2591" t="s">
        <v>73</v>
      </c>
      <c r="E2591">
        <v>10</v>
      </c>
      <c r="F2591" t="s">
        <v>14</v>
      </c>
      <c r="G2591" t="s">
        <v>59</v>
      </c>
      <c r="H2591" t="s">
        <v>509</v>
      </c>
      <c r="I2591" s="3" t="s">
        <v>110</v>
      </c>
      <c r="J2591" t="s">
        <v>66</v>
      </c>
      <c r="K2591" s="15">
        <v>1000000</v>
      </c>
      <c r="L2591" s="5" t="str">
        <f t="shared" si="40"/>
        <v>9 - 14</v>
      </c>
    </row>
    <row r="2592" spans="3:12" hidden="1">
      <c r="C2592" t="s">
        <v>31</v>
      </c>
      <c r="D2592" t="s">
        <v>67</v>
      </c>
      <c r="E2592">
        <v>9</v>
      </c>
      <c r="F2592" t="s">
        <v>14</v>
      </c>
      <c r="G2592" t="s">
        <v>59</v>
      </c>
      <c r="H2592" t="s">
        <v>509</v>
      </c>
      <c r="I2592" s="3" t="s">
        <v>61</v>
      </c>
      <c r="J2592" t="s">
        <v>54</v>
      </c>
      <c r="K2592" s="15">
        <v>1200000</v>
      </c>
      <c r="L2592" s="5" t="str">
        <f t="shared" si="40"/>
        <v>9 - 14</v>
      </c>
    </row>
    <row r="2593" spans="3:12" hidden="1">
      <c r="C2593" t="s">
        <v>31</v>
      </c>
      <c r="D2593" t="s">
        <v>49</v>
      </c>
      <c r="E2593">
        <v>6</v>
      </c>
      <c r="F2593" t="s">
        <v>14</v>
      </c>
      <c r="G2593" t="s">
        <v>59</v>
      </c>
      <c r="H2593" t="s">
        <v>509</v>
      </c>
      <c r="I2593" s="3" t="s">
        <v>354</v>
      </c>
      <c r="J2593" t="s">
        <v>54</v>
      </c>
      <c r="K2593" s="15">
        <v>520000</v>
      </c>
      <c r="L2593" s="5" t="str">
        <f t="shared" si="40"/>
        <v>5  - 8</v>
      </c>
    </row>
    <row r="2594" spans="3:12" hidden="1">
      <c r="C2594" t="s">
        <v>31</v>
      </c>
      <c r="D2594" t="s">
        <v>73</v>
      </c>
      <c r="E2594">
        <v>5</v>
      </c>
      <c r="F2594" t="s">
        <v>14</v>
      </c>
      <c r="G2594" t="s">
        <v>59</v>
      </c>
      <c r="H2594" t="s">
        <v>509</v>
      </c>
      <c r="I2594" s="3" t="s">
        <v>256</v>
      </c>
      <c r="J2594" t="s">
        <v>54</v>
      </c>
      <c r="K2594" s="15">
        <v>825000</v>
      </c>
      <c r="L2594" s="5" t="str">
        <f t="shared" si="40"/>
        <v>5  - 8</v>
      </c>
    </row>
    <row r="2595" spans="3:12" hidden="1">
      <c r="C2595" t="s">
        <v>31</v>
      </c>
      <c r="D2595" t="s">
        <v>73</v>
      </c>
      <c r="E2595">
        <v>4</v>
      </c>
      <c r="F2595" t="s">
        <v>14</v>
      </c>
      <c r="G2595" t="s">
        <v>51</v>
      </c>
      <c r="H2595" t="s">
        <v>509</v>
      </c>
      <c r="I2595" s="3" t="s">
        <v>72</v>
      </c>
      <c r="J2595" t="s">
        <v>54</v>
      </c>
      <c r="K2595" s="15">
        <v>850000</v>
      </c>
      <c r="L2595" s="5" t="str">
        <f t="shared" si="40"/>
        <v>0 - 4</v>
      </c>
    </row>
    <row r="2596" spans="3:12" hidden="1">
      <c r="C2596" t="s">
        <v>31</v>
      </c>
      <c r="D2596" t="s">
        <v>67</v>
      </c>
      <c r="E2596">
        <v>2</v>
      </c>
      <c r="F2596" t="s">
        <v>14</v>
      </c>
      <c r="G2596" t="s">
        <v>59</v>
      </c>
      <c r="H2596" t="s">
        <v>509</v>
      </c>
      <c r="I2596" s="3" t="s">
        <v>139</v>
      </c>
      <c r="J2596" t="s">
        <v>66</v>
      </c>
      <c r="K2596" s="15">
        <v>600000</v>
      </c>
      <c r="L2596" s="5" t="str">
        <f t="shared" si="40"/>
        <v>0 - 4</v>
      </c>
    </row>
    <row r="2597" spans="3:12" hidden="1">
      <c r="C2597" t="s">
        <v>31</v>
      </c>
      <c r="D2597" t="s">
        <v>73</v>
      </c>
      <c r="E2597">
        <v>1</v>
      </c>
      <c r="F2597" t="s">
        <v>14</v>
      </c>
      <c r="G2597" t="s">
        <v>57</v>
      </c>
      <c r="H2597" t="s">
        <v>509</v>
      </c>
      <c r="I2597" s="3" t="s">
        <v>433</v>
      </c>
      <c r="J2597" t="s">
        <v>54</v>
      </c>
      <c r="K2597" s="15">
        <v>626000</v>
      </c>
      <c r="L2597" s="5" t="str">
        <f t="shared" si="40"/>
        <v>0 - 4</v>
      </c>
    </row>
    <row r="2598" spans="3:12" hidden="1">
      <c r="C2598" t="s">
        <v>31</v>
      </c>
      <c r="D2598" t="s">
        <v>55</v>
      </c>
      <c r="E2598">
        <v>1</v>
      </c>
      <c r="F2598" t="s">
        <v>14</v>
      </c>
      <c r="G2598" t="s">
        <v>57</v>
      </c>
      <c r="H2598" t="s">
        <v>509</v>
      </c>
      <c r="I2598" s="3" t="s">
        <v>119</v>
      </c>
      <c r="J2598" t="s">
        <v>54</v>
      </c>
      <c r="K2598" s="15">
        <v>630000</v>
      </c>
      <c r="L2598" s="5" t="str">
        <f t="shared" si="40"/>
        <v>0 - 4</v>
      </c>
    </row>
    <row r="2599" spans="3:12" hidden="1">
      <c r="C2599" t="s">
        <v>31</v>
      </c>
      <c r="D2599" t="s">
        <v>63</v>
      </c>
      <c r="E2599">
        <v>28</v>
      </c>
      <c r="F2599" t="s">
        <v>15</v>
      </c>
      <c r="G2599" t="s">
        <v>51</v>
      </c>
      <c r="H2599" t="s">
        <v>509</v>
      </c>
      <c r="I2599" s="3" t="s">
        <v>104</v>
      </c>
      <c r="J2599" t="s">
        <v>54</v>
      </c>
      <c r="K2599" s="15">
        <v>1300000</v>
      </c>
      <c r="L2599" s="5" t="str">
        <f t="shared" si="40"/>
        <v>15 +</v>
      </c>
    </row>
    <row r="2600" spans="3:12" hidden="1">
      <c r="C2600" t="s">
        <v>31</v>
      </c>
      <c r="D2600" t="s">
        <v>73</v>
      </c>
      <c r="E2600">
        <v>23</v>
      </c>
      <c r="F2600" t="s">
        <v>8</v>
      </c>
      <c r="G2600" t="s">
        <v>51</v>
      </c>
      <c r="H2600" t="s">
        <v>518</v>
      </c>
      <c r="I2600" s="3" t="s">
        <v>233</v>
      </c>
      <c r="J2600" t="s">
        <v>54</v>
      </c>
      <c r="K2600" s="15">
        <v>830000</v>
      </c>
      <c r="L2600" s="5" t="str">
        <f t="shared" si="40"/>
        <v>15 +</v>
      </c>
    </row>
    <row r="2601" spans="3:12" hidden="1">
      <c r="C2601" t="s">
        <v>30</v>
      </c>
      <c r="D2601" t="s">
        <v>73</v>
      </c>
      <c r="E2601">
        <v>23</v>
      </c>
      <c r="F2601" t="s">
        <v>10</v>
      </c>
      <c r="G2601" t="s">
        <v>51</v>
      </c>
      <c r="H2601" t="s">
        <v>518</v>
      </c>
      <c r="I2601" s="36" t="s">
        <v>450</v>
      </c>
      <c r="J2601" t="s">
        <v>54</v>
      </c>
      <c r="K2601" s="15">
        <v>892000</v>
      </c>
      <c r="L2601" s="5" t="str">
        <f t="shared" si="40"/>
        <v>15 +</v>
      </c>
    </row>
    <row r="2602" spans="3:12" hidden="1">
      <c r="C2602" t="s">
        <v>31</v>
      </c>
      <c r="D2602" t="s">
        <v>67</v>
      </c>
      <c r="E2602">
        <v>21</v>
      </c>
      <c r="F2602" t="s">
        <v>10</v>
      </c>
      <c r="G2602" t="s">
        <v>59</v>
      </c>
      <c r="H2602" t="s">
        <v>518</v>
      </c>
      <c r="I2602" s="36" t="s">
        <v>60</v>
      </c>
      <c r="J2602" t="s">
        <v>54</v>
      </c>
      <c r="K2602" s="15">
        <v>1500000</v>
      </c>
      <c r="L2602" s="5" t="str">
        <f t="shared" si="40"/>
        <v>15 +</v>
      </c>
    </row>
    <row r="2603" spans="3:12" hidden="1">
      <c r="C2603" t="s">
        <v>30</v>
      </c>
      <c r="D2603" t="s">
        <v>55</v>
      </c>
      <c r="E2603">
        <v>18</v>
      </c>
      <c r="F2603" t="s">
        <v>10</v>
      </c>
      <c r="G2603" t="s">
        <v>59</v>
      </c>
      <c r="H2603" t="s">
        <v>518</v>
      </c>
      <c r="I2603" s="36" t="s">
        <v>237</v>
      </c>
      <c r="J2603" t="s">
        <v>54</v>
      </c>
      <c r="K2603" s="15">
        <v>1260000</v>
      </c>
      <c r="L2603" s="5" t="str">
        <f t="shared" si="40"/>
        <v>15 +</v>
      </c>
    </row>
    <row r="2604" spans="3:12" hidden="1">
      <c r="C2604" t="s">
        <v>31</v>
      </c>
      <c r="D2604" t="s">
        <v>50</v>
      </c>
      <c r="E2604">
        <v>17</v>
      </c>
      <c r="F2604" t="s">
        <v>10</v>
      </c>
      <c r="G2604" t="s">
        <v>59</v>
      </c>
      <c r="H2604" t="s">
        <v>518</v>
      </c>
      <c r="I2604" s="36" t="s">
        <v>195</v>
      </c>
      <c r="J2604" t="s">
        <v>66</v>
      </c>
      <c r="K2604" s="15">
        <v>2000000</v>
      </c>
      <c r="L2604" s="5" t="str">
        <f t="shared" si="40"/>
        <v>15 +</v>
      </c>
    </row>
    <row r="2605" spans="3:12" hidden="1">
      <c r="C2605" t="s">
        <v>30</v>
      </c>
      <c r="D2605" t="s">
        <v>73</v>
      </c>
      <c r="E2605">
        <v>15</v>
      </c>
      <c r="F2605" t="s">
        <v>10</v>
      </c>
      <c r="G2605" t="s">
        <v>57</v>
      </c>
      <c r="H2605" t="s">
        <v>518</v>
      </c>
      <c r="I2605" s="36" t="s">
        <v>108</v>
      </c>
      <c r="J2605" t="s">
        <v>54</v>
      </c>
      <c r="K2605" s="15">
        <v>700000</v>
      </c>
      <c r="L2605" s="5" t="str">
        <f t="shared" si="40"/>
        <v>15 +</v>
      </c>
    </row>
    <row r="2606" spans="3:12" hidden="1">
      <c r="C2606" t="s">
        <v>30</v>
      </c>
      <c r="D2606" t="s">
        <v>62</v>
      </c>
      <c r="E2606">
        <v>15</v>
      </c>
      <c r="F2606" t="s">
        <v>10</v>
      </c>
      <c r="G2606" t="s">
        <v>57</v>
      </c>
      <c r="H2606" t="s">
        <v>518</v>
      </c>
      <c r="I2606" s="36" t="s">
        <v>130</v>
      </c>
      <c r="J2606" t="s">
        <v>66</v>
      </c>
      <c r="K2606" s="15">
        <v>950000</v>
      </c>
      <c r="L2606" s="5" t="str">
        <f t="shared" si="40"/>
        <v>15 +</v>
      </c>
    </row>
    <row r="2607" spans="3:12" hidden="1">
      <c r="C2607" t="s">
        <v>31</v>
      </c>
      <c r="D2607" t="s">
        <v>101</v>
      </c>
      <c r="E2607">
        <v>13</v>
      </c>
      <c r="F2607" t="s">
        <v>10</v>
      </c>
      <c r="G2607" t="s">
        <v>59</v>
      </c>
      <c r="H2607" t="s">
        <v>518</v>
      </c>
      <c r="I2607" s="3" t="s">
        <v>106</v>
      </c>
      <c r="J2607" t="s">
        <v>66</v>
      </c>
      <c r="K2607" s="15">
        <v>1100000</v>
      </c>
      <c r="L2607" s="5" t="str">
        <f t="shared" si="40"/>
        <v>9 - 14</v>
      </c>
    </row>
    <row r="2608" spans="3:12" hidden="1">
      <c r="C2608" t="s">
        <v>31</v>
      </c>
      <c r="D2608" t="s">
        <v>73</v>
      </c>
      <c r="E2608">
        <v>12</v>
      </c>
      <c r="F2608" t="s">
        <v>10</v>
      </c>
      <c r="G2608" t="s">
        <v>59</v>
      </c>
      <c r="H2608" t="s">
        <v>518</v>
      </c>
      <c r="I2608" s="3" t="s">
        <v>61</v>
      </c>
      <c r="J2608" t="s">
        <v>66</v>
      </c>
      <c r="K2608" s="15">
        <v>1200000</v>
      </c>
      <c r="L2608" s="5" t="str">
        <f t="shared" si="40"/>
        <v>9 - 14</v>
      </c>
    </row>
    <row r="2609" spans="3:12" hidden="1">
      <c r="C2609" t="s">
        <v>31</v>
      </c>
      <c r="D2609" t="s">
        <v>73</v>
      </c>
      <c r="E2609">
        <v>11</v>
      </c>
      <c r="F2609" t="s">
        <v>10</v>
      </c>
      <c r="G2609" t="s">
        <v>59</v>
      </c>
      <c r="H2609" t="s">
        <v>518</v>
      </c>
      <c r="I2609" s="3" t="s">
        <v>519</v>
      </c>
      <c r="J2609" t="s">
        <v>66</v>
      </c>
      <c r="K2609" s="15">
        <v>1001000</v>
      </c>
      <c r="L2609" s="5" t="str">
        <f t="shared" si="40"/>
        <v>9 - 14</v>
      </c>
    </row>
    <row r="2610" spans="3:12" hidden="1">
      <c r="C2610" t="s">
        <v>30</v>
      </c>
      <c r="D2610" t="s">
        <v>101</v>
      </c>
      <c r="E2610">
        <v>10</v>
      </c>
      <c r="F2610" t="s">
        <v>10</v>
      </c>
      <c r="G2610" t="s">
        <v>57</v>
      </c>
      <c r="H2610" t="s">
        <v>518</v>
      </c>
      <c r="I2610" s="3" t="s">
        <v>139</v>
      </c>
      <c r="J2610" t="s">
        <v>66</v>
      </c>
      <c r="K2610" s="15">
        <v>600000</v>
      </c>
      <c r="L2610" s="5" t="str">
        <f t="shared" si="40"/>
        <v>9 - 14</v>
      </c>
    </row>
    <row r="2611" spans="3:12" hidden="1">
      <c r="C2611" t="s">
        <v>31</v>
      </c>
      <c r="D2611" t="s">
        <v>77</v>
      </c>
      <c r="E2611">
        <v>10</v>
      </c>
      <c r="F2611" t="s">
        <v>10</v>
      </c>
      <c r="G2611" t="s">
        <v>59</v>
      </c>
      <c r="H2611" t="s">
        <v>518</v>
      </c>
      <c r="I2611" s="3" t="s">
        <v>106</v>
      </c>
      <c r="J2611" t="s">
        <v>66</v>
      </c>
      <c r="K2611" s="15">
        <v>1100000</v>
      </c>
      <c r="L2611" s="5" t="str">
        <f t="shared" si="40"/>
        <v>9 - 14</v>
      </c>
    </row>
    <row r="2612" spans="3:12" hidden="1">
      <c r="C2612" t="s">
        <v>30</v>
      </c>
      <c r="D2612" t="s">
        <v>55</v>
      </c>
      <c r="E2612">
        <v>8</v>
      </c>
      <c r="F2612" t="s">
        <v>10</v>
      </c>
      <c r="G2612" t="s">
        <v>59</v>
      </c>
      <c r="H2612" t="s">
        <v>518</v>
      </c>
      <c r="I2612" s="3" t="s">
        <v>110</v>
      </c>
      <c r="J2612" t="s">
        <v>66</v>
      </c>
      <c r="K2612" s="15">
        <v>1000000</v>
      </c>
      <c r="L2612" s="5" t="str">
        <f t="shared" si="40"/>
        <v>5  - 8</v>
      </c>
    </row>
    <row r="2613" spans="3:12" hidden="1">
      <c r="C2613" t="s">
        <v>30</v>
      </c>
      <c r="D2613" t="s">
        <v>73</v>
      </c>
      <c r="E2613">
        <v>7</v>
      </c>
      <c r="F2613" t="s">
        <v>10</v>
      </c>
      <c r="G2613" t="s">
        <v>59</v>
      </c>
      <c r="H2613" t="s">
        <v>518</v>
      </c>
      <c r="I2613" s="3" t="s">
        <v>116</v>
      </c>
      <c r="J2613" t="s">
        <v>54</v>
      </c>
      <c r="K2613" s="15">
        <v>800000</v>
      </c>
      <c r="L2613" s="5" t="str">
        <f t="shared" si="40"/>
        <v>5  - 8</v>
      </c>
    </row>
    <row r="2614" spans="3:12" hidden="1">
      <c r="C2614" t="s">
        <v>31</v>
      </c>
      <c r="D2614" t="s">
        <v>49</v>
      </c>
      <c r="E2614">
        <v>5</v>
      </c>
      <c r="F2614" t="s">
        <v>10</v>
      </c>
      <c r="G2614" t="s">
        <v>59</v>
      </c>
      <c r="H2614" t="s">
        <v>518</v>
      </c>
      <c r="I2614" s="3" t="s">
        <v>116</v>
      </c>
      <c r="J2614" t="s">
        <v>66</v>
      </c>
      <c r="K2614" s="15">
        <v>800000</v>
      </c>
      <c r="L2614" s="5" t="str">
        <f t="shared" si="40"/>
        <v>5  - 8</v>
      </c>
    </row>
    <row r="2615" spans="3:12" hidden="1">
      <c r="C2615" t="s">
        <v>31</v>
      </c>
      <c r="D2615" t="s">
        <v>73</v>
      </c>
      <c r="E2615">
        <v>5</v>
      </c>
      <c r="F2615" t="s">
        <v>10</v>
      </c>
      <c r="G2615" t="s">
        <v>59</v>
      </c>
      <c r="H2615" t="s">
        <v>518</v>
      </c>
      <c r="I2615" s="3" t="s">
        <v>122</v>
      </c>
      <c r="J2615" t="s">
        <v>66</v>
      </c>
      <c r="K2615" s="15">
        <v>930000</v>
      </c>
      <c r="L2615" s="5" t="str">
        <f t="shared" si="40"/>
        <v>5  - 8</v>
      </c>
    </row>
    <row r="2616" spans="3:12" hidden="1">
      <c r="C2616" t="s">
        <v>30</v>
      </c>
      <c r="D2616" t="s">
        <v>55</v>
      </c>
      <c r="E2616">
        <v>4</v>
      </c>
      <c r="F2616" t="s">
        <v>10</v>
      </c>
      <c r="G2616" t="s">
        <v>51</v>
      </c>
      <c r="H2616" t="s">
        <v>518</v>
      </c>
      <c r="I2616" s="3" t="s">
        <v>111</v>
      </c>
      <c r="J2616" t="s">
        <v>54</v>
      </c>
      <c r="K2616" s="15">
        <v>870000</v>
      </c>
      <c r="L2616" s="5" t="str">
        <f t="shared" si="40"/>
        <v>0 - 4</v>
      </c>
    </row>
    <row r="2617" spans="3:12" hidden="1">
      <c r="C2617" t="s">
        <v>31</v>
      </c>
      <c r="D2617" t="s">
        <v>67</v>
      </c>
      <c r="E2617">
        <v>3</v>
      </c>
      <c r="F2617" t="s">
        <v>10</v>
      </c>
      <c r="G2617" t="s">
        <v>57</v>
      </c>
      <c r="H2617" t="s">
        <v>518</v>
      </c>
      <c r="I2617" s="3" t="s">
        <v>213</v>
      </c>
      <c r="J2617" t="s">
        <v>66</v>
      </c>
      <c r="K2617" s="15">
        <v>620000</v>
      </c>
      <c r="L2617" s="5" t="str">
        <f t="shared" si="40"/>
        <v>0 - 4</v>
      </c>
    </row>
    <row r="2618" spans="3:12" hidden="1">
      <c r="C2618" t="s">
        <v>30</v>
      </c>
      <c r="D2618" t="s">
        <v>55</v>
      </c>
      <c r="E2618">
        <v>2</v>
      </c>
      <c r="F2618" t="s">
        <v>10</v>
      </c>
      <c r="G2618" t="s">
        <v>59</v>
      </c>
      <c r="H2618" t="s">
        <v>518</v>
      </c>
      <c r="I2618" s="3" t="s">
        <v>208</v>
      </c>
      <c r="J2618" t="s">
        <v>54</v>
      </c>
      <c r="K2618" s="15">
        <v>664000</v>
      </c>
      <c r="L2618" s="5" t="str">
        <f t="shared" si="40"/>
        <v>0 - 4</v>
      </c>
    </row>
    <row r="2619" spans="3:12" hidden="1">
      <c r="C2619" t="s">
        <v>30</v>
      </c>
      <c r="D2619" t="s">
        <v>49</v>
      </c>
      <c r="E2619">
        <v>2</v>
      </c>
      <c r="F2619" t="s">
        <v>10</v>
      </c>
      <c r="G2619" t="s">
        <v>59</v>
      </c>
      <c r="H2619" t="s">
        <v>518</v>
      </c>
      <c r="I2619" s="3" t="s">
        <v>193</v>
      </c>
      <c r="J2619" t="s">
        <v>66</v>
      </c>
      <c r="K2619" s="15">
        <v>990000</v>
      </c>
      <c r="L2619" s="5" t="str">
        <f t="shared" si="40"/>
        <v>0 - 4</v>
      </c>
    </row>
    <row r="2620" spans="3:12" hidden="1">
      <c r="C2620" t="s">
        <v>31</v>
      </c>
      <c r="D2620" t="s">
        <v>73</v>
      </c>
      <c r="E2620">
        <v>2</v>
      </c>
      <c r="F2620" t="s">
        <v>10</v>
      </c>
      <c r="G2620" t="s">
        <v>59</v>
      </c>
      <c r="H2620" t="s">
        <v>518</v>
      </c>
      <c r="I2620" s="3" t="s">
        <v>378</v>
      </c>
      <c r="J2620" t="s">
        <v>54</v>
      </c>
      <c r="K2620" s="15">
        <v>430000</v>
      </c>
      <c r="L2620" s="5" t="str">
        <f t="shared" si="40"/>
        <v>0 - 4</v>
      </c>
    </row>
    <row r="2621" spans="3:12" hidden="1">
      <c r="C2621" t="s">
        <v>30</v>
      </c>
      <c r="D2621" t="s">
        <v>73</v>
      </c>
      <c r="E2621">
        <v>13</v>
      </c>
      <c r="F2621" t="s">
        <v>11</v>
      </c>
      <c r="G2621" t="s">
        <v>59</v>
      </c>
      <c r="H2621" t="s">
        <v>518</v>
      </c>
      <c r="I2621" s="3" t="s">
        <v>72</v>
      </c>
      <c r="J2621" t="s">
        <v>66</v>
      </c>
      <c r="K2621" s="15">
        <v>850000</v>
      </c>
      <c r="L2621" s="5" t="str">
        <f t="shared" si="40"/>
        <v>9 - 14</v>
      </c>
    </row>
    <row r="2622" spans="3:12" hidden="1">
      <c r="C2622" t="s">
        <v>31</v>
      </c>
      <c r="D2622" t="s">
        <v>56</v>
      </c>
      <c r="E2622">
        <v>17</v>
      </c>
      <c r="F2622" t="s">
        <v>12</v>
      </c>
      <c r="G2622" t="s">
        <v>51</v>
      </c>
      <c r="H2622" t="s">
        <v>518</v>
      </c>
      <c r="I2622" s="3" t="s">
        <v>85</v>
      </c>
      <c r="J2622" t="s">
        <v>66</v>
      </c>
      <c r="K2622" s="15">
        <v>650000</v>
      </c>
      <c r="L2622" s="5" t="str">
        <f t="shared" si="40"/>
        <v>15 +</v>
      </c>
    </row>
    <row r="2623" spans="3:12" hidden="1">
      <c r="C2623" t="s">
        <v>30</v>
      </c>
      <c r="D2623" t="s">
        <v>73</v>
      </c>
      <c r="E2623">
        <v>10</v>
      </c>
      <c r="F2623" t="s">
        <v>12</v>
      </c>
      <c r="G2623" t="s">
        <v>51</v>
      </c>
      <c r="H2623" t="s">
        <v>518</v>
      </c>
      <c r="I2623" s="3" t="s">
        <v>71</v>
      </c>
      <c r="J2623" t="s">
        <v>66</v>
      </c>
      <c r="K2623" s="15">
        <v>820000</v>
      </c>
      <c r="L2623" s="5" t="str">
        <f t="shared" si="40"/>
        <v>9 - 14</v>
      </c>
    </row>
    <row r="2624" spans="3:12" hidden="1">
      <c r="C2624" t="s">
        <v>31</v>
      </c>
      <c r="D2624" t="s">
        <v>67</v>
      </c>
      <c r="E2624">
        <v>9</v>
      </c>
      <c r="F2624" t="s">
        <v>13</v>
      </c>
      <c r="G2624" t="s">
        <v>59</v>
      </c>
      <c r="H2624" t="s">
        <v>518</v>
      </c>
      <c r="I2624" s="3" t="s">
        <v>110</v>
      </c>
      <c r="J2624" t="s">
        <v>66</v>
      </c>
      <c r="K2624" s="15">
        <v>1000000</v>
      </c>
      <c r="L2624" s="5" t="str">
        <f t="shared" si="40"/>
        <v>9 - 14</v>
      </c>
    </row>
    <row r="2625" spans="3:12" hidden="1">
      <c r="C2625" t="s">
        <v>30</v>
      </c>
      <c r="D2625" t="s">
        <v>55</v>
      </c>
      <c r="E2625">
        <v>10</v>
      </c>
      <c r="F2625" t="s">
        <v>14</v>
      </c>
      <c r="G2625" t="s">
        <v>51</v>
      </c>
      <c r="H2625" t="s">
        <v>518</v>
      </c>
      <c r="I2625" s="3" t="s">
        <v>490</v>
      </c>
      <c r="J2625" t="s">
        <v>54</v>
      </c>
      <c r="K2625" s="15">
        <v>742000</v>
      </c>
      <c r="L2625" s="5" t="str">
        <f t="shared" si="40"/>
        <v>9 - 14</v>
      </c>
    </row>
    <row r="2626" spans="3:12" hidden="1">
      <c r="C2626" t="s">
        <v>31</v>
      </c>
      <c r="D2626" t="s">
        <v>73</v>
      </c>
      <c r="E2626">
        <v>5</v>
      </c>
      <c r="F2626" t="s">
        <v>14</v>
      </c>
      <c r="G2626" t="s">
        <v>59</v>
      </c>
      <c r="H2626" t="s">
        <v>518</v>
      </c>
      <c r="I2626" s="3" t="s">
        <v>250</v>
      </c>
      <c r="J2626" t="s">
        <v>54</v>
      </c>
      <c r="K2626" s="15">
        <v>795000</v>
      </c>
      <c r="L2626" s="5" t="str">
        <f t="shared" si="40"/>
        <v>5  - 8</v>
      </c>
    </row>
    <row r="2627" spans="3:12" hidden="1">
      <c r="C2627" t="s">
        <v>31</v>
      </c>
      <c r="D2627" t="s">
        <v>73</v>
      </c>
      <c r="E2627">
        <v>2</v>
      </c>
      <c r="F2627" t="s">
        <v>14</v>
      </c>
      <c r="G2627" t="s">
        <v>57</v>
      </c>
      <c r="H2627" t="s">
        <v>518</v>
      </c>
      <c r="I2627" s="3" t="s">
        <v>112</v>
      </c>
      <c r="J2627" t="s">
        <v>54</v>
      </c>
      <c r="K2627" s="15">
        <v>560000</v>
      </c>
      <c r="L2627" s="5" t="str">
        <f t="shared" ref="L2627:L2683" si="41">_xlfn.XLOOKUP(E2627,$P$2:$P$5,$O$2:$O$5,,1)</f>
        <v>0 - 4</v>
      </c>
    </row>
    <row r="2628" spans="3:12" hidden="1">
      <c r="C2628" t="s">
        <v>31</v>
      </c>
      <c r="D2628" t="s">
        <v>77</v>
      </c>
      <c r="E2628">
        <v>3</v>
      </c>
      <c r="F2628" t="s">
        <v>15</v>
      </c>
      <c r="G2628" t="s">
        <v>51</v>
      </c>
      <c r="H2628" t="s">
        <v>518</v>
      </c>
      <c r="I2628" s="3" t="s">
        <v>114</v>
      </c>
      <c r="J2628" t="s">
        <v>66</v>
      </c>
      <c r="K2628" s="15">
        <v>685000</v>
      </c>
      <c r="L2628" s="5" t="str">
        <f t="shared" si="41"/>
        <v>0 - 4</v>
      </c>
    </row>
    <row r="2629" spans="3:12" hidden="1">
      <c r="C2629" t="s">
        <v>30</v>
      </c>
      <c r="D2629" t="s">
        <v>55</v>
      </c>
      <c r="E2629">
        <v>2</v>
      </c>
      <c r="F2629" t="s">
        <v>8</v>
      </c>
      <c r="G2629" t="s">
        <v>51</v>
      </c>
      <c r="H2629" t="s">
        <v>520</v>
      </c>
      <c r="I2629" s="3" t="s">
        <v>213</v>
      </c>
      <c r="J2629" t="s">
        <v>54</v>
      </c>
      <c r="K2629" s="15">
        <v>620000</v>
      </c>
      <c r="L2629" s="5" t="str">
        <f t="shared" si="41"/>
        <v>0 - 4</v>
      </c>
    </row>
    <row r="2630" spans="3:12" hidden="1">
      <c r="C2630" t="s">
        <v>30</v>
      </c>
      <c r="D2630" t="s">
        <v>55</v>
      </c>
      <c r="E2630">
        <v>2</v>
      </c>
      <c r="F2630" t="s">
        <v>8</v>
      </c>
      <c r="G2630" t="s">
        <v>51</v>
      </c>
      <c r="H2630" t="s">
        <v>520</v>
      </c>
      <c r="I2630" s="3" t="s">
        <v>521</v>
      </c>
      <c r="J2630" t="s">
        <v>54</v>
      </c>
      <c r="K2630" s="15">
        <v>692500</v>
      </c>
      <c r="L2630" s="5" t="str">
        <f t="shared" si="41"/>
        <v>0 - 4</v>
      </c>
    </row>
    <row r="2631" spans="3:12" hidden="1">
      <c r="C2631" t="s">
        <v>30</v>
      </c>
      <c r="D2631" t="s">
        <v>55</v>
      </c>
      <c r="E2631">
        <v>12</v>
      </c>
      <c r="F2631" t="s">
        <v>16</v>
      </c>
      <c r="G2631" t="s">
        <v>59</v>
      </c>
      <c r="H2631" t="s">
        <v>520</v>
      </c>
      <c r="I2631" s="3" t="s">
        <v>213</v>
      </c>
      <c r="J2631" t="s">
        <v>54</v>
      </c>
      <c r="K2631" s="15">
        <v>620000</v>
      </c>
      <c r="L2631" s="5" t="str">
        <f t="shared" si="41"/>
        <v>9 - 14</v>
      </c>
    </row>
    <row r="2632" spans="3:12" hidden="1">
      <c r="C2632" t="s">
        <v>30</v>
      </c>
      <c r="D2632" t="s">
        <v>55</v>
      </c>
      <c r="E2632">
        <v>35</v>
      </c>
      <c r="F2632" t="s">
        <v>10</v>
      </c>
      <c r="G2632" t="s">
        <v>59</v>
      </c>
      <c r="H2632" t="s">
        <v>520</v>
      </c>
      <c r="I2632" s="36" t="s">
        <v>71</v>
      </c>
      <c r="J2632" t="s">
        <v>54</v>
      </c>
      <c r="K2632" s="15">
        <v>820000</v>
      </c>
      <c r="L2632" s="5" t="str">
        <f t="shared" si="41"/>
        <v>15 +</v>
      </c>
    </row>
    <row r="2633" spans="3:12" hidden="1">
      <c r="C2633" t="s">
        <v>30</v>
      </c>
      <c r="D2633" t="s">
        <v>55</v>
      </c>
      <c r="E2633">
        <v>24</v>
      </c>
      <c r="F2633" t="s">
        <v>10</v>
      </c>
      <c r="G2633" t="s">
        <v>59</v>
      </c>
      <c r="H2633" t="s">
        <v>520</v>
      </c>
      <c r="I2633" s="36" t="s">
        <v>98</v>
      </c>
      <c r="J2633" t="s">
        <v>66</v>
      </c>
      <c r="K2633" s="15">
        <v>920000</v>
      </c>
      <c r="L2633" s="5" t="str">
        <f t="shared" si="41"/>
        <v>15 +</v>
      </c>
    </row>
    <row r="2634" spans="3:12" hidden="1">
      <c r="C2634" t="s">
        <v>31</v>
      </c>
      <c r="D2634" t="s">
        <v>73</v>
      </c>
      <c r="E2634">
        <v>22</v>
      </c>
      <c r="F2634" t="s">
        <v>10</v>
      </c>
      <c r="G2634" t="s">
        <v>127</v>
      </c>
      <c r="H2634" t="s">
        <v>520</v>
      </c>
      <c r="I2634" s="36" t="s">
        <v>139</v>
      </c>
      <c r="J2634" t="s">
        <v>54</v>
      </c>
      <c r="K2634" s="15">
        <v>600000</v>
      </c>
      <c r="L2634" s="5" t="str">
        <f t="shared" si="41"/>
        <v>15 +</v>
      </c>
    </row>
    <row r="2635" spans="3:12" hidden="1">
      <c r="C2635" t="s">
        <v>31</v>
      </c>
      <c r="D2635" t="s">
        <v>73</v>
      </c>
      <c r="E2635">
        <v>21</v>
      </c>
      <c r="F2635" t="s">
        <v>10</v>
      </c>
      <c r="G2635" t="s">
        <v>59</v>
      </c>
      <c r="H2635" t="s">
        <v>520</v>
      </c>
      <c r="I2635" s="36" t="s">
        <v>522</v>
      </c>
      <c r="J2635" t="s">
        <v>54</v>
      </c>
      <c r="K2635" s="15">
        <v>1089000</v>
      </c>
      <c r="L2635" s="5" t="str">
        <f t="shared" si="41"/>
        <v>15 +</v>
      </c>
    </row>
    <row r="2636" spans="3:12" hidden="1">
      <c r="C2636" t="s">
        <v>31</v>
      </c>
      <c r="D2636" t="s">
        <v>77</v>
      </c>
      <c r="E2636">
        <v>18</v>
      </c>
      <c r="F2636" t="s">
        <v>10</v>
      </c>
      <c r="G2636" t="s">
        <v>57</v>
      </c>
      <c r="H2636" t="s">
        <v>520</v>
      </c>
      <c r="I2636" s="36" t="s">
        <v>439</v>
      </c>
      <c r="J2636" t="s">
        <v>54</v>
      </c>
      <c r="K2636" s="15">
        <v>805000</v>
      </c>
      <c r="L2636" s="5" t="str">
        <f t="shared" si="41"/>
        <v>15 +</v>
      </c>
    </row>
    <row r="2637" spans="3:12" hidden="1">
      <c r="C2637" t="s">
        <v>31</v>
      </c>
      <c r="D2637" t="s">
        <v>55</v>
      </c>
      <c r="E2637">
        <v>16</v>
      </c>
      <c r="F2637" t="s">
        <v>10</v>
      </c>
      <c r="G2637" t="s">
        <v>51</v>
      </c>
      <c r="H2637" t="s">
        <v>520</v>
      </c>
      <c r="I2637" s="36" t="s">
        <v>110</v>
      </c>
      <c r="J2637" t="s">
        <v>54</v>
      </c>
      <c r="K2637" s="15">
        <v>1000000</v>
      </c>
      <c r="L2637" s="5" t="str">
        <f t="shared" si="41"/>
        <v>15 +</v>
      </c>
    </row>
    <row r="2638" spans="3:12" hidden="1">
      <c r="C2638" t="s">
        <v>31</v>
      </c>
      <c r="D2638" t="s">
        <v>49</v>
      </c>
      <c r="E2638">
        <v>15</v>
      </c>
      <c r="F2638" t="s">
        <v>10</v>
      </c>
      <c r="G2638" t="s">
        <v>59</v>
      </c>
      <c r="H2638" t="s">
        <v>520</v>
      </c>
      <c r="I2638" s="36" t="s">
        <v>110</v>
      </c>
      <c r="J2638" t="s">
        <v>66</v>
      </c>
      <c r="K2638" s="15">
        <v>1000000</v>
      </c>
      <c r="L2638" s="5" t="str">
        <f t="shared" si="41"/>
        <v>15 +</v>
      </c>
    </row>
    <row r="2639" spans="3:12" hidden="1">
      <c r="C2639" t="s">
        <v>31</v>
      </c>
      <c r="D2639" t="s">
        <v>55</v>
      </c>
      <c r="E2639">
        <v>14</v>
      </c>
      <c r="F2639" t="s">
        <v>10</v>
      </c>
      <c r="G2639" t="s">
        <v>57</v>
      </c>
      <c r="H2639" t="s">
        <v>520</v>
      </c>
      <c r="I2639" s="3" t="s">
        <v>144</v>
      </c>
      <c r="J2639" t="s">
        <v>54</v>
      </c>
      <c r="K2639" s="15">
        <v>970000</v>
      </c>
      <c r="L2639" s="5" t="str">
        <f t="shared" si="41"/>
        <v>9 - 14</v>
      </c>
    </row>
    <row r="2640" spans="3:12" hidden="1">
      <c r="C2640" t="s">
        <v>30</v>
      </c>
      <c r="D2640" t="s">
        <v>49</v>
      </c>
      <c r="E2640">
        <v>12</v>
      </c>
      <c r="F2640" t="s">
        <v>10</v>
      </c>
      <c r="G2640" t="s">
        <v>51</v>
      </c>
      <c r="H2640" t="s">
        <v>520</v>
      </c>
      <c r="I2640" s="3" t="s">
        <v>116</v>
      </c>
      <c r="J2640" t="s">
        <v>54</v>
      </c>
      <c r="K2640" s="15">
        <v>800000</v>
      </c>
      <c r="L2640" s="5" t="str">
        <f t="shared" si="41"/>
        <v>9 - 14</v>
      </c>
    </row>
    <row r="2641" spans="3:12" hidden="1">
      <c r="C2641" t="s">
        <v>30</v>
      </c>
      <c r="D2641" t="s">
        <v>67</v>
      </c>
      <c r="E2641">
        <v>11</v>
      </c>
      <c r="F2641" t="s">
        <v>10</v>
      </c>
      <c r="G2641" t="s">
        <v>51</v>
      </c>
      <c r="H2641" t="s">
        <v>520</v>
      </c>
      <c r="I2641" s="3" t="s">
        <v>257</v>
      </c>
      <c r="J2641" t="s">
        <v>54</v>
      </c>
      <c r="K2641" s="15">
        <v>915000</v>
      </c>
      <c r="L2641" s="5" t="str">
        <f t="shared" si="41"/>
        <v>9 - 14</v>
      </c>
    </row>
    <row r="2642" spans="3:12" hidden="1">
      <c r="C2642" t="s">
        <v>30</v>
      </c>
      <c r="D2642" t="s">
        <v>80</v>
      </c>
      <c r="E2642">
        <v>10</v>
      </c>
      <c r="F2642" t="s">
        <v>10</v>
      </c>
      <c r="G2642" t="s">
        <v>51</v>
      </c>
      <c r="H2642" t="s">
        <v>520</v>
      </c>
      <c r="I2642" s="3" t="s">
        <v>96</v>
      </c>
      <c r="J2642" t="s">
        <v>54</v>
      </c>
      <c r="K2642" s="15">
        <v>780000</v>
      </c>
      <c r="L2642" s="5" t="str">
        <f t="shared" si="41"/>
        <v>9 - 14</v>
      </c>
    </row>
    <row r="2643" spans="3:12" hidden="1">
      <c r="C2643" t="s">
        <v>31</v>
      </c>
      <c r="D2643" t="s">
        <v>73</v>
      </c>
      <c r="E2643">
        <v>10</v>
      </c>
      <c r="F2643" t="s">
        <v>10</v>
      </c>
      <c r="G2643" t="s">
        <v>51</v>
      </c>
      <c r="H2643" t="s">
        <v>520</v>
      </c>
      <c r="I2643" s="3" t="s">
        <v>72</v>
      </c>
      <c r="J2643" t="s">
        <v>54</v>
      </c>
      <c r="K2643" s="15">
        <v>850000</v>
      </c>
      <c r="L2643" s="5" t="str">
        <f t="shared" si="41"/>
        <v>9 - 14</v>
      </c>
    </row>
    <row r="2644" spans="3:12" hidden="1">
      <c r="C2644" t="s">
        <v>31</v>
      </c>
      <c r="D2644" t="s">
        <v>73</v>
      </c>
      <c r="E2644">
        <v>10</v>
      </c>
      <c r="F2644" t="s">
        <v>10</v>
      </c>
      <c r="G2644" t="s">
        <v>51</v>
      </c>
      <c r="H2644" t="s">
        <v>520</v>
      </c>
      <c r="I2644" s="3" t="s">
        <v>70</v>
      </c>
      <c r="J2644" t="s">
        <v>54</v>
      </c>
      <c r="K2644" s="15">
        <v>910000</v>
      </c>
      <c r="L2644" s="5" t="str">
        <f t="shared" si="41"/>
        <v>9 - 14</v>
      </c>
    </row>
    <row r="2645" spans="3:12" hidden="1">
      <c r="C2645" t="s">
        <v>30</v>
      </c>
      <c r="D2645" t="s">
        <v>49</v>
      </c>
      <c r="E2645">
        <v>9</v>
      </c>
      <c r="F2645" t="s">
        <v>10</v>
      </c>
      <c r="G2645" t="s">
        <v>51</v>
      </c>
      <c r="H2645" t="s">
        <v>520</v>
      </c>
      <c r="I2645" s="3" t="s">
        <v>168</v>
      </c>
      <c r="J2645" t="s">
        <v>54</v>
      </c>
      <c r="K2645" s="15">
        <v>880000</v>
      </c>
      <c r="L2645" s="5" t="str">
        <f t="shared" si="41"/>
        <v>9 - 14</v>
      </c>
    </row>
    <row r="2646" spans="3:12" hidden="1">
      <c r="C2646" t="s">
        <v>30</v>
      </c>
      <c r="D2646" t="s">
        <v>73</v>
      </c>
      <c r="E2646">
        <v>8</v>
      </c>
      <c r="F2646" t="s">
        <v>10</v>
      </c>
      <c r="G2646" t="s">
        <v>59</v>
      </c>
      <c r="H2646" t="s">
        <v>520</v>
      </c>
      <c r="I2646" s="3" t="s">
        <v>165</v>
      </c>
      <c r="J2646" t="s">
        <v>54</v>
      </c>
      <c r="K2646" s="15">
        <v>720000</v>
      </c>
      <c r="L2646" s="5" t="str">
        <f t="shared" si="41"/>
        <v>5  - 8</v>
      </c>
    </row>
    <row r="2647" spans="3:12" hidden="1">
      <c r="C2647" t="s">
        <v>30</v>
      </c>
      <c r="D2647" t="s">
        <v>67</v>
      </c>
      <c r="E2647">
        <v>8</v>
      </c>
      <c r="F2647" t="s">
        <v>10</v>
      </c>
      <c r="G2647" t="s">
        <v>59</v>
      </c>
      <c r="H2647" t="s">
        <v>520</v>
      </c>
      <c r="I2647" s="3" t="s">
        <v>116</v>
      </c>
      <c r="J2647" t="s">
        <v>54</v>
      </c>
      <c r="K2647" s="15">
        <v>800000</v>
      </c>
      <c r="L2647" s="5" t="str">
        <f t="shared" si="41"/>
        <v>5  - 8</v>
      </c>
    </row>
    <row r="2648" spans="3:12" hidden="1">
      <c r="C2648" t="s">
        <v>31</v>
      </c>
      <c r="D2648" t="s">
        <v>73</v>
      </c>
      <c r="E2648">
        <v>8</v>
      </c>
      <c r="F2648" t="s">
        <v>10</v>
      </c>
      <c r="G2648" t="s">
        <v>51</v>
      </c>
      <c r="H2648" t="s">
        <v>520</v>
      </c>
      <c r="I2648" s="3" t="s">
        <v>79</v>
      </c>
      <c r="J2648" t="s">
        <v>54</v>
      </c>
      <c r="K2648" s="15">
        <v>900000</v>
      </c>
      <c r="L2648" s="5" t="str">
        <f t="shared" si="41"/>
        <v>5  - 8</v>
      </c>
    </row>
    <row r="2649" spans="3:12" hidden="1">
      <c r="C2649" t="s">
        <v>30</v>
      </c>
      <c r="D2649" t="s">
        <v>67</v>
      </c>
      <c r="E2649">
        <v>7</v>
      </c>
      <c r="F2649" t="s">
        <v>10</v>
      </c>
      <c r="G2649" t="s">
        <v>57</v>
      </c>
      <c r="H2649" t="s">
        <v>520</v>
      </c>
      <c r="I2649" s="3" t="s">
        <v>165</v>
      </c>
      <c r="J2649" t="s">
        <v>54</v>
      </c>
      <c r="K2649" s="15">
        <v>720000</v>
      </c>
      <c r="L2649" s="5" t="str">
        <f t="shared" si="41"/>
        <v>5  - 8</v>
      </c>
    </row>
    <row r="2650" spans="3:12" hidden="1">
      <c r="C2650" t="s">
        <v>31</v>
      </c>
      <c r="D2650" t="s">
        <v>50</v>
      </c>
      <c r="E2650">
        <v>7</v>
      </c>
      <c r="F2650" t="s">
        <v>10</v>
      </c>
      <c r="G2650" t="s">
        <v>59</v>
      </c>
      <c r="H2650" t="s">
        <v>520</v>
      </c>
      <c r="I2650" s="3" t="s">
        <v>175</v>
      </c>
      <c r="J2650" t="s">
        <v>54</v>
      </c>
      <c r="K2650" s="15">
        <v>1400000</v>
      </c>
      <c r="L2650" s="5" t="str">
        <f t="shared" si="41"/>
        <v>5  - 8</v>
      </c>
    </row>
    <row r="2651" spans="3:12" hidden="1">
      <c r="C2651" t="s">
        <v>31</v>
      </c>
      <c r="D2651" t="s">
        <v>73</v>
      </c>
      <c r="E2651">
        <v>6</v>
      </c>
      <c r="F2651" t="s">
        <v>10</v>
      </c>
      <c r="G2651" t="s">
        <v>51</v>
      </c>
      <c r="H2651" t="s">
        <v>520</v>
      </c>
      <c r="I2651" s="3" t="s">
        <v>439</v>
      </c>
      <c r="J2651" t="s">
        <v>54</v>
      </c>
      <c r="K2651" s="15">
        <v>805000</v>
      </c>
      <c r="L2651" s="5" t="str">
        <f t="shared" si="41"/>
        <v>5  - 8</v>
      </c>
    </row>
    <row r="2652" spans="3:12" hidden="1">
      <c r="C2652" t="s">
        <v>30</v>
      </c>
      <c r="D2652" t="s">
        <v>73</v>
      </c>
      <c r="E2652">
        <v>5</v>
      </c>
      <c r="F2652" t="s">
        <v>10</v>
      </c>
      <c r="G2652" t="s">
        <v>59</v>
      </c>
      <c r="H2652" t="s">
        <v>520</v>
      </c>
      <c r="I2652" s="3" t="s">
        <v>200</v>
      </c>
      <c r="J2652" t="s">
        <v>66</v>
      </c>
      <c r="K2652" s="15">
        <v>845000</v>
      </c>
      <c r="L2652" s="5" t="str">
        <f t="shared" si="41"/>
        <v>5  - 8</v>
      </c>
    </row>
    <row r="2653" spans="3:12" hidden="1">
      <c r="C2653" t="s">
        <v>30</v>
      </c>
      <c r="D2653" t="s">
        <v>55</v>
      </c>
      <c r="E2653">
        <v>4</v>
      </c>
      <c r="F2653" t="s">
        <v>10</v>
      </c>
      <c r="G2653" t="s">
        <v>59</v>
      </c>
      <c r="H2653" t="s">
        <v>520</v>
      </c>
      <c r="I2653" s="3" t="s">
        <v>135</v>
      </c>
      <c r="J2653" t="s">
        <v>66</v>
      </c>
      <c r="K2653" s="15">
        <v>840000</v>
      </c>
      <c r="L2653" s="5" t="str">
        <f t="shared" si="41"/>
        <v>0 - 4</v>
      </c>
    </row>
    <row r="2654" spans="3:12" hidden="1">
      <c r="C2654" t="s">
        <v>30</v>
      </c>
      <c r="D2654" t="s">
        <v>73</v>
      </c>
      <c r="E2654">
        <v>3</v>
      </c>
      <c r="F2654" t="s">
        <v>10</v>
      </c>
      <c r="G2654" t="s">
        <v>59</v>
      </c>
      <c r="H2654" t="s">
        <v>520</v>
      </c>
      <c r="I2654" s="3" t="s">
        <v>108</v>
      </c>
      <c r="J2654" t="s">
        <v>54</v>
      </c>
      <c r="K2654" s="15">
        <v>700000</v>
      </c>
      <c r="L2654" s="5" t="str">
        <f t="shared" si="41"/>
        <v>0 - 4</v>
      </c>
    </row>
    <row r="2655" spans="3:12" hidden="1">
      <c r="C2655" t="s">
        <v>30</v>
      </c>
      <c r="D2655" t="s">
        <v>73</v>
      </c>
      <c r="E2655">
        <v>3</v>
      </c>
      <c r="F2655" t="s">
        <v>10</v>
      </c>
      <c r="G2655" t="s">
        <v>57</v>
      </c>
      <c r="H2655" t="s">
        <v>520</v>
      </c>
      <c r="I2655" s="3" t="s">
        <v>108</v>
      </c>
      <c r="J2655" t="s">
        <v>54</v>
      </c>
      <c r="K2655" s="15">
        <v>700000</v>
      </c>
      <c r="L2655" s="5" t="str">
        <f t="shared" si="41"/>
        <v>0 - 4</v>
      </c>
    </row>
    <row r="2656" spans="3:12" hidden="1">
      <c r="C2656" t="s">
        <v>32</v>
      </c>
      <c r="D2656" t="s">
        <v>49</v>
      </c>
      <c r="E2656">
        <v>2</v>
      </c>
      <c r="F2656" t="s">
        <v>10</v>
      </c>
      <c r="G2656" t="s">
        <v>51</v>
      </c>
      <c r="H2656" t="s">
        <v>520</v>
      </c>
      <c r="I2656" s="3" t="s">
        <v>123</v>
      </c>
      <c r="J2656" t="s">
        <v>54</v>
      </c>
      <c r="K2656" s="15">
        <v>580000</v>
      </c>
      <c r="L2656" s="5" t="str">
        <f t="shared" si="41"/>
        <v>0 - 4</v>
      </c>
    </row>
    <row r="2657" spans="3:12" hidden="1">
      <c r="C2657" t="s">
        <v>32</v>
      </c>
      <c r="D2657" t="s">
        <v>67</v>
      </c>
      <c r="E2657">
        <v>2</v>
      </c>
      <c r="F2657" t="s">
        <v>10</v>
      </c>
      <c r="G2657" t="s">
        <v>51</v>
      </c>
      <c r="H2657" t="s">
        <v>520</v>
      </c>
      <c r="I2657" s="3" t="s">
        <v>85</v>
      </c>
      <c r="J2657" t="s">
        <v>54</v>
      </c>
      <c r="K2657" s="15">
        <v>650000</v>
      </c>
      <c r="L2657" s="5" t="str">
        <f t="shared" si="41"/>
        <v>0 - 4</v>
      </c>
    </row>
    <row r="2658" spans="3:12" hidden="1">
      <c r="C2658" t="s">
        <v>30</v>
      </c>
      <c r="D2658" t="s">
        <v>73</v>
      </c>
      <c r="E2658">
        <v>2</v>
      </c>
      <c r="F2658" t="s">
        <v>10</v>
      </c>
      <c r="G2658" t="s">
        <v>51</v>
      </c>
      <c r="H2658" t="s">
        <v>520</v>
      </c>
      <c r="I2658" s="3" t="s">
        <v>436</v>
      </c>
      <c r="J2658" t="s">
        <v>54</v>
      </c>
      <c r="K2658" s="15">
        <v>604000</v>
      </c>
      <c r="L2658" s="5" t="str">
        <f t="shared" si="41"/>
        <v>0 - 4</v>
      </c>
    </row>
    <row r="2659" spans="3:12" hidden="1">
      <c r="C2659" t="s">
        <v>30</v>
      </c>
      <c r="D2659" t="s">
        <v>73</v>
      </c>
      <c r="E2659">
        <v>2</v>
      </c>
      <c r="F2659" t="s">
        <v>10</v>
      </c>
      <c r="G2659" t="s">
        <v>57</v>
      </c>
      <c r="H2659" t="s">
        <v>520</v>
      </c>
      <c r="I2659" s="3" t="s">
        <v>508</v>
      </c>
      <c r="J2659" t="s">
        <v>54</v>
      </c>
      <c r="K2659" s="15">
        <v>636000</v>
      </c>
      <c r="L2659" s="5" t="str">
        <f t="shared" si="41"/>
        <v>0 - 4</v>
      </c>
    </row>
    <row r="2660" spans="3:12" hidden="1">
      <c r="C2660" t="s">
        <v>30</v>
      </c>
      <c r="D2660" t="s">
        <v>55</v>
      </c>
      <c r="E2660">
        <v>2</v>
      </c>
      <c r="F2660" t="s">
        <v>10</v>
      </c>
      <c r="G2660" t="s">
        <v>59</v>
      </c>
      <c r="H2660" t="s">
        <v>520</v>
      </c>
      <c r="I2660" s="3" t="s">
        <v>85</v>
      </c>
      <c r="J2660" t="s">
        <v>66</v>
      </c>
      <c r="K2660" s="15">
        <v>650000</v>
      </c>
      <c r="L2660" s="5" t="str">
        <f t="shared" si="41"/>
        <v>0 - 4</v>
      </c>
    </row>
    <row r="2661" spans="3:12" hidden="1">
      <c r="C2661" t="s">
        <v>31</v>
      </c>
      <c r="D2661" t="s">
        <v>55</v>
      </c>
      <c r="E2661">
        <v>2</v>
      </c>
      <c r="F2661" t="s">
        <v>10</v>
      </c>
      <c r="G2661" t="s">
        <v>59</v>
      </c>
      <c r="H2661" t="s">
        <v>520</v>
      </c>
      <c r="I2661" s="3" t="s">
        <v>266</v>
      </c>
      <c r="J2661" t="s">
        <v>54</v>
      </c>
      <c r="K2661" s="15">
        <v>675000</v>
      </c>
      <c r="L2661" s="5" t="str">
        <f t="shared" si="41"/>
        <v>0 - 4</v>
      </c>
    </row>
    <row r="2662" spans="3:12" hidden="1">
      <c r="C2662" t="s">
        <v>30</v>
      </c>
      <c r="D2662" t="s">
        <v>55</v>
      </c>
      <c r="E2662">
        <v>1</v>
      </c>
      <c r="F2662" t="s">
        <v>10</v>
      </c>
      <c r="G2662" t="s">
        <v>59</v>
      </c>
      <c r="H2662" t="s">
        <v>520</v>
      </c>
      <c r="I2662" s="3" t="s">
        <v>139</v>
      </c>
      <c r="J2662" t="s">
        <v>54</v>
      </c>
      <c r="K2662" s="15">
        <v>600000</v>
      </c>
      <c r="L2662" s="5" t="str">
        <f t="shared" si="41"/>
        <v>0 - 4</v>
      </c>
    </row>
    <row r="2663" spans="3:12" hidden="1">
      <c r="C2663" t="s">
        <v>30</v>
      </c>
      <c r="D2663" t="s">
        <v>55</v>
      </c>
      <c r="E2663">
        <v>1</v>
      </c>
      <c r="F2663" t="s">
        <v>10</v>
      </c>
      <c r="G2663" t="s">
        <v>59</v>
      </c>
      <c r="H2663" t="s">
        <v>520</v>
      </c>
      <c r="I2663" s="3" t="s">
        <v>281</v>
      </c>
      <c r="J2663" t="s">
        <v>54</v>
      </c>
      <c r="K2663" s="15">
        <v>610000</v>
      </c>
      <c r="L2663" s="5" t="str">
        <f t="shared" si="41"/>
        <v>0 - 4</v>
      </c>
    </row>
    <row r="2664" spans="3:12" hidden="1">
      <c r="C2664" t="s">
        <v>30</v>
      </c>
      <c r="D2664" t="s">
        <v>55</v>
      </c>
      <c r="E2664">
        <v>1</v>
      </c>
      <c r="F2664" t="s">
        <v>10</v>
      </c>
      <c r="G2664" t="s">
        <v>59</v>
      </c>
      <c r="H2664" t="s">
        <v>520</v>
      </c>
      <c r="I2664" s="3" t="s">
        <v>213</v>
      </c>
      <c r="J2664" t="s">
        <v>54</v>
      </c>
      <c r="K2664" s="15">
        <v>620000</v>
      </c>
      <c r="L2664" s="5" t="str">
        <f t="shared" si="41"/>
        <v>0 - 4</v>
      </c>
    </row>
    <row r="2665" spans="3:12" hidden="1">
      <c r="C2665" t="s">
        <v>30</v>
      </c>
      <c r="D2665" t="s">
        <v>55</v>
      </c>
      <c r="E2665">
        <v>1</v>
      </c>
      <c r="F2665" t="s">
        <v>10</v>
      </c>
      <c r="G2665" t="s">
        <v>59</v>
      </c>
      <c r="H2665" t="s">
        <v>520</v>
      </c>
      <c r="I2665" s="3" t="s">
        <v>119</v>
      </c>
      <c r="J2665" t="s">
        <v>54</v>
      </c>
      <c r="K2665" s="15">
        <v>630000</v>
      </c>
      <c r="L2665" s="5" t="str">
        <f t="shared" si="41"/>
        <v>0 - 4</v>
      </c>
    </row>
    <row r="2666" spans="3:12" hidden="1">
      <c r="C2666" t="s">
        <v>30</v>
      </c>
      <c r="D2666" t="s">
        <v>73</v>
      </c>
      <c r="E2666">
        <v>0</v>
      </c>
      <c r="F2666" t="s">
        <v>10</v>
      </c>
      <c r="G2666" t="s">
        <v>59</v>
      </c>
      <c r="H2666" t="s">
        <v>520</v>
      </c>
      <c r="I2666" s="3" t="s">
        <v>118</v>
      </c>
      <c r="J2666" t="s">
        <v>54</v>
      </c>
      <c r="K2666" s="15">
        <v>570000</v>
      </c>
      <c r="L2666" s="5" t="str">
        <f t="shared" si="41"/>
        <v>0 - 4</v>
      </c>
    </row>
    <row r="2667" spans="3:12" hidden="1">
      <c r="C2667" t="s">
        <v>30</v>
      </c>
      <c r="D2667" t="s">
        <v>55</v>
      </c>
      <c r="E2667">
        <v>0</v>
      </c>
      <c r="F2667" t="s">
        <v>10</v>
      </c>
      <c r="G2667" t="s">
        <v>57</v>
      </c>
      <c r="H2667" t="s">
        <v>520</v>
      </c>
      <c r="I2667" s="3" t="s">
        <v>139</v>
      </c>
      <c r="J2667" t="s">
        <v>54</v>
      </c>
      <c r="K2667" s="15">
        <v>600000</v>
      </c>
      <c r="L2667" s="5" t="str">
        <f t="shared" si="41"/>
        <v>0 - 4</v>
      </c>
    </row>
    <row r="2668" spans="3:12" hidden="1">
      <c r="C2668" t="s">
        <v>30</v>
      </c>
      <c r="D2668" t="s">
        <v>55</v>
      </c>
      <c r="E2668">
        <v>0</v>
      </c>
      <c r="F2668" t="s">
        <v>10</v>
      </c>
      <c r="G2668" t="s">
        <v>59</v>
      </c>
      <c r="H2668" t="s">
        <v>520</v>
      </c>
      <c r="I2668" s="3" t="s">
        <v>81</v>
      </c>
      <c r="J2668" t="s">
        <v>54</v>
      </c>
      <c r="K2668" s="15">
        <v>640000</v>
      </c>
      <c r="L2668" s="5" t="str">
        <f t="shared" si="41"/>
        <v>0 - 4</v>
      </c>
    </row>
    <row r="2669" spans="3:12" hidden="1">
      <c r="C2669" t="s">
        <v>31</v>
      </c>
      <c r="D2669" t="s">
        <v>55</v>
      </c>
      <c r="E2669">
        <v>10</v>
      </c>
      <c r="F2669" t="s">
        <v>11</v>
      </c>
      <c r="G2669" t="s">
        <v>59</v>
      </c>
      <c r="H2669" t="s">
        <v>520</v>
      </c>
      <c r="I2669" s="3" t="s">
        <v>122</v>
      </c>
      <c r="J2669" t="s">
        <v>66</v>
      </c>
      <c r="K2669" s="15">
        <v>930000</v>
      </c>
      <c r="L2669" s="5" t="str">
        <f t="shared" si="41"/>
        <v>9 - 14</v>
      </c>
    </row>
    <row r="2670" spans="3:12" hidden="1">
      <c r="C2670" t="s">
        <v>31</v>
      </c>
      <c r="D2670" t="s">
        <v>77</v>
      </c>
      <c r="E2670">
        <v>5</v>
      </c>
      <c r="F2670" t="s">
        <v>12</v>
      </c>
      <c r="G2670" t="s">
        <v>51</v>
      </c>
      <c r="H2670" t="s">
        <v>520</v>
      </c>
      <c r="I2670" s="3" t="s">
        <v>74</v>
      </c>
      <c r="J2670" t="s">
        <v>54</v>
      </c>
      <c r="K2670" s="15">
        <v>730000</v>
      </c>
      <c r="L2670" s="5" t="str">
        <f t="shared" si="41"/>
        <v>5  - 8</v>
      </c>
    </row>
    <row r="2671" spans="3:12" hidden="1">
      <c r="C2671" t="s">
        <v>30</v>
      </c>
      <c r="D2671" t="s">
        <v>55</v>
      </c>
      <c r="E2671">
        <v>0</v>
      </c>
      <c r="F2671" t="s">
        <v>12</v>
      </c>
      <c r="G2671" t="s">
        <v>57</v>
      </c>
      <c r="H2671" t="s">
        <v>520</v>
      </c>
      <c r="I2671" s="3" t="s">
        <v>523</v>
      </c>
      <c r="J2671" t="s">
        <v>54</v>
      </c>
      <c r="K2671" s="15">
        <v>597000</v>
      </c>
      <c r="L2671" s="5" t="str">
        <f t="shared" si="41"/>
        <v>0 - 4</v>
      </c>
    </row>
    <row r="2672" spans="3:12" hidden="1">
      <c r="C2672" t="s">
        <v>30</v>
      </c>
      <c r="D2672" t="s">
        <v>55</v>
      </c>
      <c r="E2672">
        <v>20</v>
      </c>
      <c r="F2672" t="s">
        <v>13</v>
      </c>
      <c r="G2672" t="s">
        <v>59</v>
      </c>
      <c r="H2672" t="s">
        <v>520</v>
      </c>
      <c r="I2672" s="3" t="s">
        <v>79</v>
      </c>
      <c r="J2672" t="s">
        <v>66</v>
      </c>
      <c r="K2672" s="15">
        <v>900000</v>
      </c>
      <c r="L2672" s="5" t="str">
        <f t="shared" si="41"/>
        <v>15 +</v>
      </c>
    </row>
    <row r="2673" spans="1:12" hidden="1">
      <c r="C2673" t="s">
        <v>31</v>
      </c>
      <c r="D2673" t="s">
        <v>73</v>
      </c>
      <c r="E2673">
        <v>10</v>
      </c>
      <c r="F2673" t="s">
        <v>13</v>
      </c>
      <c r="G2673" t="s">
        <v>59</v>
      </c>
      <c r="H2673" t="s">
        <v>520</v>
      </c>
      <c r="I2673" s="3" t="s">
        <v>130</v>
      </c>
      <c r="J2673" t="s">
        <v>66</v>
      </c>
      <c r="K2673" s="15">
        <v>950000</v>
      </c>
      <c r="L2673" s="5" t="str">
        <f t="shared" si="41"/>
        <v>9 - 14</v>
      </c>
    </row>
    <row r="2674" spans="1:12" hidden="1">
      <c r="C2674" t="s">
        <v>31</v>
      </c>
      <c r="D2674" t="s">
        <v>73</v>
      </c>
      <c r="E2674">
        <v>7</v>
      </c>
      <c r="F2674" t="s">
        <v>13</v>
      </c>
      <c r="G2674" t="s">
        <v>59</v>
      </c>
      <c r="H2674" t="s">
        <v>520</v>
      </c>
      <c r="I2674" s="3" t="s">
        <v>116</v>
      </c>
      <c r="J2674" t="s">
        <v>54</v>
      </c>
      <c r="K2674" s="15">
        <v>800000</v>
      </c>
      <c r="L2674" s="5" t="str">
        <f t="shared" si="41"/>
        <v>5  - 8</v>
      </c>
    </row>
    <row r="2675" spans="1:12" hidden="1">
      <c r="C2675" t="s">
        <v>30</v>
      </c>
      <c r="D2675" t="s">
        <v>56</v>
      </c>
      <c r="E2675">
        <v>5</v>
      </c>
      <c r="F2675" t="s">
        <v>13</v>
      </c>
      <c r="G2675" t="s">
        <v>51</v>
      </c>
      <c r="H2675" t="s">
        <v>520</v>
      </c>
      <c r="I2675" s="3" t="s">
        <v>85</v>
      </c>
      <c r="J2675" t="s">
        <v>54</v>
      </c>
      <c r="K2675" s="15">
        <v>650000</v>
      </c>
      <c r="L2675" s="5" t="str">
        <f t="shared" si="41"/>
        <v>5  - 8</v>
      </c>
    </row>
    <row r="2676" spans="1:12" hidden="1">
      <c r="C2676" t="s">
        <v>30</v>
      </c>
      <c r="D2676" t="s">
        <v>55</v>
      </c>
      <c r="E2676">
        <v>5</v>
      </c>
      <c r="F2676" t="s">
        <v>13</v>
      </c>
      <c r="G2676" t="s">
        <v>51</v>
      </c>
      <c r="H2676" t="s">
        <v>520</v>
      </c>
      <c r="I2676" s="3" t="s">
        <v>96</v>
      </c>
      <c r="J2676" t="s">
        <v>54</v>
      </c>
      <c r="K2676" s="15">
        <v>780000</v>
      </c>
      <c r="L2676" s="5" t="str">
        <f t="shared" si="41"/>
        <v>5  - 8</v>
      </c>
    </row>
    <row r="2677" spans="1:12" hidden="1">
      <c r="C2677" t="s">
        <v>30</v>
      </c>
      <c r="D2677" t="s">
        <v>55</v>
      </c>
      <c r="E2677">
        <v>0</v>
      </c>
      <c r="F2677" t="s">
        <v>13</v>
      </c>
      <c r="G2677" t="s">
        <v>59</v>
      </c>
      <c r="H2677" t="s">
        <v>520</v>
      </c>
      <c r="I2677" s="3" t="s">
        <v>119</v>
      </c>
      <c r="J2677" t="s">
        <v>54</v>
      </c>
      <c r="K2677" s="15">
        <v>630000</v>
      </c>
      <c r="L2677" s="5" t="str">
        <f t="shared" si="41"/>
        <v>0 - 4</v>
      </c>
    </row>
    <row r="2678" spans="1:12" hidden="1">
      <c r="C2678" t="s">
        <v>31</v>
      </c>
      <c r="D2678" t="s">
        <v>77</v>
      </c>
      <c r="E2678">
        <v>18</v>
      </c>
      <c r="F2678" t="s">
        <v>17</v>
      </c>
      <c r="G2678" t="s">
        <v>51</v>
      </c>
      <c r="H2678" t="s">
        <v>520</v>
      </c>
      <c r="I2678" s="3" t="s">
        <v>242</v>
      </c>
      <c r="J2678" t="s">
        <v>66</v>
      </c>
      <c r="K2678" s="15">
        <v>1550000</v>
      </c>
      <c r="L2678" s="5" t="str">
        <f t="shared" si="41"/>
        <v>15 +</v>
      </c>
    </row>
    <row r="2679" spans="1:12" hidden="1">
      <c r="C2679" t="s">
        <v>31</v>
      </c>
      <c r="D2679" t="s">
        <v>73</v>
      </c>
      <c r="E2679">
        <v>14</v>
      </c>
      <c r="F2679" t="s">
        <v>18</v>
      </c>
      <c r="G2679" t="s">
        <v>57</v>
      </c>
      <c r="H2679" t="s">
        <v>520</v>
      </c>
      <c r="I2679" s="3" t="s">
        <v>165</v>
      </c>
      <c r="J2679" t="s">
        <v>54</v>
      </c>
      <c r="K2679" s="15">
        <v>720000</v>
      </c>
      <c r="L2679" s="5" t="str">
        <f t="shared" si="41"/>
        <v>9 - 14</v>
      </c>
    </row>
    <row r="2680" spans="1:12" hidden="1">
      <c r="C2680" t="s">
        <v>31</v>
      </c>
      <c r="D2680" t="s">
        <v>55</v>
      </c>
      <c r="E2680">
        <v>8</v>
      </c>
      <c r="F2680" t="s">
        <v>14</v>
      </c>
      <c r="G2680" t="s">
        <v>59</v>
      </c>
      <c r="H2680" t="s">
        <v>520</v>
      </c>
      <c r="I2680" s="3" t="s">
        <v>154</v>
      </c>
      <c r="J2680" t="s">
        <v>54</v>
      </c>
      <c r="K2680" s="15">
        <v>875000</v>
      </c>
      <c r="L2680" s="5" t="str">
        <f t="shared" si="41"/>
        <v>5  - 8</v>
      </c>
    </row>
    <row r="2681" spans="1:12" hidden="1">
      <c r="C2681" t="s">
        <v>31</v>
      </c>
      <c r="D2681" t="s">
        <v>77</v>
      </c>
      <c r="E2681">
        <v>23</v>
      </c>
      <c r="F2681" t="s">
        <v>15</v>
      </c>
      <c r="G2681" t="s">
        <v>51</v>
      </c>
      <c r="H2681" t="s">
        <v>520</v>
      </c>
      <c r="I2681" s="3" t="s">
        <v>104</v>
      </c>
      <c r="J2681" t="s">
        <v>54</v>
      </c>
      <c r="K2681" s="15">
        <v>1300000</v>
      </c>
      <c r="L2681" s="5" t="str">
        <f t="shared" si="41"/>
        <v>15 +</v>
      </c>
    </row>
    <row r="2682" spans="1:12" hidden="1">
      <c r="C2682" t="s">
        <v>31</v>
      </c>
      <c r="D2682" t="s">
        <v>73</v>
      </c>
      <c r="E2682">
        <v>15</v>
      </c>
      <c r="F2682" t="s">
        <v>15</v>
      </c>
      <c r="G2682" t="s">
        <v>59</v>
      </c>
      <c r="H2682" t="s">
        <v>520</v>
      </c>
      <c r="I2682" s="3" t="s">
        <v>110</v>
      </c>
      <c r="J2682" t="s">
        <v>66</v>
      </c>
      <c r="K2682" s="15">
        <v>1000000</v>
      </c>
      <c r="L2682" s="5" t="str">
        <f t="shared" si="41"/>
        <v>15 +</v>
      </c>
    </row>
    <row r="2683" spans="1:12" hidden="1">
      <c r="C2683" t="s">
        <v>30</v>
      </c>
      <c r="D2683" t="s">
        <v>73</v>
      </c>
      <c r="E2683">
        <v>1</v>
      </c>
      <c r="F2683" t="s">
        <v>15</v>
      </c>
      <c r="G2683" t="s">
        <v>51</v>
      </c>
      <c r="H2683" t="s">
        <v>520</v>
      </c>
      <c r="I2683" s="3" t="s">
        <v>294</v>
      </c>
      <c r="J2683" t="s">
        <v>54</v>
      </c>
      <c r="K2683" s="15">
        <v>665000</v>
      </c>
      <c r="L2683" s="5" t="str">
        <f t="shared" si="41"/>
        <v>0 - 4</v>
      </c>
    </row>
    <row r="2687" spans="1:12">
      <c r="H2687" s="36"/>
    </row>
    <row r="2688" spans="1:12">
      <c r="A2688" s="11" t="s">
        <v>29</v>
      </c>
      <c r="H2688" s="36"/>
    </row>
    <row r="2689" spans="8:8">
      <c r="H2689" s="36"/>
    </row>
    <row r="2690" spans="8:8">
      <c r="H2690" s="36"/>
    </row>
    <row r="2691" spans="8:8">
      <c r="H2691" s="36"/>
    </row>
    <row r="2692" spans="8:8">
      <c r="H2692" s="36"/>
    </row>
    <row r="2693" spans="8:8">
      <c r="H2693" s="36"/>
    </row>
    <row r="2696" spans="8:8">
      <c r="H2696" s="36"/>
    </row>
  </sheetData>
  <autoFilter ref="A1:L2683" xr:uid="{F8B78149-9DEB-CB43-B833-64B85CED6C77}">
    <filterColumn colId="5">
      <filters>
        <filter val="Oslo"/>
      </filters>
    </filterColumn>
    <filterColumn colId="7">
      <filters>
        <filter val="fullstack"/>
      </filters>
    </filterColumn>
    <filterColumn colId="11">
      <filters>
        <filter val="5  - 8"/>
      </filters>
    </filterColumn>
  </autoFilter>
  <hyperlinks>
    <hyperlink ref="A2688" r:id="rId1" xr:uid="{7E79237E-C778-2946-9769-D6AE2774814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B977-300C-D540-AC7F-04446311BD85}">
  <dimension ref="A1:M85"/>
  <sheetViews>
    <sheetView topLeftCell="A3" workbookViewId="0">
      <selection activeCell="E22" sqref="E22"/>
    </sheetView>
  </sheetViews>
  <sheetFormatPr baseColWidth="10" defaultRowHeight="16"/>
  <cols>
    <col min="1" max="1" width="31.83203125" bestFit="1" customWidth="1"/>
    <col min="2" max="2" width="17.6640625" bestFit="1" customWidth="1"/>
    <col min="3" max="3" width="12.6640625" style="5" bestFit="1" customWidth="1"/>
    <col min="4" max="4" width="17.1640625" style="5" customWidth="1"/>
    <col min="5" max="5" width="12.6640625" bestFit="1" customWidth="1"/>
    <col min="8" max="8" width="18.1640625" customWidth="1"/>
    <col min="17" max="17" width="21.5" bestFit="1" customWidth="1"/>
  </cols>
  <sheetData>
    <row r="1" spans="1:5">
      <c r="A1" s="1" t="s">
        <v>0</v>
      </c>
      <c r="B1" s="1" t="s">
        <v>1</v>
      </c>
      <c r="C1" s="4" t="s">
        <v>5</v>
      </c>
      <c r="D1" s="4" t="s">
        <v>6</v>
      </c>
      <c r="E1" s="1" t="s">
        <v>4</v>
      </c>
    </row>
    <row r="2" spans="1:5">
      <c r="A2" t="str" cm="1">
        <f t="array" ref="A2:A5">_xlfn.UNIQUE('data input'!G2:G2683)</f>
        <v>"in-house: privat sektor"</v>
      </c>
      <c r="B2" t="str" cm="1">
        <f t="array" ref="B2:B13">_xlfn.UNIQUE('data input'!F2:F2683)</f>
        <v>Agder</v>
      </c>
      <c r="C2" s="14">
        <f>_xlfn.MINIFS('data input'!$K$2:$K$2683,'data input'!$F$2:$F$2683,'average salary country level'!B2)</f>
        <v>300000</v>
      </c>
      <c r="D2" s="14">
        <f>_xlfn.MAXIFS('data input'!$K$2:$K$2683,'data input'!$F$2:$F$2683,'average salary country level'!B2)</f>
        <v>1500000</v>
      </c>
      <c r="E2" s="15">
        <f>AVERAGEIFS('data input'!$K$2:$K$2683,'data input'!$F$2:$F$2683,'average salary country level'!B2)</f>
        <v>794608.51063829788</v>
      </c>
    </row>
    <row r="3" spans="1:5">
      <c r="A3" t="str">
        <v>"in-house: offentlig/kommunal sektor"</v>
      </c>
      <c r="B3" t="str">
        <v>Nordland</v>
      </c>
      <c r="C3" s="14">
        <f>_xlfn.MINIFS('data input'!$K$2:$K$2683,'data input'!$F$2:$F$2683,'average salary country level'!B3)</f>
        <v>480000</v>
      </c>
      <c r="D3" s="14">
        <f>_xlfn.MAXIFS('data input'!$K$2:$K$2683,'data input'!$F$2:$F$2683,'average salary country level'!B3)</f>
        <v>2400000</v>
      </c>
      <c r="E3" s="15">
        <f>AVERAGEIFS('data input'!$K$2:$K$2683,'data input'!$F$2:$F$2683,'average salary country level'!B3)</f>
        <v>816131.11111111112</v>
      </c>
    </row>
    <row r="4" spans="1:5">
      <c r="A4" t="str">
        <v>konsulent</v>
      </c>
      <c r="B4" t="str">
        <v>Oslo</v>
      </c>
      <c r="C4" s="14">
        <f>_xlfn.MINIFS('data input'!$K$2:$K$2683,'data input'!$F$2:$F$2683,'average salary country level'!B4)</f>
        <v>429000</v>
      </c>
      <c r="D4" s="14">
        <f>_xlfn.MAXIFS('data input'!$K$2:$K$2683,'data input'!$F$2:$F$2683,'average salary country level'!B4)</f>
        <v>2700000</v>
      </c>
      <c r="E4" s="15">
        <f>AVERAGEIFS('data input'!$K$2:$K$2683,'data input'!$F$2:$F$2683,'average salary country level'!B4)</f>
        <v>921618.72647257952</v>
      </c>
    </row>
    <row r="5" spans="1:5">
      <c r="A5" t="str">
        <v>frilans / selvstendig næringsdrivende</v>
      </c>
      <c r="B5" t="str">
        <v>Rogaland</v>
      </c>
      <c r="C5" s="14">
        <f>_xlfn.MINIFS('data input'!$K$2:$K$2683,'data input'!$F$2:$F$2683,'average salary country level'!B5)</f>
        <v>430000</v>
      </c>
      <c r="D5" s="14">
        <f>_xlfn.MAXIFS('data input'!$K$2:$K$2683,'data input'!$F$2:$F$2683,'average salary country level'!B5)</f>
        <v>2400000</v>
      </c>
      <c r="E5" s="15">
        <f>AVERAGEIFS('data input'!$K$2:$K$2683,'data input'!$F$2:$F$2683,'average salary country level'!B5)</f>
        <v>910580.93827160494</v>
      </c>
    </row>
    <row r="6" spans="1:5">
      <c r="B6" s="13" t="str">
        <v>Troms og Finnmark</v>
      </c>
      <c r="C6" s="14">
        <f>_xlfn.MINIFS('data input'!$K$2:$K$2683,'data input'!$F$2:$F$2683,'average salary country level'!B6)</f>
        <v>540000</v>
      </c>
      <c r="D6" s="14">
        <f>_xlfn.MAXIFS('data input'!$K$2:$K$2683,'data input'!$F$2:$F$2683,'average salary country level'!B6)</f>
        <v>1650000</v>
      </c>
      <c r="E6" s="15">
        <f>AVERAGEIFS('data input'!$K$2:$K$2683,'data input'!$F$2:$F$2683,'average salary country level'!B6)</f>
        <v>808402.77777777775</v>
      </c>
    </row>
    <row r="7" spans="1:5">
      <c r="B7" t="str">
        <v>Trøndelag</v>
      </c>
      <c r="C7" s="14">
        <f>_xlfn.MINIFS('data input'!$K$2:$K$2683,'data input'!$F$2:$F$2683,'average salary country level'!B7)</f>
        <v>500000</v>
      </c>
      <c r="D7" s="14">
        <f>_xlfn.MAXIFS('data input'!$K$2:$K$2683,'data input'!$F$2:$F$2683,'average salary country level'!B7)</f>
        <v>2100000</v>
      </c>
      <c r="E7" s="15">
        <f>AVERAGEIFS('data input'!$K$2:$K$2683,'data input'!$F$2:$F$2683,'average salary country level'!B7)</f>
        <v>848503.61224489799</v>
      </c>
    </row>
    <row r="8" spans="1:5">
      <c r="B8" t="str">
        <v>Vestland</v>
      </c>
      <c r="C8" s="14">
        <f>_xlfn.MINIFS('data input'!$K$2:$K$2683,'data input'!$F$2:$F$2683,'average salary country level'!B8)</f>
        <v>310000</v>
      </c>
      <c r="D8" s="14">
        <f>_xlfn.MAXIFS('data input'!$K$2:$K$2683,'data input'!$F$2:$F$2683,'average salary country level'!B8)</f>
        <v>2500000</v>
      </c>
      <c r="E8" s="15">
        <f>AVERAGEIFS('data input'!$K$2:$K$2683,'data input'!$F$2:$F$2683,'average salary country level'!B8)</f>
        <v>857949.79844961246</v>
      </c>
    </row>
    <row r="9" spans="1:5">
      <c r="B9" s="8" t="str">
        <v>Viken</v>
      </c>
      <c r="C9" s="14">
        <f>_xlfn.MINIFS('data input'!$K$2:$K$2683,'data input'!$F$2:$F$2683,'average salary country level'!B9)</f>
        <v>420000</v>
      </c>
      <c r="D9" s="14">
        <f>_xlfn.MAXIFS('data input'!$K$2:$K$2683,'data input'!$F$2:$F$2683,'average salary country level'!B9)</f>
        <v>2600000</v>
      </c>
      <c r="E9" s="15">
        <f>AVERAGEIFS('data input'!$K$2:$K$2683,'data input'!$F$2:$F$2683,'average salary country level'!B9)</f>
        <v>940998.1481481482</v>
      </c>
    </row>
    <row r="10" spans="1:5">
      <c r="B10" t="str">
        <v>Innlandet</v>
      </c>
      <c r="C10" s="14">
        <f>_xlfn.MINIFS('data input'!$K$2:$K$2683,'data input'!$F$2:$F$2683,'average salary country level'!B10)</f>
        <v>415000</v>
      </c>
      <c r="D10" s="14">
        <f>_xlfn.MAXIFS('data input'!$K$2:$K$2683,'data input'!$F$2:$F$2683,'average salary country level'!B10)</f>
        <v>1600000</v>
      </c>
      <c r="E10" s="15">
        <f>AVERAGEIFS('data input'!$K$2:$K$2683,'data input'!$F$2:$F$2683,'average salary country level'!B10)</f>
        <v>870460.60606060608</v>
      </c>
    </row>
    <row r="11" spans="1:5">
      <c r="B11" t="str">
        <v>utlandet</v>
      </c>
      <c r="C11" s="14">
        <f>_xlfn.MINIFS('data input'!$K$2:$K$2683,'data input'!$F$2:$F$2683,'average salary country level'!B11)</f>
        <v>500000</v>
      </c>
      <c r="D11" s="14">
        <f>_xlfn.MAXIFS('data input'!$K$2:$K$2683,'data input'!$F$2:$F$2683,'average salary country level'!B11)</f>
        <v>2206000</v>
      </c>
      <c r="E11" s="15">
        <f>AVERAGEIFS('data input'!$K$2:$K$2683,'data input'!$F$2:$F$2683,'average salary country level'!B11)</f>
        <v>1129829.857142857</v>
      </c>
    </row>
    <row r="12" spans="1:5">
      <c r="B12" s="10" t="str">
        <v>Vestfold og Telemark</v>
      </c>
      <c r="C12" s="14">
        <f>_xlfn.MINIFS('data input'!$K$2:$K$2683,'data input'!$F$2:$F$2683,'average salary country level'!B12)</f>
        <v>450000</v>
      </c>
      <c r="D12" s="14">
        <f>_xlfn.MAXIFS('data input'!$K$2:$K$2683,'data input'!$F$2:$F$2683,'average salary country level'!B12)</f>
        <v>1700000</v>
      </c>
      <c r="E12" s="15">
        <f>AVERAGEIFS('data input'!$K$2:$K$2683,'data input'!$F$2:$F$2683,'average salary country level'!B12)</f>
        <v>830742.80180180178</v>
      </c>
    </row>
    <row r="13" spans="1:5">
      <c r="B13" t="str">
        <v>Møre og Romsdal</v>
      </c>
      <c r="C13" s="14">
        <f>_xlfn.MINIFS('data input'!$K$2:$K$2683,'data input'!$F$2:$F$2683,'average salary country level'!B13)</f>
        <v>500000</v>
      </c>
      <c r="D13" s="14">
        <f>_xlfn.MAXIFS('data input'!$K$2:$K$2683,'data input'!$F$2:$F$2683,'average salary country level'!B13)</f>
        <v>1200000</v>
      </c>
      <c r="E13" s="15">
        <f>AVERAGEIFS('data input'!$K$2:$K$2683,'data input'!$F$2:$F$2683,'average salary country level'!B13)</f>
        <v>806157.02127659577</v>
      </c>
    </row>
    <row r="16" spans="1:5">
      <c r="D16"/>
    </row>
    <row r="17" spans="2:4">
      <c r="D17"/>
    </row>
    <row r="18" spans="2:4">
      <c r="D18"/>
    </row>
    <row r="19" spans="2:4">
      <c r="D19"/>
    </row>
    <row r="20" spans="2:4">
      <c r="B20" s="7" t="s">
        <v>20</v>
      </c>
      <c r="C20">
        <v>794608.510638298</v>
      </c>
      <c r="D20"/>
    </row>
    <row r="21" spans="2:4">
      <c r="B21" s="6" t="s">
        <v>8</v>
      </c>
      <c r="C21" s="14">
        <f>E2</f>
        <v>794608.51063829788</v>
      </c>
      <c r="D21"/>
    </row>
    <row r="22" spans="2:4">
      <c r="B22" s="7" t="s">
        <v>21</v>
      </c>
      <c r="C22" s="29">
        <f>E9</f>
        <v>940998.1481481482</v>
      </c>
      <c r="D22"/>
    </row>
    <row r="23" spans="2:4">
      <c r="B23" s="12" t="s">
        <v>23</v>
      </c>
      <c r="C23" s="6">
        <f>E6</f>
        <v>808402.77777777775</v>
      </c>
      <c r="D23"/>
    </row>
    <row r="24" spans="2:4">
      <c r="B24" s="6" t="s">
        <v>16</v>
      </c>
      <c r="C24" s="6">
        <v>870460.60606060608</v>
      </c>
      <c r="D24"/>
    </row>
    <row r="25" spans="2:4">
      <c r="B25" s="6" t="s">
        <v>14</v>
      </c>
      <c r="C25" s="6">
        <f>E8</f>
        <v>857949.79844961246</v>
      </c>
      <c r="D25"/>
    </row>
    <row r="26" spans="2:4">
      <c r="B26" s="6" t="s">
        <v>24</v>
      </c>
      <c r="C26" s="6">
        <v>806157.02127659577</v>
      </c>
      <c r="D26"/>
    </row>
    <row r="27" spans="2:4">
      <c r="B27" s="6" t="s">
        <v>9</v>
      </c>
      <c r="C27">
        <v>816131.11111111112</v>
      </c>
    </row>
    <row r="28" spans="2:4">
      <c r="B28" s="6" t="s">
        <v>28</v>
      </c>
      <c r="C28" s="6">
        <f>E7</f>
        <v>848503.61224489799</v>
      </c>
    </row>
    <row r="29" spans="2:4">
      <c r="B29" s="6" t="s">
        <v>10</v>
      </c>
      <c r="C29" s="6">
        <v>921618.72647257952</v>
      </c>
    </row>
    <row r="30" spans="2:4">
      <c r="B30" s="7" t="s">
        <v>25</v>
      </c>
      <c r="C30" s="6">
        <f>E9</f>
        <v>940998.1481481482</v>
      </c>
    </row>
    <row r="31" spans="2:4">
      <c r="B31" s="6" t="s">
        <v>11</v>
      </c>
      <c r="C31" s="6">
        <f>E5</f>
        <v>910580.93827160494</v>
      </c>
    </row>
    <row r="32" spans="2:4">
      <c r="B32" s="9" t="s">
        <v>26</v>
      </c>
      <c r="C32" s="6">
        <f>E12</f>
        <v>830742.80180180178</v>
      </c>
    </row>
    <row r="33" spans="2:7">
      <c r="B33" s="12" t="s">
        <v>27</v>
      </c>
      <c r="C33" s="6">
        <f>E6</f>
        <v>808402.77777777775</v>
      </c>
    </row>
    <row r="34" spans="2:7">
      <c r="B34" s="9" t="s">
        <v>22</v>
      </c>
      <c r="C34" s="6">
        <v>830742.80180180178</v>
      </c>
    </row>
    <row r="45" spans="2:7">
      <c r="E45" s="6"/>
      <c r="F45" s="6"/>
      <c r="G45" s="6"/>
    </row>
    <row r="46" spans="2:7">
      <c r="E46" s="6"/>
      <c r="F46" s="6"/>
      <c r="G46" s="6"/>
    </row>
    <row r="47" spans="2:7">
      <c r="E47" s="6"/>
      <c r="F47" s="6"/>
      <c r="G47" s="6"/>
    </row>
    <row r="48" spans="2:7">
      <c r="E48" s="6"/>
      <c r="F48" s="6"/>
      <c r="G48" s="6"/>
    </row>
    <row r="49" spans="5:7">
      <c r="E49" s="6"/>
      <c r="F49" s="6"/>
      <c r="G49" s="6"/>
    </row>
    <row r="50" spans="5:7">
      <c r="E50" s="6"/>
      <c r="F50" s="6"/>
      <c r="G50" s="6"/>
    </row>
    <row r="51" spans="5:7">
      <c r="E51" s="6"/>
      <c r="F51" s="6"/>
      <c r="G51" s="6"/>
    </row>
    <row r="52" spans="5:7">
      <c r="E52" s="6"/>
      <c r="F52" s="6"/>
      <c r="G52" s="6"/>
    </row>
    <row r="53" spans="5:7">
      <c r="E53" s="6"/>
      <c r="F53" s="6"/>
      <c r="G53" s="6"/>
    </row>
    <row r="54" spans="5:7">
      <c r="E54" s="6"/>
      <c r="F54" s="6"/>
    </row>
    <row r="74" spans="12:13">
      <c r="L74" s="6"/>
      <c r="M74" s="6"/>
    </row>
    <row r="75" spans="12:13">
      <c r="L75" s="6"/>
    </row>
    <row r="76" spans="12:13">
      <c r="L76" s="6"/>
      <c r="M76" s="6"/>
    </row>
    <row r="77" spans="12:13">
      <c r="L77" s="6"/>
      <c r="M77" s="6"/>
    </row>
    <row r="78" spans="12:13">
      <c r="L78" s="6"/>
      <c r="M78" s="6"/>
    </row>
    <row r="79" spans="12:13">
      <c r="L79" s="6"/>
    </row>
    <row r="80" spans="12:13">
      <c r="L80" s="6"/>
      <c r="M80" s="6"/>
    </row>
    <row r="81" spans="12:13">
      <c r="L81" s="6"/>
      <c r="M81" s="6"/>
    </row>
    <row r="82" spans="12:13">
      <c r="L82" s="6"/>
      <c r="M82" s="6"/>
    </row>
    <row r="83" spans="12:13">
      <c r="L83" s="6"/>
    </row>
    <row r="84" spans="12:13">
      <c r="L84" s="6"/>
      <c r="M84" s="6"/>
    </row>
    <row r="85" spans="12:13">
      <c r="L85" s="6"/>
      <c r="M85" s="6"/>
    </row>
  </sheetData>
  <autoFilter ref="B1:E1" xr:uid="{054AB977-300C-D540-AC7F-04446311BD85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53F6E-66B4-E747-9A9E-054A0B310D71}">
  <dimension ref="A1:N66"/>
  <sheetViews>
    <sheetView zoomScale="75" workbookViewId="0">
      <selection activeCell="B8" sqref="B8"/>
    </sheetView>
  </sheetViews>
  <sheetFormatPr baseColWidth="10" defaultRowHeight="16"/>
  <cols>
    <col min="1" max="1" width="24.5" bestFit="1" customWidth="1"/>
    <col min="2" max="2" width="13.6640625" customWidth="1"/>
    <col min="5" max="5" width="12.5" customWidth="1"/>
  </cols>
  <sheetData>
    <row r="1" spans="1:14">
      <c r="A1" s="2" t="s">
        <v>36</v>
      </c>
      <c r="B1" s="2" t="s">
        <v>2</v>
      </c>
      <c r="C1" s="2" t="s">
        <v>3</v>
      </c>
      <c r="D1" s="2" t="s">
        <v>35</v>
      </c>
      <c r="M1" t="s">
        <v>33</v>
      </c>
      <c r="N1" t="s">
        <v>34</v>
      </c>
    </row>
    <row r="2" spans="1:14">
      <c r="A2" t="str" cm="1">
        <f t="array" ref="A2:A18">_xlfn.UNIQUE('data input'!H2:H2683)</f>
        <v>AI / maskinlæring</v>
      </c>
      <c r="B2" s="15">
        <f>_xlfn.MINIFS('data input'!$K$2:$K$2683,'data input'!$H$2:$H$2683,'per profession and gender'!A2)</f>
        <v>525000</v>
      </c>
      <c r="C2" s="15">
        <f>_xlfn.MAXIFS('data input'!$K$2:$K$2683,'data input'!$H$2:$H$2683,'per profession and gender'!A2)</f>
        <v>1950000</v>
      </c>
      <c r="D2" s="15">
        <f>AVERAGEIFS('data input'!$K$2:$K$2683,'data input'!$H$2:$H$2683,'per profession and gender'!A2)</f>
        <v>897413.79310344823</v>
      </c>
      <c r="M2" t="s">
        <v>30</v>
      </c>
      <c r="N2">
        <f>COUNTIF('data input'!$C:$C,'per profession and gender'!M2)</f>
        <v>368</v>
      </c>
    </row>
    <row r="3" spans="1:14">
      <c r="A3" t="str">
        <v>annet</v>
      </c>
      <c r="B3" s="15">
        <f>_xlfn.MINIFS('data input'!$K$2:$K$2683,'data input'!$H$2:$H$2683,'per profession and gender'!A3)</f>
        <v>310000</v>
      </c>
      <c r="C3" s="15">
        <f>_xlfn.MAXIFS('data input'!$K$2:$K$2683,'data input'!$H$2:$H$2683,'per profession and gender'!A3)</f>
        <v>2400000</v>
      </c>
      <c r="D3" s="15">
        <f>AVERAGEIFS('data input'!$K$2:$K$2683,'data input'!$H$2:$H$2683,'per profession and gender'!A3)</f>
        <v>943600</v>
      </c>
      <c r="M3" t="s">
        <v>31</v>
      </c>
      <c r="N3">
        <f>COUNTIF('data input'!$C:$C,'per profession and gender'!M3)</f>
        <v>2295</v>
      </c>
    </row>
    <row r="4" spans="1:14">
      <c r="A4" t="str">
        <v>app</v>
      </c>
      <c r="B4" s="15">
        <f>_xlfn.MINIFS('data input'!$K$2:$K$2683,'data input'!$H$2:$H$2683,'per profession and gender'!A4)</f>
        <v>510000</v>
      </c>
      <c r="C4" s="15">
        <f>_xlfn.MAXIFS('data input'!$K$2:$K$2683,'data input'!$H$2:$H$2683,'per profession and gender'!A4)</f>
        <v>1750000</v>
      </c>
      <c r="D4" s="15">
        <f>AVERAGEIFS('data input'!$K$2:$K$2683,'data input'!$H$2:$H$2683,'per profession and gender'!A4)</f>
        <v>844980.8055555555</v>
      </c>
      <c r="M4" t="s">
        <v>32</v>
      </c>
      <c r="N4">
        <f>COUNTIF('data input'!$C:$C,'per profession and gender'!M4)</f>
        <v>19</v>
      </c>
    </row>
    <row r="5" spans="1:14">
      <c r="A5" t="str">
        <v>arkitektur</v>
      </c>
      <c r="B5" s="15">
        <f>_xlfn.MINIFS('data input'!$K$2:$K$2683,'data input'!$H$2:$H$2683,'per profession and gender'!A5)</f>
        <v>530000</v>
      </c>
      <c r="C5" s="15">
        <f>_xlfn.MAXIFS('data input'!$K$2:$K$2683,'data input'!$H$2:$H$2683,'per profession and gender'!A5)</f>
        <v>2500000</v>
      </c>
      <c r="D5" s="15">
        <f>AVERAGEIFS('data input'!$K$2:$K$2683,'data input'!$H$2:$H$2683,'per profession and gender'!A5)</f>
        <v>1135868.1769911505</v>
      </c>
    </row>
    <row r="6" spans="1:14">
      <c r="A6" t="str">
        <v>automatisering</v>
      </c>
      <c r="B6" s="15">
        <f>_xlfn.MINIFS('data input'!$K$2:$K$2683,'data input'!$H$2:$H$2683,'per profession and gender'!A6)</f>
        <v>350000</v>
      </c>
      <c r="C6" s="15">
        <f>_xlfn.MAXIFS('data input'!$K$2:$K$2683,'data input'!$H$2:$H$2683,'per profession and gender'!A6)</f>
        <v>1800000</v>
      </c>
      <c r="D6" s="15">
        <f>AVERAGEIFS('data input'!$K$2:$K$2683,'data input'!$H$2:$H$2683,'per profession and gender'!A6)</f>
        <v>915718.75</v>
      </c>
    </row>
    <row r="7" spans="1:14">
      <c r="A7" t="str">
        <v>backend</v>
      </c>
      <c r="B7" s="15">
        <f>_xlfn.MINIFS('data input'!$K$2:$K$2683,'data input'!$H$2:$H$2683,'per profession and gender'!A7)</f>
        <v>429000</v>
      </c>
      <c r="C7" s="15">
        <f>_xlfn.MAXIFS('data input'!$K$2:$K$2683,'data input'!$H$2:$H$2683,'per profession and gender'!A7)</f>
        <v>2500000</v>
      </c>
      <c r="D7" s="15">
        <f>AVERAGEIFS('data input'!$K$2:$K$2683,'data input'!$H$2:$H$2683,'per profession and gender'!A7)</f>
        <v>904643.0391791045</v>
      </c>
    </row>
    <row r="8" spans="1:14">
      <c r="A8" t="str">
        <v>data science</v>
      </c>
      <c r="B8" s="15">
        <f>_xlfn.MINIFS('data input'!$K$2:$K$2683,'data input'!$H$2:$H$2683,'per profession and gender'!A8)</f>
        <v>530000</v>
      </c>
      <c r="C8" s="15">
        <f>_xlfn.MAXIFS('data input'!$K$2:$K$2683,'data input'!$H$2:$H$2683,'per profession and gender'!A8)</f>
        <v>1550000</v>
      </c>
      <c r="D8" s="15">
        <f>AVERAGEIFS('data input'!$K$2:$K$2683,'data input'!$H$2:$H$2683,'per profession and gender'!A8)</f>
        <v>848137.03703703708</v>
      </c>
    </row>
    <row r="9" spans="1:14">
      <c r="A9" t="str">
        <v>databaser</v>
      </c>
      <c r="B9" s="15">
        <f>_xlfn.MINIFS('data input'!$K$2:$K$2683,'data input'!$H$2:$H$2683,'per profession and gender'!A9)</f>
        <v>568000</v>
      </c>
      <c r="C9" s="15">
        <f>_xlfn.MAXIFS('data input'!$K$2:$K$2683,'data input'!$H$2:$H$2683,'per profession and gender'!A9)</f>
        <v>1300000</v>
      </c>
      <c r="D9" s="15">
        <f>AVERAGEIFS('data input'!$K$2:$K$2683,'data input'!$H$2:$H$2683,'per profession and gender'!A9)</f>
        <v>815361.11111111112</v>
      </c>
    </row>
    <row r="10" spans="1:14">
      <c r="A10" t="str">
        <v>devops / drift</v>
      </c>
      <c r="B10" s="15">
        <f>_xlfn.MINIFS('data input'!$K$2:$K$2683,'data input'!$H$2:$H$2683,'per profession and gender'!A10)</f>
        <v>450000</v>
      </c>
      <c r="C10" s="15">
        <f>_xlfn.MAXIFS('data input'!$K$2:$K$2683,'data input'!$H$2:$H$2683,'per profession and gender'!A10)</f>
        <v>2200000</v>
      </c>
      <c r="D10" s="15">
        <f>AVERAGEIFS('data input'!$K$2:$K$2683,'data input'!$H$2:$H$2683,'per profession and gender'!A10)</f>
        <v>912234.90298507467</v>
      </c>
    </row>
    <row r="11" spans="1:14">
      <c r="A11" t="str">
        <v>embedded / IOT / maskinvare</v>
      </c>
      <c r="B11" s="15">
        <f>_xlfn.MINIFS('data input'!$K$2:$K$2683,'data input'!$H$2:$H$2683,'per profession and gender'!A11)</f>
        <v>585000</v>
      </c>
      <c r="C11" s="15">
        <f>_xlfn.MAXIFS('data input'!$K$2:$K$2683,'data input'!$H$2:$H$2683,'per profession and gender'!A11)</f>
        <v>2600000</v>
      </c>
      <c r="D11" s="15">
        <f>AVERAGEIFS('data input'!$K$2:$K$2683,'data input'!$H$2:$H$2683,'per profession and gender'!A11)</f>
        <v>956107.17391304346</v>
      </c>
    </row>
    <row r="12" spans="1:14">
      <c r="A12" t="str">
        <v>frontend</v>
      </c>
      <c r="B12" s="15">
        <f>_xlfn.MINIFS('data input'!$K$2:$K$2683,'data input'!$H$2:$H$2683,'per profession and gender'!A12)</f>
        <v>370000</v>
      </c>
      <c r="C12" s="15">
        <f>_xlfn.MAXIFS('data input'!$K$2:$K$2683,'data input'!$H$2:$H$2683,'per profession and gender'!A12)</f>
        <v>2200000</v>
      </c>
      <c r="D12" s="15">
        <f>AVERAGEIFS('data input'!$K$2:$K$2683,'data input'!$H$2:$H$2683,'per profession and gender'!A12)</f>
        <v>806002.58383233531</v>
      </c>
    </row>
    <row r="13" spans="1:14">
      <c r="A13" t="str">
        <v>fullstack</v>
      </c>
      <c r="B13" s="15">
        <f>_xlfn.MINIFS('data input'!$K$2:$K$2683,'data input'!$H$2:$H$2683,'per profession and gender'!A13)</f>
        <v>300000</v>
      </c>
      <c r="C13" s="15">
        <f>_xlfn.MAXIFS('data input'!$K$2:$K$2683,'data input'!$H$2:$H$2683,'per profession and gender'!A13)</f>
        <v>2700000</v>
      </c>
      <c r="D13" s="15">
        <f>AVERAGEIFS('data input'!$K$2:$K$2683,'data input'!$H$2:$H$2683,'per profession and gender'!A13)</f>
        <v>875207.3740201568</v>
      </c>
    </row>
    <row r="14" spans="1:14">
      <c r="A14" t="str">
        <v>ledelse/administrativt</v>
      </c>
      <c r="B14" s="15">
        <f>_xlfn.MINIFS('data input'!$K$2:$K$2683,'data input'!$H$2:$H$2683,'per profession and gender'!A14)</f>
        <v>500000</v>
      </c>
      <c r="C14" s="15">
        <f>_xlfn.MAXIFS('data input'!$K$2:$K$2683,'data input'!$H$2:$H$2683,'per profession and gender'!A14)</f>
        <v>2500000</v>
      </c>
      <c r="D14" s="15">
        <f>AVERAGEIFS('data input'!$K$2:$K$2683,'data input'!$H$2:$H$2683,'per profession and gender'!A14)</f>
        <v>1072832.1013513512</v>
      </c>
    </row>
    <row r="15" spans="1:14">
      <c r="A15" t="str">
        <v>programvare</v>
      </c>
      <c r="B15" s="15">
        <f>_xlfn.MINIFS('data input'!$K$2:$K$2683,'data input'!$H$2:$H$2683,'per profession and gender'!A15)</f>
        <v>520000</v>
      </c>
      <c r="C15" s="15">
        <f>_xlfn.MAXIFS('data input'!$K$2:$K$2683,'data input'!$H$2:$H$2683,'per profession and gender'!A15)</f>
        <v>2500000</v>
      </c>
      <c r="D15" s="15">
        <f>AVERAGEIFS('data input'!$K$2:$K$2683,'data input'!$H$2:$H$2683,'per profession and gender'!A15)</f>
        <v>917038.36111111112</v>
      </c>
    </row>
    <row r="16" spans="1:14">
      <c r="A16" t="str">
        <v>sikkerhet</v>
      </c>
      <c r="B16" s="15">
        <f>_xlfn.MINIFS('data input'!$K$2:$K$2683,'data input'!$H$2:$H$2683,'per profession and gender'!A16)</f>
        <v>415000</v>
      </c>
      <c r="C16" s="15">
        <f>_xlfn.MAXIFS('data input'!$K$2:$K$2683,'data input'!$H$2:$H$2683,'per profession and gender'!A16)</f>
        <v>2200000</v>
      </c>
      <c r="D16" s="15">
        <f>AVERAGEIFS('data input'!$K$2:$K$2683,'data input'!$H$2:$H$2683,'per profession and gender'!A16)</f>
        <v>927034.32835820899</v>
      </c>
    </row>
    <row r="17" spans="1:7">
      <c r="A17" t="str">
        <v>testing</v>
      </c>
      <c r="B17" s="15">
        <f>_xlfn.MINIFS('data input'!$K$2:$K$2683,'data input'!$H$2:$H$2683,'per profession and gender'!A17)</f>
        <v>430000</v>
      </c>
      <c r="C17" s="15">
        <f>_xlfn.MAXIFS('data input'!$K$2:$K$2683,'data input'!$H$2:$H$2683,'per profession and gender'!A17)</f>
        <v>2000000</v>
      </c>
      <c r="D17" s="15">
        <f>AVERAGEIFS('data input'!$K$2:$K$2683,'data input'!$H$2:$H$2683,'per profession and gender'!A17)</f>
        <v>908241.37931034481</v>
      </c>
    </row>
    <row r="18" spans="1:7">
      <c r="A18" t="str">
        <v>UX / design</v>
      </c>
      <c r="B18" s="15">
        <f>_xlfn.MINIFS('data input'!$K$2:$K$2683,'data input'!$H$2:$H$2683,'per profession and gender'!A18)</f>
        <v>570000</v>
      </c>
      <c r="C18" s="15">
        <f>_xlfn.MAXIFS('data input'!$K$2:$K$2683,'data input'!$H$2:$H$2683,'per profession and gender'!A18)</f>
        <v>1550000</v>
      </c>
      <c r="D18" s="15">
        <f>AVERAGEIFS('data input'!$K$2:$K$2683,'data input'!$H$2:$H$2683,'per profession and gender'!A18)</f>
        <v>797154.54545454541</v>
      </c>
    </row>
    <row r="25" spans="1:7">
      <c r="A25" s="40" t="s">
        <v>36</v>
      </c>
      <c r="B25" s="22" t="s">
        <v>30</v>
      </c>
      <c r="C25" s="22" t="s">
        <v>30</v>
      </c>
      <c r="D25" s="22" t="s">
        <v>30</v>
      </c>
      <c r="E25" s="22" t="s">
        <v>31</v>
      </c>
      <c r="F25" s="22" t="s">
        <v>31</v>
      </c>
      <c r="G25" s="22" t="s">
        <v>31</v>
      </c>
    </row>
    <row r="26" spans="1:7">
      <c r="A26" s="41"/>
      <c r="B26" s="21" t="s">
        <v>2</v>
      </c>
      <c r="C26" s="21" t="s">
        <v>3</v>
      </c>
      <c r="D26" s="21" t="s">
        <v>35</v>
      </c>
      <c r="E26" s="21" t="s">
        <v>2</v>
      </c>
      <c r="F26" s="21" t="s">
        <v>3</v>
      </c>
      <c r="G26" s="21" t="s">
        <v>35</v>
      </c>
    </row>
    <row r="27" spans="1:7">
      <c r="A27" t="str" cm="1">
        <f t="array" ref="A27:A43">_xlfn.UNIQUE('data input'!H2:H2683)</f>
        <v>AI / maskinlæring</v>
      </c>
      <c r="B27" s="15">
        <f>_xlfn.MINIFS('data input'!$K$2:$K$2683,'data input'!$C$2:$C$2683,'per profession and gender'!$C$25,'data input'!$H$2:$H$2683,'per profession and gender'!A27)</f>
        <v>732000</v>
      </c>
      <c r="C27" s="15">
        <f>_xlfn.MAXIFS('data input'!$K$2:$K$2683,'data input'!$C$2:$C$2683,'per profession and gender'!$C$25,'data input'!$H$2:$H$2683,'per profession and gender'!A27)</f>
        <v>1200000</v>
      </c>
      <c r="D27" s="15">
        <f>AVERAGEIFS('data input'!$K$2:$K$2683,'data input'!$C$2:$C$2683,'per profession and gender'!$C$25,'data input'!$H$2:$H$2683,'per profession and gender'!A27)</f>
        <v>966000</v>
      </c>
      <c r="E27" s="15">
        <f>_xlfn.MINIFS('data input'!$K$2:$K$2683,'data input'!$C$2:$C$2683,'per profession and gender'!$F$25,'data input'!$H$2:$H$2683,'per profession and gender'!A27)</f>
        <v>525000</v>
      </c>
      <c r="F27" s="15">
        <f>_xlfn.MAXIFS('data input'!$K$2:$K$2683,'data input'!$C$2:$C$2683,'per profession and gender'!$F$25,'data input'!$H$2:$H$2683,'per profession and gender'!A27)</f>
        <v>1950000</v>
      </c>
      <c r="G27" s="15">
        <f>AVERAGEIFS('data input'!$K$2:$K$2683,'data input'!$C$2:$C$2683,'per profession and gender'!$F$25,'data input'!$H$2:$H$2683,'per profession and gender'!A27)</f>
        <v>897807.69230769225</v>
      </c>
    </row>
    <row r="28" spans="1:7">
      <c r="A28" t="str">
        <v>annet</v>
      </c>
      <c r="B28" s="15">
        <f>_xlfn.MINIFS('data input'!$K$2:$K$2683,'data input'!$C$2:$C$2683,'per profession and gender'!$C$25,'data input'!$H$2:$H$2683,'per profession and gender'!A28)</f>
        <v>850000</v>
      </c>
      <c r="C28" s="15">
        <f>_xlfn.MAXIFS('data input'!$K$2:$K$2683,'data input'!$C$2:$C$2683,'per profession and gender'!$C$25,'data input'!$H$2:$H$2683,'per profession and gender'!A28)</f>
        <v>1500000</v>
      </c>
      <c r="D28" s="15">
        <f>AVERAGEIFS('data input'!$K$2:$K$2683,'data input'!$C$2:$C$2683,'per profession and gender'!$C$25,'data input'!$H$2:$H$2683,'per profession and gender'!A28)</f>
        <v>1155000</v>
      </c>
      <c r="E28" s="15">
        <f>_xlfn.MINIFS('data input'!$K$2:$K$2683,'data input'!$C$2:$C$2683,'per profession and gender'!$F$25,'data input'!$H$2:$H$2683,'per profession and gender'!A28)</f>
        <v>310000</v>
      </c>
      <c r="F28" s="15">
        <f>_xlfn.MAXIFS('data input'!$K$2:$K$2683,'data input'!$C$2:$C$2683,'per profession and gender'!$F$25,'data input'!$H$2:$H$2683,'per profession and gender'!A28)</f>
        <v>2400000</v>
      </c>
      <c r="G28" s="15">
        <f>AVERAGEIFS('data input'!$K$2:$K$2683,'data input'!$C$2:$C$2683,'per profession and gender'!$F$25,'data input'!$H$2:$H$2683,'per profession and gender'!A28)</f>
        <v>927019.60784313723</v>
      </c>
    </row>
    <row r="29" spans="1:7">
      <c r="A29" t="str">
        <v>app</v>
      </c>
      <c r="B29" s="15">
        <f>_xlfn.MINIFS('data input'!$K$2:$K$2683,'data input'!$C$2:$C$2683,'per profession and gender'!$C$25,'data input'!$H$2:$H$2683,'per profession and gender'!A29)</f>
        <v>590000</v>
      </c>
      <c r="C29" s="15">
        <f>_xlfn.MAXIFS('data input'!$K$2:$K$2683,'data input'!$C$2:$C$2683,'per profession and gender'!$C$25,'data input'!$H$2:$H$2683,'per profession and gender'!A29)</f>
        <v>1115000</v>
      </c>
      <c r="D29" s="15">
        <f>AVERAGEIFS('data input'!$K$2:$K$2683,'data input'!$C$2:$C$2683,'per profession and gender'!$C$25,'data input'!$H$2:$H$2683,'per profession and gender'!A29)</f>
        <v>784954.53333333333</v>
      </c>
      <c r="E29" s="15">
        <f>_xlfn.MINIFS('data input'!$K$2:$K$2683,'data input'!$C$2:$C$2683,'per profession and gender'!$F$25,'data input'!$H$2:$H$2683,'per profession and gender'!A29)</f>
        <v>510000</v>
      </c>
      <c r="F29" s="15">
        <f>_xlfn.MAXIFS('data input'!$K$2:$K$2683,'data input'!$C$2:$C$2683,'per profession and gender'!$F$25,'data input'!$H$2:$H$2683,'per profession and gender'!A29)</f>
        <v>1750000</v>
      </c>
      <c r="G29" s="15">
        <f>AVERAGEIFS('data input'!$K$2:$K$2683,'data input'!$C$2:$C$2683,'per profession and gender'!$F$25,'data input'!$H$2:$H$2683,'per profession and gender'!A29)</f>
        <v>866219.64285714284</v>
      </c>
    </row>
    <row r="30" spans="1:7">
      <c r="A30" t="str">
        <v>arkitektur</v>
      </c>
      <c r="B30" s="15">
        <f>_xlfn.MINIFS('data input'!$K$2:$K$2683,'data input'!$C$2:$C$2683,'per profession and gender'!$C$25,'data input'!$H$2:$H$2683,'per profession and gender'!A30)</f>
        <v>680000</v>
      </c>
      <c r="C30" s="15">
        <f>_xlfn.MAXIFS('data input'!$K$2:$K$2683,'data input'!$C$2:$C$2683,'per profession and gender'!$C$25,'data input'!$H$2:$H$2683,'per profession and gender'!A30)</f>
        <v>1240000</v>
      </c>
      <c r="D30" s="15">
        <f>AVERAGEIFS('data input'!$K$2:$K$2683,'data input'!$C$2:$C$2683,'per profession and gender'!$C$25,'data input'!$H$2:$H$2683,'per profession and gender'!A30)</f>
        <v>981000</v>
      </c>
      <c r="E30" s="15">
        <f>_xlfn.MINIFS('data input'!$K$2:$K$2683,'data input'!$C$2:$C$2683,'per profession and gender'!$F$25,'data input'!$H$2:$H$2683,'per profession and gender'!A30)</f>
        <v>530000</v>
      </c>
      <c r="F30" s="15">
        <f>_xlfn.MAXIFS('data input'!$K$2:$K$2683,'data input'!$C$2:$C$2683,'per profession and gender'!$F$25,'data input'!$H$2:$H$2683,'per profession and gender'!A30)</f>
        <v>2500000</v>
      </c>
      <c r="G30" s="15">
        <f>AVERAGEIFS('data input'!$K$2:$K$2683,'data input'!$C$2:$C$2683,'per profession and gender'!$F$25,'data input'!$H$2:$H$2683,'per profession and gender'!A30)</f>
        <v>1150921.8217821782</v>
      </c>
    </row>
    <row r="31" spans="1:7">
      <c r="A31" t="str">
        <v>automatisering</v>
      </c>
      <c r="B31" s="15">
        <f>_xlfn.MINIFS('data input'!$K$2:$K$2683,'data input'!$C$2:$C$2683,'per profession and gender'!$C$25,'data input'!$H$2:$H$2683,'per profession and gender'!A31)</f>
        <v>568000</v>
      </c>
      <c r="C31" s="15">
        <f>_xlfn.MAXIFS('data input'!$K$2:$K$2683,'data input'!$C$2:$C$2683,'per profession and gender'!$C$25,'data input'!$H$2:$H$2683,'per profession and gender'!A31)</f>
        <v>1800000</v>
      </c>
      <c r="D31" s="15">
        <f>AVERAGEIFS('data input'!$K$2:$K$2683,'data input'!$C$2:$C$2683,'per profession and gender'!$C$25,'data input'!$H$2:$H$2683,'per profession and gender'!A31)</f>
        <v>888857.14285714284</v>
      </c>
      <c r="E31" s="15">
        <f>_xlfn.MINIFS('data input'!$K$2:$K$2683,'data input'!$C$2:$C$2683,'per profession and gender'!$F$25,'data input'!$H$2:$H$2683,'per profession and gender'!A31)</f>
        <v>350000</v>
      </c>
      <c r="F31" s="15">
        <f>_xlfn.MAXIFS('data input'!$K$2:$K$2683,'data input'!$C$2:$C$2683,'per profession and gender'!$F$25,'data input'!$H$2:$H$2683,'per profession and gender'!A31)</f>
        <v>1800000</v>
      </c>
      <c r="G31" s="15">
        <f>AVERAGEIFS('data input'!$K$2:$K$2683,'data input'!$C$2:$C$2683,'per profession and gender'!$F$25,'data input'!$H$2:$H$2683,'per profession and gender'!A31)</f>
        <v>923240</v>
      </c>
    </row>
    <row r="32" spans="1:7">
      <c r="A32" t="str">
        <v>backend</v>
      </c>
      <c r="B32" s="15">
        <f>_xlfn.MINIFS('data input'!$K$2:$K$2683,'data input'!$C$2:$C$2683,'per profession and gender'!$C$25,'data input'!$H$2:$H$2683,'per profession and gender'!A32)</f>
        <v>437000</v>
      </c>
      <c r="C32" s="15">
        <f>_xlfn.MAXIFS('data input'!$K$2:$K$2683,'data input'!$C$2:$C$2683,'per profession and gender'!$C$25,'data input'!$H$2:$H$2683,'per profession and gender'!A32)</f>
        <v>1200000</v>
      </c>
      <c r="D32" s="15">
        <f>AVERAGEIFS('data input'!$K$2:$K$2683,'data input'!$C$2:$C$2683,'per profession and gender'!$C$25,'data input'!$H$2:$H$2683,'per profession and gender'!A32)</f>
        <v>852112.24489795917</v>
      </c>
      <c r="E32" s="15">
        <f>_xlfn.MINIFS('data input'!$K$2:$K$2683,'data input'!$C$2:$C$2683,'per profession and gender'!$F$25,'data input'!$H$2:$H$2683,'per profession and gender'!A32)</f>
        <v>429000</v>
      </c>
      <c r="F32" s="15">
        <f>_xlfn.MAXIFS('data input'!$K$2:$K$2683,'data input'!$C$2:$C$2683,'per profession and gender'!$F$25,'data input'!$H$2:$H$2683,'per profession and gender'!A32)</f>
        <v>2500000</v>
      </c>
      <c r="G32" s="15">
        <f>AVERAGEIFS('data input'!$K$2:$K$2683,'data input'!$C$2:$C$2683,'per profession and gender'!$F$25,'data input'!$H$2:$H$2683,'per profession and gender'!A32)</f>
        <v>910526.1216494845</v>
      </c>
    </row>
    <row r="33" spans="1:7">
      <c r="A33" t="str">
        <v>data science</v>
      </c>
      <c r="B33" s="15">
        <f>_xlfn.MINIFS('data input'!$K$2:$K$2683,'data input'!$C$2:$C$2683,'per profession and gender'!$C$25,'data input'!$H$2:$H$2683,'per profession and gender'!A33)</f>
        <v>530000</v>
      </c>
      <c r="C33" s="15">
        <f>_xlfn.MAXIFS('data input'!$K$2:$K$2683,'data input'!$C$2:$C$2683,'per profession and gender'!$C$25,'data input'!$H$2:$H$2683,'per profession and gender'!A33)</f>
        <v>780000</v>
      </c>
      <c r="D33" s="15">
        <f>AVERAGEIFS('data input'!$K$2:$K$2683,'data input'!$C$2:$C$2683,'per profession and gender'!$C$25,'data input'!$H$2:$H$2683,'per profession and gender'!A33)</f>
        <v>660833.33333333337</v>
      </c>
      <c r="E33" s="15">
        <f>_xlfn.MINIFS('data input'!$K$2:$K$2683,'data input'!$C$2:$C$2683,'per profession and gender'!$F$25,'data input'!$H$2:$H$2683,'per profession and gender'!A33)</f>
        <v>560000</v>
      </c>
      <c r="F33" s="15">
        <f>_xlfn.MAXIFS('data input'!$K$2:$K$2683,'data input'!$C$2:$C$2683,'per profession and gender'!$F$25,'data input'!$H$2:$H$2683,'per profession and gender'!A33)</f>
        <v>1550000</v>
      </c>
      <c r="G33" s="15">
        <f>AVERAGEIFS('data input'!$K$2:$K$2683,'data input'!$C$2:$C$2683,'per profession and gender'!$F$25,'data input'!$H$2:$H$2683,'per profession and gender'!A33)</f>
        <v>871550</v>
      </c>
    </row>
    <row r="34" spans="1:7">
      <c r="A34" t="str">
        <v>databaser</v>
      </c>
      <c r="B34" s="15">
        <f>_xlfn.MINIFS('data input'!$K$2:$K$2683,'data input'!$C$2:$C$2683,'per profession and gender'!$C$25,'data input'!$H$2:$H$2683,'per profession and gender'!A34)</f>
        <v>595000</v>
      </c>
      <c r="C34" s="15">
        <f>_xlfn.MAXIFS('data input'!$K$2:$K$2683,'data input'!$C$2:$C$2683,'per profession and gender'!$C$25,'data input'!$H$2:$H$2683,'per profession and gender'!A34)</f>
        <v>1200000</v>
      </c>
      <c r="D34" s="15">
        <f>AVERAGEIFS('data input'!$K$2:$K$2683,'data input'!$C$2:$C$2683,'per profession and gender'!$C$25,'data input'!$H$2:$H$2683,'per profession and gender'!A34)</f>
        <v>848461.5384615385</v>
      </c>
      <c r="E34" s="15">
        <f>_xlfn.MINIFS('data input'!$K$2:$K$2683,'data input'!$C$2:$C$2683,'per profession and gender'!$F$25,'data input'!$H$2:$H$2683,'per profession and gender'!A34)</f>
        <v>568000</v>
      </c>
      <c r="F34" s="15">
        <f>_xlfn.MAXIFS('data input'!$K$2:$K$2683,'data input'!$C$2:$C$2683,'per profession and gender'!$F$25,'data input'!$H$2:$H$2683,'per profession and gender'!A34)</f>
        <v>1300000</v>
      </c>
      <c r="G34" s="15">
        <f>AVERAGEIFS('data input'!$K$2:$K$2683,'data input'!$C$2:$C$2683,'per profession and gender'!$F$25,'data input'!$H$2:$H$2683,'per profession and gender'!A34)</f>
        <v>796652.17391304346</v>
      </c>
    </row>
    <row r="35" spans="1:7">
      <c r="A35" t="str">
        <v>devops / drift</v>
      </c>
      <c r="B35" s="15">
        <f>_xlfn.MINIFS('data input'!$K$2:$K$2683,'data input'!$C$2:$C$2683,'per profession and gender'!$C$25,'data input'!$H$2:$H$2683,'per profession and gender'!A35)</f>
        <v>480000</v>
      </c>
      <c r="C35" s="15">
        <f>_xlfn.MAXIFS('data input'!$K$2:$K$2683,'data input'!$C$2:$C$2683,'per profession and gender'!$C$25,'data input'!$H$2:$H$2683,'per profession and gender'!A35)</f>
        <v>900000</v>
      </c>
      <c r="D35" s="15">
        <f>AVERAGEIFS('data input'!$K$2:$K$2683,'data input'!$C$2:$C$2683,'per profession and gender'!$C$25,'data input'!$H$2:$H$2683,'per profession and gender'!A35)</f>
        <v>679166.66666666663</v>
      </c>
      <c r="E35" s="15">
        <f>_xlfn.MINIFS('data input'!$K$2:$K$2683,'data input'!$C$2:$C$2683,'per profession and gender'!$F$25,'data input'!$H$2:$H$2683,'per profession and gender'!A35)</f>
        <v>450000</v>
      </c>
      <c r="F35" s="15">
        <f>_xlfn.MAXIFS('data input'!$K$2:$K$2683,'data input'!$C$2:$C$2683,'per profession and gender'!$F$25,'data input'!$H$2:$H$2683,'per profession and gender'!A35)</f>
        <v>2200000</v>
      </c>
      <c r="G35" s="15">
        <f>AVERAGEIFS('data input'!$K$2:$K$2683,'data input'!$C$2:$C$2683,'per profession and gender'!$F$25,'data input'!$H$2:$H$2683,'per profession and gender'!A35)</f>
        <v>923159.9765625</v>
      </c>
    </row>
    <row r="36" spans="1:7">
      <c r="A36" t="str">
        <v>embedded / IOT / maskinvare</v>
      </c>
      <c r="B36" s="15">
        <f>_xlfn.MINIFS('data input'!$K$2:$K$2683,'data input'!$C$2:$C$2683,'per profession and gender'!$C$25,'data input'!$H$2:$H$2683,'per profession and gender'!A36)</f>
        <v>585000</v>
      </c>
      <c r="C36" s="15">
        <f>_xlfn.MAXIFS('data input'!$K$2:$K$2683,'data input'!$C$2:$C$2683,'per profession and gender'!$C$25,'data input'!$H$2:$H$2683,'per profession and gender'!A36)</f>
        <v>950000</v>
      </c>
      <c r="D36" s="15">
        <f>AVERAGEIFS('data input'!$K$2:$K$2683,'data input'!$C$2:$C$2683,'per profession and gender'!$C$25,'data input'!$H$2:$H$2683,'per profession and gender'!A36)</f>
        <v>767500</v>
      </c>
      <c r="E36" s="15">
        <f>_xlfn.MINIFS('data input'!$K$2:$K$2683,'data input'!$C$2:$C$2683,'per profession and gender'!$F$25,'data input'!$H$2:$H$2683,'per profession and gender'!A36)</f>
        <v>630000</v>
      </c>
      <c r="F36" s="15">
        <f>_xlfn.MAXIFS('data input'!$K$2:$K$2683,'data input'!$C$2:$C$2683,'per profession and gender'!$F$25,'data input'!$H$2:$H$2683,'per profession and gender'!A36)</f>
        <v>2600000</v>
      </c>
      <c r="G36" s="15">
        <f>AVERAGEIFS('data input'!$K$2:$K$2683,'data input'!$C$2:$C$2683,'per profession and gender'!$F$25,'data input'!$H$2:$H$2683,'per profession and gender'!A36)</f>
        <v>988273.25</v>
      </c>
    </row>
    <row r="37" spans="1:7">
      <c r="A37" t="str">
        <v>frontend</v>
      </c>
      <c r="B37" s="15">
        <f>_xlfn.MINIFS('data input'!$K$2:$K$2683,'data input'!$C$2:$C$2683,'per profession and gender'!$C$25,'data input'!$H$2:$H$2683,'per profession and gender'!A37)</f>
        <v>490000</v>
      </c>
      <c r="C37" s="15">
        <f>_xlfn.MAXIFS('data input'!$K$2:$K$2683,'data input'!$C$2:$C$2683,'per profession and gender'!$C$25,'data input'!$H$2:$H$2683,'per profession and gender'!A37)</f>
        <v>1200000</v>
      </c>
      <c r="D37" s="15">
        <f>AVERAGEIFS('data input'!$K$2:$K$2683,'data input'!$C$2:$C$2683,'per profession and gender'!$C$25,'data input'!$H$2:$H$2683,'per profession and gender'!A37)</f>
        <v>742819.90909090906</v>
      </c>
      <c r="E37" s="15">
        <f>_xlfn.MINIFS('data input'!$K$2:$K$2683,'data input'!$C$2:$C$2683,'per profession and gender'!$F$25,'data input'!$H$2:$H$2683,'per profession and gender'!A37)</f>
        <v>370000</v>
      </c>
      <c r="F37" s="15">
        <f>_xlfn.MAXIFS('data input'!$K$2:$K$2683,'data input'!$C$2:$C$2683,'per profession and gender'!$F$25,'data input'!$H$2:$H$2683,'per profession and gender'!A37)</f>
        <v>2200000</v>
      </c>
      <c r="G37" s="15">
        <f>AVERAGEIFS('data input'!$K$2:$K$2683,'data input'!$C$2:$C$2683,'per profession and gender'!$F$25,'data input'!$H$2:$H$2683,'per profession and gender'!A37)</f>
        <v>825733.3203125</v>
      </c>
    </row>
    <row r="38" spans="1:7">
      <c r="A38" t="str">
        <v>fullstack</v>
      </c>
      <c r="B38" s="15">
        <f>_xlfn.MINIFS('data input'!$K$2:$K$2683,'data input'!$C$2:$C$2683,'per profession and gender'!$C$25,'data input'!$H$2:$H$2683,'per profession and gender'!A38)</f>
        <v>450000</v>
      </c>
      <c r="C38" s="15">
        <f>_xlfn.MAXIFS('data input'!$K$2:$K$2683,'data input'!$C$2:$C$2683,'per profession and gender'!$C$25,'data input'!$H$2:$H$2683,'per profession and gender'!A38)</f>
        <v>1400000</v>
      </c>
      <c r="D38" s="15">
        <f>AVERAGEIFS('data input'!$K$2:$K$2683,'data input'!$C$2:$C$2683,'per profession and gender'!$C$25,'data input'!$H$2:$H$2683,'per profession and gender'!A38)</f>
        <v>793761.62790697673</v>
      </c>
      <c r="E38" s="15">
        <f>_xlfn.MINIFS('data input'!$K$2:$K$2683,'data input'!$C$2:$C$2683,'per profession and gender'!$F$25,'data input'!$H$2:$H$2683,'per profession and gender'!A38)</f>
        <v>300000</v>
      </c>
      <c r="F38" s="15">
        <f>_xlfn.MAXIFS('data input'!$K$2:$K$2683,'data input'!$C$2:$C$2683,'per profession and gender'!$F$25,'data input'!$H$2:$H$2683,'per profession and gender'!A38)</f>
        <v>2700000</v>
      </c>
      <c r="G38" s="15">
        <f>AVERAGEIFS('data input'!$K$2:$K$2683,'data input'!$C$2:$C$2683,'per profession and gender'!$F$25,'data input'!$H$2:$H$2683,'per profession and gender'!A38)</f>
        <v>883327.12951432134</v>
      </c>
    </row>
    <row r="39" spans="1:7">
      <c r="A39" t="str">
        <v>ledelse/administrativt</v>
      </c>
      <c r="B39" s="15">
        <f>_xlfn.MINIFS('data input'!$K$2:$K$2683,'data input'!$C$2:$C$2683,'per profession and gender'!$C$25,'data input'!$H$2:$H$2683,'per profession and gender'!A39)</f>
        <v>627000</v>
      </c>
      <c r="C39" s="15">
        <f>_xlfn.MAXIFS('data input'!$K$2:$K$2683,'data input'!$C$2:$C$2683,'per profession and gender'!$C$25,'data input'!$H$2:$H$2683,'per profession and gender'!A39)</f>
        <v>1364000</v>
      </c>
      <c r="D39" s="15">
        <f>AVERAGEIFS('data input'!$K$2:$K$2683,'data input'!$C$2:$C$2683,'per profession and gender'!$C$25,'data input'!$H$2:$H$2683,'per profession and gender'!A39)</f>
        <v>972733.33333333337</v>
      </c>
      <c r="E39" s="15">
        <f>_xlfn.MINIFS('data input'!$K$2:$K$2683,'data input'!$C$2:$C$2683,'per profession and gender'!$F$25,'data input'!$H$2:$H$2683,'per profession and gender'!A39)</f>
        <v>500000</v>
      </c>
      <c r="F39" s="15">
        <f>_xlfn.MAXIFS('data input'!$K$2:$K$2683,'data input'!$C$2:$C$2683,'per profession and gender'!$F$25,'data input'!$H$2:$H$2683,'per profession and gender'!A39)</f>
        <v>2500000</v>
      </c>
      <c r="G39" s="15">
        <f>AVERAGEIFS('data input'!$K$2:$K$2683,'data input'!$C$2:$C$2683,'per profession and gender'!$F$25,'data input'!$H$2:$H$2683,'per profession and gender'!A39)</f>
        <v>1100830.3504273505</v>
      </c>
    </row>
    <row r="40" spans="1:7">
      <c r="A40" t="str">
        <v>programvare</v>
      </c>
      <c r="B40" s="15">
        <f>_xlfn.MINIFS('data input'!$K$2:$K$2683,'data input'!$C$2:$C$2683,'per profession and gender'!$C$25,'data input'!$H$2:$H$2683,'per profession and gender'!A40)</f>
        <v>600000</v>
      </c>
      <c r="C40" s="15">
        <f>_xlfn.MAXIFS('data input'!$K$2:$K$2683,'data input'!$C$2:$C$2683,'per profession and gender'!$C$25,'data input'!$H$2:$H$2683,'per profession and gender'!A40)</f>
        <v>1023000</v>
      </c>
      <c r="D40" s="15">
        <f>AVERAGEIFS('data input'!$K$2:$K$2683,'data input'!$C$2:$C$2683,'per profession and gender'!$C$25,'data input'!$H$2:$H$2683,'per profession and gender'!A40)</f>
        <v>798545.45454545459</v>
      </c>
      <c r="E40" s="15">
        <f>_xlfn.MINIFS('data input'!$K$2:$K$2683,'data input'!$C$2:$C$2683,'per profession and gender'!$F$25,'data input'!$H$2:$H$2683,'per profession and gender'!A40)</f>
        <v>550000</v>
      </c>
      <c r="F40" s="15">
        <f>_xlfn.MAXIFS('data input'!$K$2:$K$2683,'data input'!$C$2:$C$2683,'per profession and gender'!$F$25,'data input'!$H$2:$H$2683,'per profession and gender'!A40)</f>
        <v>2500000</v>
      </c>
      <c r="G40" s="15">
        <f>AVERAGEIFS('data input'!$K$2:$K$2683,'data input'!$C$2:$C$2683,'per profession and gender'!$F$25,'data input'!$H$2:$H$2683,'per profession and gender'!A40)</f>
        <v>945301.05084745761</v>
      </c>
    </row>
    <row r="41" spans="1:7">
      <c r="A41" t="str">
        <v>sikkerhet</v>
      </c>
      <c r="B41" s="15">
        <f>_xlfn.MINIFS('data input'!$K$2:$K$2683,'data input'!$C$2:$C$2683,'per profession and gender'!$C$25,'data input'!$H$2:$H$2683,'per profession and gender'!A41)</f>
        <v>610000</v>
      </c>
      <c r="C41" s="15">
        <f>_xlfn.MAXIFS('data input'!$K$2:$K$2683,'data input'!$C$2:$C$2683,'per profession and gender'!$C$25,'data input'!$H$2:$H$2683,'per profession and gender'!A41)</f>
        <v>1200000</v>
      </c>
      <c r="D41" s="15">
        <f>AVERAGEIFS('data input'!$K$2:$K$2683,'data input'!$C$2:$C$2683,'per profession and gender'!$C$25,'data input'!$H$2:$H$2683,'per profession and gender'!A41)</f>
        <v>781000</v>
      </c>
      <c r="E41" s="15">
        <f>_xlfn.MINIFS('data input'!$K$2:$K$2683,'data input'!$C$2:$C$2683,'per profession and gender'!$F$25,'data input'!$H$2:$H$2683,'per profession and gender'!A41)</f>
        <v>468000</v>
      </c>
      <c r="F41" s="15">
        <f>_xlfn.MAXIFS('data input'!$K$2:$K$2683,'data input'!$C$2:$C$2683,'per profession and gender'!$F$25,'data input'!$H$2:$H$2683,'per profession and gender'!A41)</f>
        <v>2200000</v>
      </c>
      <c r="G41" s="15">
        <f>AVERAGEIFS('data input'!$K$2:$K$2683,'data input'!$C$2:$C$2683,'per profession and gender'!$F$25,'data input'!$H$2:$H$2683,'per profession and gender'!A41)</f>
        <v>950688.33333333337</v>
      </c>
    </row>
    <row r="42" spans="1:7">
      <c r="A42" t="str">
        <v>testing</v>
      </c>
      <c r="B42" s="15">
        <f>_xlfn.MINIFS('data input'!$K$2:$K$2683,'data input'!$C$2:$C$2683,'per profession and gender'!$C$25,'data input'!$H$2:$H$2683,'per profession and gender'!A42)</f>
        <v>600000</v>
      </c>
      <c r="C42" s="15">
        <f>_xlfn.MAXIFS('data input'!$K$2:$K$2683,'data input'!$C$2:$C$2683,'per profession and gender'!$C$25,'data input'!$H$2:$H$2683,'per profession and gender'!A42)</f>
        <v>1260000</v>
      </c>
      <c r="D42" s="15">
        <f>AVERAGEIFS('data input'!$K$2:$K$2683,'data input'!$C$2:$C$2683,'per profession and gender'!$C$25,'data input'!$H$2:$H$2683,'per profession and gender'!A42)</f>
        <v>856769.23076923075</v>
      </c>
      <c r="E42" s="15">
        <f>_xlfn.MINIFS('data input'!$K$2:$K$2683,'data input'!$C$2:$C$2683,'per profession and gender'!$F$25,'data input'!$H$2:$H$2683,'per profession and gender'!A42)</f>
        <v>430000</v>
      </c>
      <c r="F42" s="15">
        <f>_xlfn.MAXIFS('data input'!$K$2:$K$2683,'data input'!$C$2:$C$2683,'per profession and gender'!$F$25,'data input'!$H$2:$H$2683,'per profession and gender'!A42)</f>
        <v>2000000</v>
      </c>
      <c r="G42" s="15">
        <f>AVERAGEIFS('data input'!$K$2:$K$2683,'data input'!$C$2:$C$2683,'per profession and gender'!$F$25,'data input'!$H$2:$H$2683,'per profession and gender'!A42)</f>
        <v>950062.5</v>
      </c>
    </row>
    <row r="43" spans="1:7">
      <c r="A43" t="str">
        <v>UX / design</v>
      </c>
      <c r="B43" s="15">
        <f>_xlfn.MINIFS('data input'!$K$2:$K$2683,'data input'!$C$2:$C$2683,'per profession and gender'!$C$25,'data input'!$H$2:$H$2683,'per profession and gender'!A43)</f>
        <v>570000</v>
      </c>
      <c r="C43" s="15">
        <f>_xlfn.MAXIFS('data input'!$K$2:$K$2683,'data input'!$C$2:$C$2683,'per profession and gender'!$C$25,'data input'!$H$2:$H$2683,'per profession and gender'!A43)</f>
        <v>920000</v>
      </c>
      <c r="D43" s="15">
        <f>AVERAGEIFS('data input'!$K$2:$K$2683,'data input'!$C$2:$C$2683,'per profession and gender'!$C$25,'data input'!$H$2:$H$2683,'per profession and gender'!A43)</f>
        <v>711078.125</v>
      </c>
      <c r="E43" s="15">
        <f>_xlfn.MINIFS('data input'!$K$2:$K$2683,'data input'!$C$2:$C$2683,'per profession and gender'!$F$25,'data input'!$H$2:$H$2683,'per profession and gender'!A43)</f>
        <v>600000</v>
      </c>
      <c r="F43" s="15">
        <f>_xlfn.MAXIFS('data input'!$K$2:$K$2683,'data input'!$C$2:$C$2683,'per profession and gender'!$F$25,'data input'!$H$2:$H$2683,'per profession and gender'!A43)</f>
        <v>1550000</v>
      </c>
      <c r="G43" s="15">
        <f>AVERAGEIFS('data input'!$K$2:$K$2683,'data input'!$C$2:$C$2683,'per profession and gender'!$F$25,'data input'!$H$2:$H$2683,'per profession and gender'!A43)</f>
        <v>945666.66666666663</v>
      </c>
    </row>
    <row r="45" spans="1:7">
      <c r="B45" s="15">
        <f>AVERAGE(B27:B43)</f>
        <v>587882.3529411765</v>
      </c>
      <c r="C45" s="15">
        <f t="shared" ref="C45:G45" si="0">AVERAGE(C27:C43)</f>
        <v>1191294.1176470588</v>
      </c>
      <c r="D45" s="15">
        <f t="shared" si="0"/>
        <v>837681.94942328695</v>
      </c>
      <c r="E45" s="15">
        <f t="shared" si="0"/>
        <v>475294.1176470588</v>
      </c>
      <c r="F45" s="15">
        <f t="shared" si="0"/>
        <v>2129411.7647058824</v>
      </c>
      <c r="G45" s="15">
        <f t="shared" si="0"/>
        <v>932763.50811863574</v>
      </c>
    </row>
    <row r="47" spans="1:7">
      <c r="A47" s="40" t="s">
        <v>36</v>
      </c>
      <c r="B47" s="24"/>
      <c r="C47" s="22" t="s">
        <v>31</v>
      </c>
      <c r="D47" s="23"/>
    </row>
    <row r="48" spans="1:7">
      <c r="A48" s="41"/>
      <c r="B48" s="21" t="s">
        <v>2</v>
      </c>
      <c r="C48" s="21" t="s">
        <v>3</v>
      </c>
      <c r="D48" s="21" t="s">
        <v>35</v>
      </c>
    </row>
    <row r="49" spans="1:4">
      <c r="A49" t="str" cm="1">
        <f t="array" ref="A49:A66">_xlfn.UNIQUE('data input'!H24:H2705)</f>
        <v>AI / maskinlæring</v>
      </c>
      <c r="B49" s="15">
        <f>_xlfn.MINIFS('data input'!$K$2:$K$2683,'data input'!$C$2:$C$2683,'per profession and gender'!$C$47,'data input'!$H$2:$H$2683,'per profession and gender'!A49)</f>
        <v>525000</v>
      </c>
      <c r="C49" s="15">
        <f>_xlfn.MAXIFS('data input'!$K$2:$K$2683,'data input'!$C$2:$C$2683,'per profession and gender'!$C$47,'data input'!$H$2:$H$2683,'per profession and gender'!A49)</f>
        <v>1950000</v>
      </c>
      <c r="D49" s="15">
        <f>AVERAGEIFS('data input'!$K$2:$K$2683,'data input'!$C$2:$C$2683,'per profession and gender'!$C$47,'data input'!$H$2:$H$2683,'per profession and gender'!A49)</f>
        <v>897807.69230769225</v>
      </c>
    </row>
    <row r="50" spans="1:4">
      <c r="A50" t="str">
        <v>annet</v>
      </c>
      <c r="B50" s="15">
        <f>_xlfn.MINIFS('data input'!$K$2:$K$2683,'data input'!$C$2:$C$2683,'per profession and gender'!$C$47,'data input'!$H$2:$H$2683,'per profession and gender'!A50)</f>
        <v>310000</v>
      </c>
      <c r="C50" s="15">
        <f>_xlfn.MAXIFS('data input'!$K$2:$K$2683,'data input'!$C$2:$C$2683,'per profession and gender'!$C$47,'data input'!$H$2:$H$2683,'per profession and gender'!A50)</f>
        <v>2400000</v>
      </c>
      <c r="D50" s="15">
        <f>AVERAGEIFS('data input'!$K$2:$K$2683,'data input'!$C$2:$C$2683,'per profession and gender'!$C$47,'data input'!$H$2:$H$2683,'per profession and gender'!A50)</f>
        <v>927019.60784313723</v>
      </c>
    </row>
    <row r="51" spans="1:4">
      <c r="A51" t="str">
        <v>app</v>
      </c>
      <c r="B51" s="15">
        <f>_xlfn.MINIFS('data input'!$K$2:$K$2683,'data input'!$C$2:$C$2683,'per profession and gender'!$C$47,'data input'!$H$2:$H$2683,'per profession and gender'!A51)</f>
        <v>510000</v>
      </c>
      <c r="C51" s="15">
        <f>_xlfn.MAXIFS('data input'!$K$2:$K$2683,'data input'!$C$2:$C$2683,'per profession and gender'!$C$47,'data input'!$H$2:$H$2683,'per profession and gender'!A51)</f>
        <v>1750000</v>
      </c>
      <c r="D51" s="15">
        <f>AVERAGEIFS('data input'!$K$2:$K$2683,'data input'!$C$2:$C$2683,'per profession and gender'!$C$47,'data input'!$H$2:$H$2683,'per profession and gender'!A51)</f>
        <v>866219.64285714284</v>
      </c>
    </row>
    <row r="52" spans="1:4">
      <c r="A52" t="str">
        <v>arkitektur</v>
      </c>
      <c r="B52" s="15">
        <f>_xlfn.MINIFS('data input'!$K$2:$K$2683,'data input'!$C$2:$C$2683,'per profession and gender'!$C$47,'data input'!$H$2:$H$2683,'per profession and gender'!A52)</f>
        <v>530000</v>
      </c>
      <c r="C52" s="15">
        <f>_xlfn.MAXIFS('data input'!$K$2:$K$2683,'data input'!$C$2:$C$2683,'per profession and gender'!$C$47,'data input'!$H$2:$H$2683,'per profession and gender'!A52)</f>
        <v>2500000</v>
      </c>
      <c r="D52" s="15">
        <f>AVERAGEIFS('data input'!$K$2:$K$2683,'data input'!$C$2:$C$2683,'per profession and gender'!$C$47,'data input'!$H$2:$H$2683,'per profession and gender'!A52)</f>
        <v>1150921.8217821782</v>
      </c>
    </row>
    <row r="53" spans="1:4">
      <c r="A53" t="str">
        <v>automatisering</v>
      </c>
      <c r="B53" s="15">
        <f>_xlfn.MINIFS('data input'!$K$2:$K$2683,'data input'!$C$2:$C$2683,'per profession and gender'!$C$47,'data input'!$H$2:$H$2683,'per profession and gender'!A53)</f>
        <v>350000</v>
      </c>
      <c r="C53" s="15">
        <f>_xlfn.MAXIFS('data input'!$K$2:$K$2683,'data input'!$C$2:$C$2683,'per profession and gender'!$C$47,'data input'!$H$2:$H$2683,'per profession and gender'!A53)</f>
        <v>1800000</v>
      </c>
      <c r="D53" s="15">
        <f>AVERAGEIFS('data input'!$K$2:$K$2683,'data input'!$C$2:$C$2683,'per profession and gender'!$C$47,'data input'!$H$2:$H$2683,'per profession and gender'!A53)</f>
        <v>923240</v>
      </c>
    </row>
    <row r="54" spans="1:4">
      <c r="A54" t="str">
        <v>backend</v>
      </c>
      <c r="B54" s="15">
        <f>_xlfn.MINIFS('data input'!$K$2:$K$2683,'data input'!$C$2:$C$2683,'per profession and gender'!$C$47,'data input'!$H$2:$H$2683,'per profession and gender'!A54)</f>
        <v>429000</v>
      </c>
      <c r="C54" s="15">
        <f>_xlfn.MAXIFS('data input'!$K$2:$K$2683,'data input'!$C$2:$C$2683,'per profession and gender'!$C$47,'data input'!$H$2:$H$2683,'per profession and gender'!A54)</f>
        <v>2500000</v>
      </c>
      <c r="D54" s="15">
        <f>AVERAGEIFS('data input'!$K$2:$K$2683,'data input'!$C$2:$C$2683,'per profession and gender'!$C$47,'data input'!$H$2:$H$2683,'per profession and gender'!A54)</f>
        <v>910526.1216494845</v>
      </c>
    </row>
    <row r="55" spans="1:4">
      <c r="A55" t="str">
        <v>data science</v>
      </c>
      <c r="B55" s="15">
        <f>_xlfn.MINIFS('data input'!$K$2:$K$2683,'data input'!$C$2:$C$2683,'per profession and gender'!$C$47,'data input'!$H$2:$H$2683,'per profession and gender'!A55)</f>
        <v>560000</v>
      </c>
      <c r="C55" s="15">
        <f>_xlfn.MAXIFS('data input'!$K$2:$K$2683,'data input'!$C$2:$C$2683,'per profession and gender'!$C$47,'data input'!$H$2:$H$2683,'per profession and gender'!A55)</f>
        <v>1550000</v>
      </c>
      <c r="D55" s="15">
        <f>AVERAGEIFS('data input'!$K$2:$K$2683,'data input'!$C$2:$C$2683,'per profession and gender'!$C$47,'data input'!$H$2:$H$2683,'per profession and gender'!A55)</f>
        <v>871550</v>
      </c>
    </row>
    <row r="56" spans="1:4">
      <c r="A56" t="str">
        <v>databaser</v>
      </c>
      <c r="B56" s="15">
        <f>_xlfn.MINIFS('data input'!$K$2:$K$2683,'data input'!$C$2:$C$2683,'per profession and gender'!$C$47,'data input'!$H$2:$H$2683,'per profession and gender'!A56)</f>
        <v>568000</v>
      </c>
      <c r="C56" s="15">
        <f>_xlfn.MAXIFS('data input'!$K$2:$K$2683,'data input'!$C$2:$C$2683,'per profession and gender'!$C$47,'data input'!$H$2:$H$2683,'per profession and gender'!A56)</f>
        <v>1300000</v>
      </c>
      <c r="D56" s="15">
        <f>AVERAGEIFS('data input'!$K$2:$K$2683,'data input'!$C$2:$C$2683,'per profession and gender'!$C$47,'data input'!$H$2:$H$2683,'per profession and gender'!A56)</f>
        <v>796652.17391304346</v>
      </c>
    </row>
    <row r="57" spans="1:4">
      <c r="A57" t="str">
        <v>devops / drift</v>
      </c>
      <c r="B57" s="15">
        <f>_xlfn.MINIFS('data input'!$K$2:$K$2683,'data input'!$C$2:$C$2683,'per profession and gender'!$C$47,'data input'!$H$2:$H$2683,'per profession and gender'!A57)</f>
        <v>450000</v>
      </c>
      <c r="C57" s="15">
        <f>_xlfn.MAXIFS('data input'!$K$2:$K$2683,'data input'!$C$2:$C$2683,'per profession and gender'!$C$47,'data input'!$H$2:$H$2683,'per profession and gender'!A57)</f>
        <v>2200000</v>
      </c>
      <c r="D57" s="15">
        <f>AVERAGEIFS('data input'!$K$2:$K$2683,'data input'!$C$2:$C$2683,'per profession and gender'!$C$47,'data input'!$H$2:$H$2683,'per profession and gender'!A57)</f>
        <v>923159.9765625</v>
      </c>
    </row>
    <row r="58" spans="1:4">
      <c r="A58" t="str">
        <v>embedded / IOT / maskinvare</v>
      </c>
      <c r="B58" s="15">
        <f>_xlfn.MINIFS('data input'!$K$2:$K$2683,'data input'!$C$2:$C$2683,'per profession and gender'!$C$47,'data input'!$H$2:$H$2683,'per profession and gender'!A58)</f>
        <v>630000</v>
      </c>
      <c r="C58" s="15">
        <f>_xlfn.MAXIFS('data input'!$K$2:$K$2683,'data input'!$C$2:$C$2683,'per profession and gender'!$C$47,'data input'!$H$2:$H$2683,'per profession and gender'!A58)</f>
        <v>2600000</v>
      </c>
      <c r="D58" s="15">
        <f>AVERAGEIFS('data input'!$K$2:$K$2683,'data input'!$C$2:$C$2683,'per profession and gender'!$C$47,'data input'!$H$2:$H$2683,'per profession and gender'!A58)</f>
        <v>988273.25</v>
      </c>
    </row>
    <row r="59" spans="1:4">
      <c r="A59" t="str">
        <v>frontend</v>
      </c>
      <c r="B59" s="15">
        <f>_xlfn.MINIFS('data input'!$K$2:$K$2683,'data input'!$C$2:$C$2683,'per profession and gender'!$C$47,'data input'!$H$2:$H$2683,'per profession and gender'!A59)</f>
        <v>370000</v>
      </c>
      <c r="C59" s="15">
        <f>_xlfn.MAXIFS('data input'!$K$2:$K$2683,'data input'!$C$2:$C$2683,'per profession and gender'!$C$47,'data input'!$H$2:$H$2683,'per profession and gender'!A59)</f>
        <v>2200000</v>
      </c>
      <c r="D59" s="15">
        <f>AVERAGEIFS('data input'!$K$2:$K$2683,'data input'!$C$2:$C$2683,'per profession and gender'!$C$47,'data input'!$H$2:$H$2683,'per profession and gender'!A59)</f>
        <v>825733.3203125</v>
      </c>
    </row>
    <row r="60" spans="1:4">
      <c r="A60" t="str">
        <v>fullstack</v>
      </c>
      <c r="B60" s="15">
        <f>_xlfn.MINIFS('data input'!$K$2:$K$2683,'data input'!$C$2:$C$2683,'per profession and gender'!$C$47,'data input'!$H$2:$H$2683,'per profession and gender'!A60)</f>
        <v>300000</v>
      </c>
      <c r="C60" s="15">
        <f>_xlfn.MAXIFS('data input'!$K$2:$K$2683,'data input'!$C$2:$C$2683,'per profession and gender'!$C$47,'data input'!$H$2:$H$2683,'per profession and gender'!A60)</f>
        <v>2700000</v>
      </c>
      <c r="D60" s="15">
        <f>AVERAGEIFS('data input'!$K$2:$K$2683,'data input'!$C$2:$C$2683,'per profession and gender'!$C$47,'data input'!$H$2:$H$2683,'per profession and gender'!A60)</f>
        <v>883327.12951432134</v>
      </c>
    </row>
    <row r="61" spans="1:4">
      <c r="A61" t="str">
        <v>ledelse/administrativt</v>
      </c>
      <c r="B61" s="15">
        <f>_xlfn.MINIFS('data input'!$K$2:$K$2683,'data input'!$C$2:$C$2683,'per profession and gender'!$C$47,'data input'!$H$2:$H$2683,'per profession and gender'!A61)</f>
        <v>500000</v>
      </c>
      <c r="C61" s="15">
        <f>_xlfn.MAXIFS('data input'!$K$2:$K$2683,'data input'!$C$2:$C$2683,'per profession and gender'!$C$47,'data input'!$H$2:$H$2683,'per profession and gender'!A61)</f>
        <v>2500000</v>
      </c>
      <c r="D61" s="15">
        <f>AVERAGEIFS('data input'!$K$2:$K$2683,'data input'!$C$2:$C$2683,'per profession and gender'!$C$47,'data input'!$H$2:$H$2683,'per profession and gender'!A61)</f>
        <v>1100830.3504273505</v>
      </c>
    </row>
    <row r="62" spans="1:4">
      <c r="A62" t="str">
        <v>programvare</v>
      </c>
      <c r="B62" s="15">
        <f>_xlfn.MINIFS('data input'!$K$2:$K$2683,'data input'!$C$2:$C$2683,'per profession and gender'!$C$47,'data input'!$H$2:$H$2683,'per profession and gender'!A62)</f>
        <v>550000</v>
      </c>
      <c r="C62" s="15">
        <f>_xlfn.MAXIFS('data input'!$K$2:$K$2683,'data input'!$C$2:$C$2683,'per profession and gender'!$C$47,'data input'!$H$2:$H$2683,'per profession and gender'!A62)</f>
        <v>2500000</v>
      </c>
      <c r="D62" s="15">
        <f>AVERAGEIFS('data input'!$K$2:$K$2683,'data input'!$C$2:$C$2683,'per profession and gender'!$C$47,'data input'!$H$2:$H$2683,'per profession and gender'!A62)</f>
        <v>945301.05084745761</v>
      </c>
    </row>
    <row r="63" spans="1:4">
      <c r="A63" t="str">
        <v>sikkerhet</v>
      </c>
      <c r="B63" s="15">
        <f>_xlfn.MINIFS('data input'!$K$2:$K$2683,'data input'!$C$2:$C$2683,'per profession and gender'!$C$47,'data input'!$H$2:$H$2683,'per profession and gender'!A63)</f>
        <v>468000</v>
      </c>
      <c r="C63" s="15">
        <f>_xlfn.MAXIFS('data input'!$K$2:$K$2683,'data input'!$C$2:$C$2683,'per profession and gender'!$C$47,'data input'!$H$2:$H$2683,'per profession and gender'!A63)</f>
        <v>2200000</v>
      </c>
      <c r="D63" s="15">
        <f>AVERAGEIFS('data input'!$K$2:$K$2683,'data input'!$C$2:$C$2683,'per profession and gender'!$C$47,'data input'!$H$2:$H$2683,'per profession and gender'!A63)</f>
        <v>950688.33333333337</v>
      </c>
    </row>
    <row r="64" spans="1:4">
      <c r="A64" t="str">
        <v>testing</v>
      </c>
      <c r="B64" s="15">
        <f>_xlfn.MINIFS('data input'!$K$2:$K$2683,'data input'!$C$2:$C$2683,'per profession and gender'!$C$47,'data input'!$H$2:$H$2683,'per profession and gender'!A64)</f>
        <v>430000</v>
      </c>
      <c r="C64" s="15">
        <f>_xlfn.MAXIFS('data input'!$K$2:$K$2683,'data input'!$C$2:$C$2683,'per profession and gender'!$C$47,'data input'!$H$2:$H$2683,'per profession and gender'!A64)</f>
        <v>2000000</v>
      </c>
      <c r="D64" s="15">
        <f>AVERAGEIFS('data input'!$K$2:$K$2683,'data input'!$C$2:$C$2683,'per profession and gender'!$C$47,'data input'!$H$2:$H$2683,'per profession and gender'!A64)</f>
        <v>950062.5</v>
      </c>
    </row>
    <row r="65" spans="1:4">
      <c r="A65" t="str">
        <v>UX / design</v>
      </c>
      <c r="B65" s="15">
        <f>_xlfn.MINIFS('data input'!$K$2:$K$2683,'data input'!$C$2:$C$2683,'per profession and gender'!$C$47,'data input'!$H$2:$H$2683,'per profession and gender'!A65)</f>
        <v>600000</v>
      </c>
      <c r="C65" s="15">
        <f>_xlfn.MAXIFS('data input'!$K$2:$K$2683,'data input'!$C$2:$C$2683,'per profession and gender'!$C$47,'data input'!$H$2:$H$2683,'per profession and gender'!A65)</f>
        <v>1550000</v>
      </c>
      <c r="D65" s="15">
        <f>AVERAGEIFS('data input'!$K$2:$K$2683,'data input'!$C$2:$C$2683,'per profession and gender'!$C$47,'data input'!$H$2:$H$2683,'per profession and gender'!A65)</f>
        <v>945666.66666666663</v>
      </c>
    </row>
    <row r="66" spans="1:4">
      <c r="A66">
        <v>0</v>
      </c>
    </row>
  </sheetData>
  <mergeCells count="2">
    <mergeCell ref="A25:A26"/>
    <mergeCell ref="A47:A4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CC995-48BD-6C42-AF90-0CB5568AE7EC}">
  <dimension ref="A1:O24"/>
  <sheetViews>
    <sheetView showGridLines="0" tabSelected="1" zoomScaleNormal="100" workbookViewId="0">
      <selection activeCell="D4" sqref="D4"/>
    </sheetView>
  </sheetViews>
  <sheetFormatPr baseColWidth="10" defaultRowHeight="16"/>
  <cols>
    <col min="1" max="1" width="12.5" bestFit="1" customWidth="1"/>
    <col min="2" max="2" width="15.33203125" bestFit="1" customWidth="1"/>
    <col min="4" max="4" width="24.6640625" customWidth="1"/>
    <col min="6" max="6" width="9" customWidth="1"/>
    <col min="7" max="7" width="10.83203125" customWidth="1"/>
    <col min="8" max="8" width="13.1640625" customWidth="1"/>
    <col min="10" max="10" width="20.83203125" customWidth="1"/>
    <col min="11" max="11" width="37.83203125" customWidth="1"/>
    <col min="12" max="12" width="19.83203125" customWidth="1"/>
    <col min="15" max="15" width="17" bestFit="1" customWidth="1"/>
  </cols>
  <sheetData>
    <row r="1" spans="1:15" ht="57" customHeight="1">
      <c r="A1" s="48" t="s">
        <v>552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5">
      <c r="A2" s="25"/>
    </row>
    <row r="3" spans="1:15" s="45" customFormat="1" ht="24">
      <c r="D3" s="46" t="s">
        <v>526</v>
      </c>
      <c r="J3" s="46" t="s">
        <v>535</v>
      </c>
      <c r="L3" s="47" t="s">
        <v>551</v>
      </c>
    </row>
    <row r="4" spans="1:15" ht="21" thickBot="1">
      <c r="D4" s="50" t="s">
        <v>397</v>
      </c>
      <c r="J4" s="50" t="s">
        <v>10</v>
      </c>
      <c r="L4" s="50" t="s">
        <v>39</v>
      </c>
    </row>
    <row r="5" spans="1:15" ht="17" thickTop="1"/>
    <row r="24" spans="2:4">
      <c r="B24" s="26"/>
      <c r="D24" s="44"/>
    </row>
  </sheetData>
  <sheetProtection sheet="1" objects="1" scenarios="1" selectLockedCells="1"/>
  <mergeCells count="1">
    <mergeCell ref="A1:O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DD6D862-BC71-094B-9BC6-6C35EAF665E4}">
          <x14:formula1>
            <xm:f>'data validation'!$E$2:$E$18</xm:f>
          </x14:formula1>
          <xm:sqref>D4</xm:sqref>
        </x14:dataValidation>
        <x14:dataValidation type="list" allowBlank="1" showInputMessage="1" showErrorMessage="1" xr:uid="{35C97FC6-3CB2-FE46-931C-A2A448F1E091}">
          <x14:formula1>
            <xm:f>'data validation'!$J$2:$J$13</xm:f>
          </x14:formula1>
          <xm:sqref>J4</xm:sqref>
        </x14:dataValidation>
        <x14:dataValidation type="list" allowBlank="1" showInputMessage="1" showErrorMessage="1" xr:uid="{2FD6D39B-1703-2D46-A20B-3915A72433AA}">
          <x14:formula1>
            <xm:f>'data validation'!$Q$2:$Q$5</xm:f>
          </x14:formula1>
          <xm:sqref>L4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3B042-4302-3948-9C94-8F6F1104F1E3}">
  <dimension ref="A1:Q22"/>
  <sheetViews>
    <sheetView topLeftCell="I1" workbookViewId="0">
      <selection activeCell="Q3" sqref="Q3"/>
    </sheetView>
  </sheetViews>
  <sheetFormatPr baseColWidth="10" defaultRowHeight="16"/>
  <cols>
    <col min="1" max="1" width="32.6640625" customWidth="1"/>
    <col min="2" max="2" width="14.5" bestFit="1" customWidth="1"/>
    <col min="3" max="3" width="4" customWidth="1"/>
    <col min="4" max="4" width="3.33203125" customWidth="1"/>
    <col min="5" max="5" width="24.5" bestFit="1" customWidth="1"/>
    <col min="7" max="7" width="4.5" customWidth="1"/>
    <col min="8" max="8" width="4.6640625" customWidth="1"/>
    <col min="9" max="10" width="17.6640625" bestFit="1" customWidth="1"/>
    <col min="11" max="12" width="4.83203125" customWidth="1"/>
    <col min="13" max="13" width="31.83203125" bestFit="1" customWidth="1"/>
    <col min="15" max="15" width="17" bestFit="1" customWidth="1"/>
    <col min="16" max="16" width="10.1640625" style="5" bestFit="1" customWidth="1"/>
    <col min="17" max="17" width="23.1640625" bestFit="1" customWidth="1"/>
    <col min="18" max="18" width="10.1640625" customWidth="1"/>
  </cols>
  <sheetData>
    <row r="1" spans="1:17" s="28" customFormat="1">
      <c r="A1" s="27" t="s">
        <v>527</v>
      </c>
      <c r="B1" s="27" t="s">
        <v>529</v>
      </c>
      <c r="C1" s="27"/>
      <c r="D1" s="27"/>
      <c r="E1" s="27" t="s">
        <v>530</v>
      </c>
      <c r="F1" s="27" t="s">
        <v>531</v>
      </c>
      <c r="G1" s="27"/>
      <c r="H1" s="27"/>
      <c r="I1" s="27" t="s">
        <v>536</v>
      </c>
      <c r="J1" s="27" t="s">
        <v>537</v>
      </c>
      <c r="M1" s="27" t="s">
        <v>0</v>
      </c>
      <c r="O1" s="2" t="s">
        <v>525</v>
      </c>
      <c r="P1" s="37" t="s">
        <v>545</v>
      </c>
      <c r="Q1" s="28" t="s">
        <v>543</v>
      </c>
    </row>
    <row r="2" spans="1:17">
      <c r="A2" t="str" cm="1">
        <f t="array" ref="A2:A18">_xlfn.UNIQUE('data input'!H2:H2683)</f>
        <v>AI / maskinlæring</v>
      </c>
      <c r="B2">
        <f>COUNTIF('data input'!H2:H2683,A2)</f>
        <v>29</v>
      </c>
      <c r="E2" t="str" cm="1">
        <f t="array" ref="E2:F18">_xlfn._xlws.SORT(A2:B18,2, -1)</f>
        <v>fullstack</v>
      </c>
      <c r="F2">
        <v>893</v>
      </c>
      <c r="I2" t="str" cm="1">
        <f t="array" ref="I2:I13">_xlfn.UNIQUE('data input'!F2:F2683)</f>
        <v>Agder</v>
      </c>
      <c r="J2" t="str" cm="1">
        <f t="array" ref="J2:J13">_xlfn._xlws.SORT(_xlfn.ANCHORARRAY(I2))</f>
        <v>Agder</v>
      </c>
      <c r="M2" t="str" cm="1">
        <f t="array" ref="M2:M5">_xlfn.UNIQUE('data input'!G2:G2683)</f>
        <v>"in-house: privat sektor"</v>
      </c>
      <c r="O2" t="str" cm="1">
        <f t="array" ref="O2:O5">_xlfn.UNIQUE('data input'!L2:L2683)</f>
        <v>5  - 8</v>
      </c>
      <c r="P2" s="38">
        <v>1</v>
      </c>
      <c r="Q2" t="str" cm="1">
        <f t="array" ref="Q2:Q5">_xlfn.SORTBY(_xlfn.ANCHORARRAY(O2),P2:P5,-1)</f>
        <v>15 +</v>
      </c>
    </row>
    <row r="3" spans="1:17">
      <c r="A3" t="str">
        <v>annet</v>
      </c>
      <c r="B3">
        <f>COUNTIF('data input'!H3:H2684,A3)</f>
        <v>55</v>
      </c>
      <c r="E3" t="str">
        <v>backend</v>
      </c>
      <c r="F3">
        <v>536</v>
      </c>
      <c r="I3" t="str">
        <v>Nordland</v>
      </c>
      <c r="J3" t="str">
        <v>Innlandet</v>
      </c>
      <c r="M3" t="str">
        <v>"in-house: offentlig/kommunal sektor"</v>
      </c>
      <c r="O3" t="str">
        <v>0 - 4</v>
      </c>
      <c r="P3" s="5">
        <v>0</v>
      </c>
      <c r="Q3" t="str">
        <v>9 - 14</v>
      </c>
    </row>
    <row r="4" spans="1:17">
      <c r="A4" t="str">
        <v>app</v>
      </c>
      <c r="B4">
        <f>COUNTIF('data input'!H4:H2685,A4)</f>
        <v>72</v>
      </c>
      <c r="E4" t="str">
        <v>frontend</v>
      </c>
      <c r="F4">
        <v>334</v>
      </c>
      <c r="I4" t="str">
        <v>Oslo</v>
      </c>
      <c r="J4" t="str">
        <v>Møre og Romsdal</v>
      </c>
      <c r="M4" t="str">
        <v>konsulent</v>
      </c>
      <c r="O4" t="str">
        <v>15 +</v>
      </c>
      <c r="P4" s="5">
        <v>3</v>
      </c>
      <c r="Q4" t="str">
        <v>5  - 8</v>
      </c>
    </row>
    <row r="5" spans="1:17">
      <c r="A5" t="str">
        <v>arkitektur</v>
      </c>
      <c r="B5">
        <f>COUNTIF('data input'!H5:H2686,A5)</f>
        <v>113</v>
      </c>
      <c r="E5" t="str">
        <v>ledelse/administrativt</v>
      </c>
      <c r="F5">
        <v>148</v>
      </c>
      <c r="I5" t="str">
        <v>Rogaland</v>
      </c>
      <c r="J5" t="str">
        <v>Nordland</v>
      </c>
      <c r="M5" t="str">
        <v>frilans / selvstendig næringsdrivende</v>
      </c>
      <c r="O5" t="str">
        <v>9 - 14</v>
      </c>
      <c r="P5" s="5">
        <v>2</v>
      </c>
      <c r="Q5" t="str">
        <v>0 - 4</v>
      </c>
    </row>
    <row r="6" spans="1:17">
      <c r="A6" t="str">
        <v>automatisering</v>
      </c>
      <c r="B6">
        <f>COUNTIF('data input'!H6:H2687,A6)</f>
        <v>32</v>
      </c>
      <c r="E6" t="str">
        <v>devops / drift</v>
      </c>
      <c r="F6">
        <v>134</v>
      </c>
      <c r="I6" t="str">
        <v>Troms og Finnmark</v>
      </c>
      <c r="J6" t="str">
        <v>Oslo</v>
      </c>
    </row>
    <row r="7" spans="1:17">
      <c r="A7" t="str">
        <v>backend</v>
      </c>
      <c r="B7">
        <f>COUNTIF('data input'!H7:H2688,A7)</f>
        <v>536</v>
      </c>
      <c r="E7" t="str">
        <v>arkitektur</v>
      </c>
      <c r="F7">
        <v>113</v>
      </c>
      <c r="I7" t="str">
        <v>Trøndelag</v>
      </c>
      <c r="J7" t="str">
        <v>Rogaland</v>
      </c>
    </row>
    <row r="8" spans="1:17">
      <c r="A8" t="str">
        <v>data science</v>
      </c>
      <c r="B8">
        <f>COUNTIF('data input'!H8:H2689,A8)</f>
        <v>54</v>
      </c>
      <c r="E8" t="str">
        <v>app</v>
      </c>
      <c r="F8">
        <v>72</v>
      </c>
      <c r="I8" t="str">
        <v>Vestland</v>
      </c>
      <c r="J8" t="str">
        <v>Troms og Finnmark</v>
      </c>
    </row>
    <row r="9" spans="1:17">
      <c r="A9" t="str">
        <v>databaser</v>
      </c>
      <c r="B9">
        <f>COUNTIF('data input'!H9:H2690,A9)</f>
        <v>36</v>
      </c>
      <c r="E9" t="str">
        <v>programvare</v>
      </c>
      <c r="F9">
        <v>72</v>
      </c>
      <c r="I9" t="str">
        <v>Viken</v>
      </c>
      <c r="J9" t="str">
        <v>Trøndelag</v>
      </c>
    </row>
    <row r="10" spans="1:17">
      <c r="A10" t="str">
        <v>devops / drift</v>
      </c>
      <c r="B10">
        <f>COUNTIF('data input'!H10:H2691,A10)</f>
        <v>134</v>
      </c>
      <c r="E10" t="str">
        <v>sikkerhet</v>
      </c>
      <c r="F10">
        <v>67</v>
      </c>
      <c r="I10" t="str">
        <v>Innlandet</v>
      </c>
      <c r="J10" t="str">
        <v>utlandet</v>
      </c>
    </row>
    <row r="11" spans="1:17">
      <c r="A11" t="str">
        <v>embedded / IOT / maskinvare</v>
      </c>
      <c r="B11">
        <f>COUNTIF('data input'!H11:H2692,A11)</f>
        <v>23</v>
      </c>
      <c r="E11" t="str">
        <v>annet</v>
      </c>
      <c r="F11">
        <v>55</v>
      </c>
      <c r="I11" t="str">
        <v>utlandet</v>
      </c>
      <c r="J11" t="str">
        <v>Vestfold og Telemark</v>
      </c>
    </row>
    <row r="12" spans="1:17">
      <c r="A12" t="str">
        <v>frontend</v>
      </c>
      <c r="B12">
        <f>COUNTIF('data input'!H12:H2693,A12)</f>
        <v>334</v>
      </c>
      <c r="E12" t="str">
        <v>UX / design</v>
      </c>
      <c r="F12">
        <v>55</v>
      </c>
      <c r="I12" t="str">
        <v>Vestfold og Telemark</v>
      </c>
      <c r="J12" t="str">
        <v>Vestland</v>
      </c>
    </row>
    <row r="13" spans="1:17">
      <c r="A13" t="str">
        <v>fullstack</v>
      </c>
      <c r="B13">
        <f>COUNTIF('data input'!H13:H2694,A13)</f>
        <v>893</v>
      </c>
      <c r="E13" t="str">
        <v>data science</v>
      </c>
      <c r="F13">
        <v>54</v>
      </c>
      <c r="I13" t="str">
        <v>Møre og Romsdal</v>
      </c>
      <c r="J13" t="str">
        <v>Viken</v>
      </c>
    </row>
    <row r="14" spans="1:17">
      <c r="A14" t="str">
        <v>ledelse/administrativt</v>
      </c>
      <c r="B14">
        <f>COUNTIF('data input'!H14:H2695,A14)</f>
        <v>148</v>
      </c>
      <c r="E14" t="str">
        <v>databaser</v>
      </c>
      <c r="F14">
        <v>36</v>
      </c>
    </row>
    <row r="15" spans="1:17">
      <c r="A15" t="str">
        <v>programvare</v>
      </c>
      <c r="B15">
        <f>COUNTIF('data input'!H15:H2696,A15)</f>
        <v>72</v>
      </c>
      <c r="E15" t="str">
        <v>automatisering</v>
      </c>
      <c r="F15">
        <v>32</v>
      </c>
    </row>
    <row r="16" spans="1:17">
      <c r="A16" t="str">
        <v>sikkerhet</v>
      </c>
      <c r="B16">
        <f>COUNTIF('data input'!H16:H2697,A16)</f>
        <v>67</v>
      </c>
      <c r="E16" t="str">
        <v>AI / maskinlæring</v>
      </c>
      <c r="F16">
        <v>29</v>
      </c>
    </row>
    <row r="17" spans="1:6">
      <c r="A17" t="str">
        <v>testing</v>
      </c>
      <c r="B17">
        <f>COUNTIF('data input'!H17:H2698,A17)</f>
        <v>29</v>
      </c>
      <c r="E17" t="str">
        <v>testing</v>
      </c>
      <c r="F17">
        <v>29</v>
      </c>
    </row>
    <row r="18" spans="1:6">
      <c r="A18" t="str">
        <v>UX / design</v>
      </c>
      <c r="B18">
        <f>COUNTIF('data input'!H18:H2699,A18)</f>
        <v>55</v>
      </c>
      <c r="E18" t="str">
        <v>embedded / IOT / maskinvare</v>
      </c>
      <c r="F18">
        <v>23</v>
      </c>
    </row>
    <row r="22" spans="1:6">
      <c r="A22" t="s">
        <v>528</v>
      </c>
      <c r="B22">
        <f>SUM(B2:B18)</f>
        <v>2682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D43CF-428A-4043-9AA8-2D28F7305BF1}">
  <dimension ref="A1:I24"/>
  <sheetViews>
    <sheetView workbookViewId="0">
      <selection activeCell="A24" sqref="A24"/>
    </sheetView>
  </sheetViews>
  <sheetFormatPr baseColWidth="10" defaultRowHeight="16"/>
  <cols>
    <col min="1" max="1" width="24.5" bestFit="1" customWidth="1"/>
    <col min="2" max="2" width="12.33203125" bestFit="1" customWidth="1"/>
    <col min="5" max="5" width="24.5" bestFit="1" customWidth="1"/>
    <col min="6" max="6" width="12.33203125" bestFit="1" customWidth="1"/>
    <col min="8" max="8" width="10.1640625" bestFit="1" customWidth="1"/>
    <col min="9" max="9" width="8.1640625" bestFit="1" customWidth="1"/>
  </cols>
  <sheetData>
    <row r="1" spans="1:9">
      <c r="A1" s="25" t="str" cm="1">
        <f t="array" ref="A1:A18">'data validation'!E1:E18</f>
        <v>job_title_short_sorted</v>
      </c>
      <c r="B1" t="s">
        <v>534</v>
      </c>
      <c r="E1" s="25" t="s">
        <v>533</v>
      </c>
      <c r="F1" t="s">
        <v>534</v>
      </c>
      <c r="H1" s="42" t="s">
        <v>542</v>
      </c>
      <c r="I1" s="42"/>
    </row>
    <row r="2" spans="1:9">
      <c r="A2" t="str">
        <v>fullstack</v>
      </c>
      <c r="B2" cm="1">
        <f t="array" ref="B2">MEDIAN(
IF(
     ('data input'!$H$2:$H$2683= A2) *
     ('data input'!$F$2:$F$2683= fylke) *
    ('data input'!$K$2:$K$2683 &lt;&gt; 0) *
    ('data input'!$L$2:$L$2683= experience),
('data input'!$K$2:$K$2683)))</f>
        <v>1075000</v>
      </c>
      <c r="E2" t="str" cm="1">
        <f t="array" ref="E2:F18">_xlfn._xlws.SORT(A2:B18,2,-1)</f>
        <v>sikkerhet</v>
      </c>
      <c r="F2">
        <v>1350000</v>
      </c>
      <c r="H2">
        <f t="shared" ref="H2:H18" si="0">IF(E2&lt;&gt;title,F2,NA())</f>
        <v>1350000</v>
      </c>
      <c r="I2" t="e">
        <f t="shared" ref="I2:I18" si="1">IF(E2=title,F2,NA())</f>
        <v>#N/A</v>
      </c>
    </row>
    <row r="3" spans="1:9">
      <c r="A3" t="str">
        <v>backend</v>
      </c>
      <c r="B3" cm="1">
        <f t="array" ref="B3">MEDIAN(
IF(
     ('data input'!$H$2:$H$2683= A3) *
     ('data input'!$F$2:$F$2683= fylke) *
    ('data input'!$K$2:$K$2683 &lt;&gt; 0) *
    ('data input'!$L$2:$L$2683= experience),
('data input'!$K$2:$K$2683)))</f>
        <v>1052000</v>
      </c>
      <c r="E3" t="str">
        <v>arkitektur</v>
      </c>
      <c r="F3">
        <v>1300000</v>
      </c>
      <c r="H3">
        <f t="shared" si="0"/>
        <v>1300000</v>
      </c>
      <c r="I3" t="e">
        <f t="shared" si="1"/>
        <v>#N/A</v>
      </c>
    </row>
    <row r="4" spans="1:9">
      <c r="A4" t="str">
        <v>frontend</v>
      </c>
      <c r="B4" cm="1">
        <f t="array" ref="B4">MEDIAN(
IF(
     ('data input'!$H$2:$H$2683= A4) *
     ('data input'!$F$2:$F$2683= fylke) *
    ('data input'!$K$2:$K$2683 &lt;&gt; 0) *
    ('data input'!$L$2:$L$2683= experience),
('data input'!$K$2:$K$2683)))</f>
        <v>950000</v>
      </c>
      <c r="E4" t="str">
        <v>testing</v>
      </c>
      <c r="F4">
        <v>1100000</v>
      </c>
      <c r="H4">
        <f t="shared" si="0"/>
        <v>1100000</v>
      </c>
      <c r="I4" t="e">
        <f t="shared" si="1"/>
        <v>#N/A</v>
      </c>
    </row>
    <row r="5" spans="1:9">
      <c r="A5" t="str">
        <v>ledelse/administrativt</v>
      </c>
      <c r="B5" cm="1">
        <f t="array" ref="B5">MEDIAN(
IF(
     ('data input'!$H$2:$H$2683= A5) *
     ('data input'!$F$2:$F$2683= fylke) *
    ('data input'!$K$2:$K$2683 &lt;&gt; 0) *
    ('data input'!$L$2:$L$2683= experience),
('data input'!$K$2:$K$2683)))</f>
        <v>1085371</v>
      </c>
      <c r="E5" t="str">
        <v>ledelse/administrativt</v>
      </c>
      <c r="F5">
        <v>1085371</v>
      </c>
      <c r="H5">
        <f t="shared" si="0"/>
        <v>1085371</v>
      </c>
      <c r="I5" t="e">
        <f t="shared" si="1"/>
        <v>#N/A</v>
      </c>
    </row>
    <row r="6" spans="1:9">
      <c r="A6" t="str">
        <v>devops / drift</v>
      </c>
      <c r="B6" cm="1">
        <f t="array" ref="B6">MEDIAN(
IF(
     ('data input'!$H$2:$H$2683= A6) *
     ('data input'!$F$2:$F$2683= fylke) *
    ('data input'!$K$2:$K$2683 &lt;&gt; 0) *
    ('data input'!$L$2:$L$2683= experience),
('data input'!$K$2:$K$2683)))</f>
        <v>1000000</v>
      </c>
      <c r="E6" t="str">
        <v>fullstack</v>
      </c>
      <c r="F6">
        <v>1075000</v>
      </c>
      <c r="H6" t="e">
        <f t="shared" si="0"/>
        <v>#N/A</v>
      </c>
      <c r="I6">
        <f t="shared" si="1"/>
        <v>1075000</v>
      </c>
    </row>
    <row r="7" spans="1:9">
      <c r="A7" t="str">
        <v>arkitektur</v>
      </c>
      <c r="B7" cm="1">
        <f t="array" ref="B7">MEDIAN(
IF(
     ('data input'!$H$2:$H$2683= A7) *
     ('data input'!$F$2:$F$2683= fylke) *
    ('data input'!$K$2:$K$2683 &lt;&gt; 0) *
    ('data input'!$L$2:$L$2683= experience),
('data input'!$K$2:$K$2683)))</f>
        <v>1300000</v>
      </c>
      <c r="E7" t="str">
        <v>backend</v>
      </c>
      <c r="F7">
        <v>1052000</v>
      </c>
      <c r="H7">
        <f t="shared" si="0"/>
        <v>1052000</v>
      </c>
      <c r="I7" t="e">
        <f t="shared" si="1"/>
        <v>#N/A</v>
      </c>
    </row>
    <row r="8" spans="1:9">
      <c r="A8" t="str">
        <v>app</v>
      </c>
      <c r="B8" cm="1">
        <f t="array" ref="B8">MEDIAN(
IF(
     ('data input'!$H$2:$H$2683= A8) *
     ('data input'!$F$2:$F$2683= fylke) *
    ('data input'!$K$2:$K$2683 &lt;&gt; 0) *
    ('data input'!$L$2:$L$2683= experience),
('data input'!$K$2:$K$2683)))</f>
        <v>985000</v>
      </c>
      <c r="E8" t="str">
        <v>data science</v>
      </c>
      <c r="F8">
        <v>1045000</v>
      </c>
      <c r="H8">
        <f t="shared" si="0"/>
        <v>1045000</v>
      </c>
      <c r="I8" t="e">
        <f t="shared" si="1"/>
        <v>#N/A</v>
      </c>
    </row>
    <row r="9" spans="1:9">
      <c r="A9" t="str">
        <v>programvare</v>
      </c>
      <c r="B9" cm="1">
        <f t="array" ref="B9">MEDIAN(
IF(
     ('data input'!$H$2:$H$2683= A9) *
     ('data input'!$F$2:$F$2683= fylke) *
    ('data input'!$K$2:$K$2683 &lt;&gt; 0) *
    ('data input'!$L$2:$L$2683= experience),
('data input'!$K$2:$K$2683)))</f>
        <v>980000</v>
      </c>
      <c r="E9" t="str">
        <v>automatisering</v>
      </c>
      <c r="F9">
        <v>1037000</v>
      </c>
      <c r="H9">
        <f t="shared" si="0"/>
        <v>1037000</v>
      </c>
      <c r="I9" t="e">
        <f t="shared" si="1"/>
        <v>#N/A</v>
      </c>
    </row>
    <row r="10" spans="1:9">
      <c r="A10" t="str">
        <v>sikkerhet</v>
      </c>
      <c r="B10" cm="1">
        <f t="array" ref="B10">MEDIAN(
IF(
     ('data input'!$H$2:$H$2683= A10) *
     ('data input'!$F$2:$F$2683= fylke) *
    ('data input'!$K$2:$K$2683 &lt;&gt; 0) *
    ('data input'!$L$2:$L$2683= experience),
('data input'!$K$2:$K$2683)))</f>
        <v>1350000</v>
      </c>
      <c r="E10" t="str">
        <v>devops / drift</v>
      </c>
      <c r="F10">
        <v>1000000</v>
      </c>
      <c r="H10">
        <f t="shared" si="0"/>
        <v>1000000</v>
      </c>
      <c r="I10" t="e">
        <f t="shared" si="1"/>
        <v>#N/A</v>
      </c>
    </row>
    <row r="11" spans="1:9">
      <c r="A11" t="str">
        <v>annet</v>
      </c>
      <c r="B11" cm="1">
        <f t="array" ref="B11">MEDIAN(
IF(
     ('data input'!$H$2:$H$2683= A11) *
     ('data input'!$F$2:$F$2683= fylke) *
    ('data input'!$K$2:$K$2683 &lt;&gt; 0) *
    ('data input'!$L$2:$L$2683= experience),
('data input'!$K$2:$K$2683)))</f>
        <v>960000</v>
      </c>
      <c r="E11" t="str">
        <v>embedded / IOT / maskinvare</v>
      </c>
      <c r="F11">
        <v>987500</v>
      </c>
      <c r="H11">
        <f t="shared" si="0"/>
        <v>987500</v>
      </c>
      <c r="I11" t="e">
        <f t="shared" si="1"/>
        <v>#N/A</v>
      </c>
    </row>
    <row r="12" spans="1:9">
      <c r="A12" t="str">
        <v>UX / design</v>
      </c>
      <c r="B12" cm="1">
        <f t="array" ref="B12">MEDIAN(
IF(
     ('data input'!$H$2:$H$2683= A12) *
     ('data input'!$F$2:$F$2683= fylke) *
    ('data input'!$K$2:$K$2683 &lt;&gt; 0) *
    ('data input'!$L$2:$L$2683= experience),
('data input'!$K$2:$K$2683)))</f>
        <v>880000</v>
      </c>
      <c r="E12" t="str">
        <v>app</v>
      </c>
      <c r="F12">
        <v>985000</v>
      </c>
      <c r="H12">
        <f t="shared" si="0"/>
        <v>985000</v>
      </c>
      <c r="I12" t="e">
        <f t="shared" si="1"/>
        <v>#N/A</v>
      </c>
    </row>
    <row r="13" spans="1:9">
      <c r="A13" t="str">
        <v>data science</v>
      </c>
      <c r="B13" cm="1">
        <f t="array" ref="B13">MEDIAN(
IF(
     ('data input'!$H$2:$H$2683= A13) *
     ('data input'!$F$2:$F$2683= fylke) *
    ('data input'!$K$2:$K$2683 &lt;&gt; 0) *
    ('data input'!$L$2:$L$2683= experience),
('data input'!$K$2:$K$2683)))</f>
        <v>1045000</v>
      </c>
      <c r="E13" t="str">
        <v>programvare</v>
      </c>
      <c r="F13">
        <v>980000</v>
      </c>
      <c r="H13">
        <f t="shared" si="0"/>
        <v>980000</v>
      </c>
      <c r="I13" t="e">
        <f t="shared" si="1"/>
        <v>#N/A</v>
      </c>
    </row>
    <row r="14" spans="1:9">
      <c r="A14" t="str">
        <v>databaser</v>
      </c>
      <c r="B14" cm="1">
        <f t="array" ref="B14">MEDIAN(
IF(
     ('data input'!$H$2:$H$2683= A14) *
     ('data input'!$F$2:$F$2683= fylke) *
    ('data input'!$K$2:$K$2683 &lt;&gt; 0) *
    ('data input'!$L$2:$L$2683= experience),
('data input'!$K$2:$K$2683)))</f>
        <v>922500</v>
      </c>
      <c r="E14" t="str">
        <v>AI / maskinlæring</v>
      </c>
      <c r="F14">
        <v>980000</v>
      </c>
      <c r="H14">
        <f t="shared" si="0"/>
        <v>980000</v>
      </c>
      <c r="I14" t="e">
        <f t="shared" si="1"/>
        <v>#N/A</v>
      </c>
    </row>
    <row r="15" spans="1:9">
      <c r="A15" t="str">
        <v>automatisering</v>
      </c>
      <c r="B15" cm="1">
        <f t="array" ref="B15">MEDIAN(
IF(
     ('data input'!$H$2:$H$2683= A15) *
     ('data input'!$F$2:$F$2683= fylke) *
    ('data input'!$K$2:$K$2683 &lt;&gt; 0) *
    ('data input'!$L$2:$L$2683= experience),
('data input'!$K$2:$K$2683)))</f>
        <v>1037000</v>
      </c>
      <c r="E15" t="str">
        <v>annet</v>
      </c>
      <c r="F15">
        <v>960000</v>
      </c>
      <c r="H15">
        <f t="shared" si="0"/>
        <v>960000</v>
      </c>
      <c r="I15" t="e">
        <f t="shared" si="1"/>
        <v>#N/A</v>
      </c>
    </row>
    <row r="16" spans="1:9">
      <c r="A16" t="str">
        <v>AI / maskinlæring</v>
      </c>
      <c r="B16" cm="1">
        <f t="array" ref="B16">MEDIAN(
IF(
     ('data input'!$H$2:$H$2683= A16) *
     ('data input'!$F$2:$F$2683= fylke) *
    ('data input'!$K$2:$K$2683 &lt;&gt; 0) *
    ('data input'!$L$2:$L$2683= experience),
('data input'!$K$2:$K$2683)))</f>
        <v>980000</v>
      </c>
      <c r="E16" t="str">
        <v>frontend</v>
      </c>
      <c r="F16">
        <v>950000</v>
      </c>
      <c r="H16">
        <f t="shared" si="0"/>
        <v>950000</v>
      </c>
      <c r="I16" t="e">
        <f t="shared" si="1"/>
        <v>#N/A</v>
      </c>
    </row>
    <row r="17" spans="1:9">
      <c r="A17" t="str">
        <v>testing</v>
      </c>
      <c r="B17" cm="1">
        <f t="array" ref="B17">MEDIAN(
IF(
     ('data input'!$H$2:$H$2683= A17) *
     ('data input'!$F$2:$F$2683= fylke) *
    ('data input'!$K$2:$K$2683 &lt;&gt; 0) *
    ('data input'!$L$2:$L$2683= experience),
('data input'!$K$2:$K$2683)))</f>
        <v>1100000</v>
      </c>
      <c r="E17" t="str">
        <v>databaser</v>
      </c>
      <c r="F17">
        <v>922500</v>
      </c>
      <c r="H17">
        <f t="shared" si="0"/>
        <v>922500</v>
      </c>
      <c r="I17" t="e">
        <f t="shared" si="1"/>
        <v>#N/A</v>
      </c>
    </row>
    <row r="18" spans="1:9">
      <c r="A18" t="str">
        <v>embedded / IOT / maskinvare</v>
      </c>
      <c r="B18" cm="1">
        <f t="array" ref="B18">MEDIAN(
IF(
     ('data input'!$H$2:$H$2683= A18) *
     ('data input'!$F$2:$F$2683= fylke) *
    ('data input'!$K$2:$K$2683 &lt;&gt; 0) *
    ('data input'!$L$2:$L$2683= experience),
('data input'!$K$2:$K$2683)))</f>
        <v>987500</v>
      </c>
      <c r="E18" t="str">
        <v>UX / design</v>
      </c>
      <c r="F18">
        <v>880000</v>
      </c>
      <c r="H18">
        <f t="shared" si="0"/>
        <v>880000</v>
      </c>
      <c r="I18" t="e">
        <f t="shared" si="1"/>
        <v>#N/A</v>
      </c>
    </row>
    <row r="23" spans="1:9">
      <c r="A23" t="s">
        <v>532</v>
      </c>
    </row>
    <row r="24" spans="1:9">
      <c r="A24" s="26">
        <f>_xlfn.XLOOKUP(title,title!E2:E18,title!F2:F18)</f>
        <v>1075000</v>
      </c>
    </row>
  </sheetData>
  <mergeCells count="1">
    <mergeCell ref="H1:I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6CAA-9A48-F742-B404-DCF1A3C1D5AC}">
  <dimension ref="A1:F17"/>
  <sheetViews>
    <sheetView zoomScale="110" zoomScaleNormal="110" workbookViewId="0">
      <selection activeCell="F20" sqref="F20"/>
    </sheetView>
  </sheetViews>
  <sheetFormatPr baseColWidth="10" defaultRowHeight="16"/>
  <cols>
    <col min="1" max="1" width="17.6640625" style="30" bestFit="1" customWidth="1"/>
    <col min="2" max="3" width="10.83203125" style="30"/>
    <col min="4" max="4" width="18.5" style="30" bestFit="1" customWidth="1"/>
    <col min="5" max="16384" width="10.83203125" style="30"/>
  </cols>
  <sheetData>
    <row r="1" spans="1:6">
      <c r="A1" s="25" t="s">
        <v>539</v>
      </c>
      <c r="B1" s="25" t="s">
        <v>540</v>
      </c>
      <c r="C1" s="25"/>
      <c r="D1" s="25" t="s">
        <v>541</v>
      </c>
      <c r="E1" s="25"/>
      <c r="F1" s="25"/>
    </row>
    <row r="2" spans="1:6">
      <c r="A2" s="30" t="str" cm="1">
        <f t="array" ref="A2:A13">_xlfn.ANCHORARRAY('data validation'!I2)</f>
        <v>Agder</v>
      </c>
      <c r="B2" s="30" cm="1">
        <f t="array" ref="B2">MEDIAN(
IF(
    ('data input'!$F$2:$F$2683= A2) *
    ('data input'!$K$2:$K$2683 &lt;&gt; 0) *
    ('data input'!$H$2:$H$2683 = title)*
    ('data input'!$L$2:$L$2683= experience),
'data input'!$K$2:$K$2683))</f>
        <v>895000</v>
      </c>
      <c r="D2" s="30" t="str">
        <f t="shared" ref="D2:E5" si="0">A2</f>
        <v>Agder</v>
      </c>
      <c r="E2" s="30">
        <f t="shared" si="0"/>
        <v>895000</v>
      </c>
    </row>
    <row r="3" spans="1:6">
      <c r="A3" s="30" t="str">
        <v>Nordland</v>
      </c>
      <c r="B3" s="30" cm="1">
        <f t="array" ref="B3">MEDIAN(
IF(
    ('data input'!$F$2:$F$2683= A3) *
    ('data input'!$K$2:$K$2683 &lt;&gt; 0) *
    ('data input'!$H$2:$H$2683 = title)*
    ('data input'!$L$2:$L$2683= experience),
'data input'!$K$2:$K$2683))</f>
        <v>1000000</v>
      </c>
      <c r="D3" s="30" t="str">
        <f t="shared" si="0"/>
        <v>Nordland</v>
      </c>
      <c r="E3" s="30">
        <f t="shared" si="0"/>
        <v>1000000</v>
      </c>
    </row>
    <row r="4" spans="1:6">
      <c r="A4" s="30" t="str">
        <v>Oslo</v>
      </c>
      <c r="B4" s="30" cm="1">
        <f t="array" ref="B4">MEDIAN(
IF(
    ('data input'!$F$2:$F$2683= A4) *
    ('data input'!$K$2:$K$2683 &lt;&gt; 0) *
    ('data input'!$H$2:$H$2683 = title)*
    ('data input'!$L$2:$L$2683= experience),
'data input'!$K$2:$K$2683))</f>
        <v>1075000</v>
      </c>
      <c r="D4" s="30" t="str">
        <f t="shared" si="0"/>
        <v>Oslo</v>
      </c>
      <c r="E4" s="30">
        <f t="shared" si="0"/>
        <v>1075000</v>
      </c>
    </row>
    <row r="5" spans="1:6">
      <c r="A5" s="30" t="str">
        <v>Rogaland</v>
      </c>
      <c r="B5" s="30" cm="1">
        <f t="array" ref="B5">MEDIAN(
IF(
    ('data input'!$F$2:$F$2683= A5) *
    ('data input'!$K$2:$K$2683 &lt;&gt; 0) *
    ('data input'!$H$2:$H$2683 = title)*
    ('data input'!$L$2:$L$2683= experience),
'data input'!$K$2:$K$2683))</f>
        <v>1035000</v>
      </c>
      <c r="D5" s="30" t="str">
        <f t="shared" si="0"/>
        <v>Rogaland</v>
      </c>
      <c r="E5" s="30">
        <f t="shared" si="0"/>
        <v>1035000</v>
      </c>
    </row>
    <row r="6" spans="1:6">
      <c r="A6" s="31" t="str">
        <v>Troms og Finnmark</v>
      </c>
      <c r="B6" s="30" cm="1">
        <f t="array" ref="B6">MEDIAN(
IF(
    ('data input'!$F$2:$F$2683= A6) *
    ('data input'!$K$2:$K$2683 &lt;&gt; 0) *
    ('data input'!$H$2:$H$2683 = title)*
    ('data input'!$L$2:$L$2683= experience),
'data input'!$K$2:$K$2683))</f>
        <v>850000</v>
      </c>
      <c r="D6" s="34" t="s">
        <v>28</v>
      </c>
      <c r="E6" s="30">
        <f>B7</f>
        <v>903000</v>
      </c>
    </row>
    <row r="7" spans="1:6">
      <c r="A7" s="34" t="str">
        <v>Trøndelag</v>
      </c>
      <c r="B7" s="30" cm="1">
        <f t="array" ref="B7">MEDIAN(
IF(
    ('data input'!$F$2:$F$2683= A7) *
    ('data input'!$K$2:$K$2683 &lt;&gt; 0) *
    ('data input'!$H$2:$H$2683 = title)*
    ('data input'!$L$2:$L$2683= experience),
'data input'!$K$2:$K$2683))</f>
        <v>903000</v>
      </c>
      <c r="D7" s="30" t="str">
        <f>A8</f>
        <v>Vestland</v>
      </c>
      <c r="E7" s="30">
        <f>B8</f>
        <v>980500</v>
      </c>
    </row>
    <row r="8" spans="1:6">
      <c r="A8" s="30" t="str">
        <v>Vestland</v>
      </c>
      <c r="B8" s="30" cm="1">
        <f t="array" ref="B8">MEDIAN(
IF(
    ('data input'!$F$2:$F$2683= A8) *
    ('data input'!$K$2:$K$2683 &lt;&gt; 0) *
    ('data input'!$H$2:$H$2683 = title)*
    ('data input'!$L$2:$L$2683= experience),
'data input'!$K$2:$K$2683))</f>
        <v>980500</v>
      </c>
      <c r="D8" s="30" t="str">
        <f>A10</f>
        <v>Innlandet</v>
      </c>
      <c r="E8" s="30">
        <f>B10</f>
        <v>900000</v>
      </c>
    </row>
    <row r="9" spans="1:6">
      <c r="A9" s="32" t="str">
        <v>Viken</v>
      </c>
      <c r="B9" s="30" cm="1">
        <f t="array" ref="B9">MEDIAN(
IF(
    ('data input'!$F$2:$F$2683= A9) *
    ('data input'!$K$2:$K$2683 &lt;&gt; 0) *
    ('data input'!$H$2:$H$2683 = title)*
    ('data input'!$L$2:$L$2683= experience),
'data input'!$K$2:$K$2683))</f>
        <v>1063000</v>
      </c>
      <c r="D9" s="34" t="s">
        <v>24</v>
      </c>
      <c r="E9" s="30">
        <f>B13</f>
        <v>845000</v>
      </c>
    </row>
    <row r="10" spans="1:6">
      <c r="A10" s="30" t="str">
        <v>Innlandet</v>
      </c>
      <c r="B10" s="30" cm="1">
        <f t="array" ref="B10">MEDIAN(
IF(
    ('data input'!$F$2:$F$2683= A10) *
    ('data input'!$K$2:$K$2683 &lt;&gt; 0) *
    ('data input'!$H$2:$H$2683 = title)*
    ('data input'!$L$2:$L$2683= experience),
'data input'!$K$2:$K$2683))</f>
        <v>900000</v>
      </c>
      <c r="D10" s="33" t="str">
        <f>IF(ISNUMBER(B12), "Vestfold")</f>
        <v>Vestfold</v>
      </c>
      <c r="E10" s="30">
        <f xml:space="preserve"> IF(ISNUMBER(B12),B12)</f>
        <v>752000</v>
      </c>
    </row>
    <row r="11" spans="1:6">
      <c r="A11" s="30" t="str">
        <v>utlandet</v>
      </c>
      <c r="B11" s="30" cm="1">
        <f t="array" ref="B11">MEDIAN(
IF(
    ('data input'!$F$2:$F$2683= A11) *
    ('data input'!$K$2:$K$2683 &lt;&gt; 0) *
    ('data input'!$H$2:$H$2683 = title)*
    ('data input'!$L$2:$L$2683= experience),
'data input'!$K$2:$K$2683))</f>
        <v>884000</v>
      </c>
      <c r="D11" s="33" t="str">
        <f>IF(ISNUMBER(B12), "Telemark")</f>
        <v>Telemark</v>
      </c>
      <c r="E11" s="30">
        <f xml:space="preserve"> IF(ISNUMBER(B12),B12)</f>
        <v>752000</v>
      </c>
    </row>
    <row r="12" spans="1:6">
      <c r="A12" s="33" t="str">
        <v>Vestfold og Telemark</v>
      </c>
      <c r="B12" s="30" cm="1">
        <f t="array" ref="B12">MEDIAN(
IF(
    ('data input'!$F$2:$F$2683= A12) *
    ('data input'!$K$2:$K$2683 &lt;&gt; 0) *
    ('data input'!$H$2:$H$2683 = title)*
    ('data input'!$L$2:$L$2683= experience),
'data input'!$K$2:$K$2683))</f>
        <v>752000</v>
      </c>
      <c r="D12" s="31" t="str">
        <f>IF(ISNUMBER(B6), "Troms")</f>
        <v>Troms</v>
      </c>
      <c r="E12" s="30">
        <f xml:space="preserve"> IF(ISNUMBER(B6),B6)</f>
        <v>850000</v>
      </c>
    </row>
    <row r="13" spans="1:6">
      <c r="A13" s="34" t="str">
        <v>Møre og Romsdal</v>
      </c>
      <c r="B13" s="30" cm="1">
        <f t="array" ref="B13">MEDIAN(
IF(
    ('data input'!$F$2:$F$2683= A13) *
    ('data input'!$K$2:$K$2683 &lt;&gt; 0) *
    ('data input'!$H$2:$H$2683 = title)*
    ('data input'!$L$2:$L$2683= experience),
'data input'!$K$2:$K$2683))</f>
        <v>845000</v>
      </c>
      <c r="D13" s="31" t="str">
        <f>IF(ISNUMBER(B6), "Finnmark")</f>
        <v>Finnmark</v>
      </c>
      <c r="E13" s="30">
        <f xml:space="preserve"> IF(ISNUMBER(B6),B6)</f>
        <v>850000</v>
      </c>
    </row>
    <row r="14" spans="1:6">
      <c r="D14" s="32" t="str">
        <f>IF(ISNUMBER(B9), "Akershus")</f>
        <v>Akershus</v>
      </c>
      <c r="E14" s="30">
        <f>IF(ISNUMBER(B9), B9)</f>
        <v>1063000</v>
      </c>
    </row>
    <row r="15" spans="1:6">
      <c r="D15" s="32" t="str">
        <f>IF(ISNUMBER(B9), "Buskerud")</f>
        <v>Buskerud</v>
      </c>
      <c r="E15" s="30">
        <f>IF(ISNUMBER(B9), B9)</f>
        <v>1063000</v>
      </c>
    </row>
    <row r="16" spans="1:6">
      <c r="D16" s="32" t="str">
        <f>IF(ISNUMBER(B9), "Ostfold")</f>
        <v>Ostfold</v>
      </c>
      <c r="E16" s="30">
        <f>IF(ISNUMBER(B9), B9)</f>
        <v>1063000</v>
      </c>
    </row>
    <row r="17" spans="4:5">
      <c r="D17" s="30" t="str">
        <f>A11</f>
        <v>utlandet</v>
      </c>
      <c r="E17" s="30">
        <f>B11</f>
        <v>884000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4E1B1-D0F8-8143-9E4B-4FE666CCCD55}">
  <dimension ref="A1:J5"/>
  <sheetViews>
    <sheetView workbookViewId="0">
      <selection activeCell="F17" sqref="F17"/>
    </sheetView>
  </sheetViews>
  <sheetFormatPr baseColWidth="10" defaultRowHeight="16"/>
  <cols>
    <col min="1" max="1" width="14" customWidth="1"/>
    <col min="2" max="2" width="12.33203125" bestFit="1" customWidth="1"/>
    <col min="3" max="4" width="12.33203125" customWidth="1"/>
  </cols>
  <sheetData>
    <row r="1" spans="1:10" ht="54" customHeight="1">
      <c r="A1" s="39" t="str" cm="1">
        <f t="array" ref="A1:A5">'data validation'!Q1:Q5</f>
        <v>experience buckets_sorted</v>
      </c>
      <c r="B1" s="39" t="s">
        <v>546</v>
      </c>
      <c r="C1" s="39"/>
      <c r="D1" s="39"/>
      <c r="F1" s="43" t="s">
        <v>547</v>
      </c>
      <c r="G1" s="43"/>
      <c r="I1" s="43" t="s">
        <v>542</v>
      </c>
      <c r="J1" s="43"/>
    </row>
    <row r="2" spans="1:10">
      <c r="A2" t="str">
        <v>15 +</v>
      </c>
      <c r="B2" cm="1">
        <f t="array" ref="B2">MEDIAN(
IF(
    ('data input'!$F$2:$F$2683= fylke) *
    ('data input'!$K$2:$K$2683 &lt;&gt; 0) *
    ('data input'!$H$2:$H$2683 = title)*
    ('data input'!$L$2:$L$2683= A2),
'data input'!$K$2:$K$2683))</f>
        <v>1045000</v>
      </c>
      <c r="C2">
        <f>IF(A2&lt;&gt;experience,experience!B2,NA())</f>
        <v>1045000</v>
      </c>
      <c r="D2" t="e">
        <f>IF(A2=experience,experience!B2,NA())</f>
        <v>#N/A</v>
      </c>
      <c r="F2" t="str" cm="1">
        <f t="array" ref="F2:G5">_xlfn._xlws.SORT(_xlfn._xlws.FILTER(A2:B5,ISNUMBER(B2:B5)),2,-1)</f>
        <v>9 - 14</v>
      </c>
      <c r="G2">
        <v>1075000</v>
      </c>
      <c r="I2" t="e">
        <f>IF(F2&lt;&gt;experience,experience!G2,NA())</f>
        <v>#N/A</v>
      </c>
      <c r="J2">
        <f>IF(F2=experience,experience!G2,NA())</f>
        <v>1075000</v>
      </c>
    </row>
    <row r="3" spans="1:10">
      <c r="A3" t="str">
        <v>9 - 14</v>
      </c>
      <c r="B3" cm="1">
        <f t="array" ref="B3">MEDIAN(
IF(
    ('data input'!$F$2:$F$2683= fylke) *
    ('data input'!$K$2:$K$2683 &lt;&gt; 0) *
    ('data input'!$H$2:$H$2683 = title)*
    ('data input'!$L$2:$L$2683= A3),
'data input'!$K$2:$K$2683))</f>
        <v>1075000</v>
      </c>
      <c r="C3" t="e">
        <f>IF(A3&lt;&gt;experience,experience!B3,NA())</f>
        <v>#N/A</v>
      </c>
      <c r="D3">
        <f>IF(A3=experience,experience!B3,NA())</f>
        <v>1075000</v>
      </c>
      <c r="F3" t="str">
        <v>15 +</v>
      </c>
      <c r="G3">
        <v>1045000</v>
      </c>
      <c r="I3">
        <f>IF(F3&lt;&gt;experience,experience!G3,NA())</f>
        <v>1045000</v>
      </c>
      <c r="J3" t="e">
        <f>IF(F3=experience,experience!G3,NA())</f>
        <v>#N/A</v>
      </c>
    </row>
    <row r="4" spans="1:10">
      <c r="A4" t="str">
        <v>5  - 8</v>
      </c>
      <c r="B4" cm="1">
        <f t="array" ref="B4">MEDIAN(
IF(
    ('data input'!$F$2:$F$2683= fylke) *
    ('data input'!$K$2:$K$2683 &lt;&gt; 0) *
    ('data input'!$H$2:$H$2683 = title)*
    ('data input'!$L$2:$L$2683= A4),
'data input'!$K$2:$K$2683))</f>
        <v>930000</v>
      </c>
      <c r="C4">
        <f>IF(A4&lt;&gt;experience,experience!B4,NA())</f>
        <v>930000</v>
      </c>
      <c r="D4" t="e">
        <f>IF(A4=experience,experience!B4,NA())</f>
        <v>#N/A</v>
      </c>
      <c r="F4" t="str">
        <v>5  - 8</v>
      </c>
      <c r="G4">
        <v>930000</v>
      </c>
      <c r="I4">
        <f>IF(F4&lt;&gt;experience,experience!G4,NA())</f>
        <v>930000</v>
      </c>
      <c r="J4" t="e">
        <f>IF(F4=experience,experience!G4,NA())</f>
        <v>#N/A</v>
      </c>
    </row>
    <row r="5" spans="1:10">
      <c r="A5" t="str">
        <v>0 - 4</v>
      </c>
      <c r="B5" cm="1">
        <f t="array" ref="B5">MEDIAN(
IF(
    ('data input'!$F$2:$F$2683= fylke) *
    ('data input'!$K$2:$K$2683 &lt;&gt; 0) *
    ('data input'!$H$2:$H$2683 = title)*
    ('data input'!$L$2:$L$2683= A5),
'data input'!$K$2:$K$2683))</f>
        <v>700000</v>
      </c>
      <c r="C5">
        <f>IF(A5&lt;&gt;experience,experience!B5,NA())</f>
        <v>700000</v>
      </c>
      <c r="D5" t="e">
        <f>IF(A5=experience,experience!B5,NA())</f>
        <v>#N/A</v>
      </c>
      <c r="F5" t="str">
        <v>0 - 4</v>
      </c>
      <c r="G5">
        <v>700000</v>
      </c>
      <c r="I5">
        <f>IF(F5&lt;&gt;experience,experience!G5,NA())</f>
        <v>700000</v>
      </c>
      <c r="J5" t="e">
        <f>IF(F5=experience,experience!G5,NA())</f>
        <v>#N/A</v>
      </c>
    </row>
  </sheetData>
  <mergeCells count="2">
    <mergeCell ref="F1:G1"/>
    <mergeCell ref="I1:J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5BEA0-D9EA-F24A-9C94-974DC14928FC}">
  <dimension ref="A1:H7"/>
  <sheetViews>
    <sheetView workbookViewId="0">
      <selection activeCell="B7" sqref="B7"/>
    </sheetView>
  </sheetViews>
  <sheetFormatPr baseColWidth="10" defaultRowHeight="16"/>
  <cols>
    <col min="1" max="1" width="31.83203125" bestFit="1" customWidth="1"/>
    <col min="2" max="2" width="28" bestFit="1" customWidth="1"/>
    <col min="4" max="4" width="31.83203125" bestFit="1" customWidth="1"/>
    <col min="5" max="5" width="6.33203125" customWidth="1"/>
    <col min="6" max="6" width="30.6640625" bestFit="1" customWidth="1"/>
    <col min="8" max="8" width="20.5" bestFit="1" customWidth="1"/>
  </cols>
  <sheetData>
    <row r="1" spans="1:8">
      <c r="A1" s="28" t="s">
        <v>548</v>
      </c>
      <c r="B1" s="28" t="s">
        <v>549</v>
      </c>
      <c r="H1" t="s">
        <v>550</v>
      </c>
    </row>
    <row r="2" spans="1:8">
      <c r="A2" t="str" cm="1">
        <f t="array" ref="A2:A5">_xlfn.UNIQUE('data input'!G2:G2683)</f>
        <v>"in-house: privat sektor"</v>
      </c>
      <c r="B2" cm="1">
        <f t="array" ref="B2">COUNT(
IF(
    ('data input'!$F$2:$F$2683= fylke) *
    ('data input'!$K$2:$K$2683 &lt;&gt;0) *
    ('data input'!$H$2:$H$2683 = title)*
    ('data input'!$L$2:$L$2683= experience)*
    ('data input'!G:G = 'job type'!A2),
'data input'!$K$2:$K$2683))</f>
        <v>18</v>
      </c>
      <c r="D2" t="str" cm="1">
        <f t="array" ref="D2:E5">_xlfn._xlws.SORT(A2:B5,2, - 1)</f>
        <v>konsulent</v>
      </c>
      <c r="E2">
        <v>34</v>
      </c>
      <c r="F2" t="str">
        <f>(SUBSTITUTE(D2,"""",""))</f>
        <v>konsulent</v>
      </c>
      <c r="H2" t="str">
        <f>F2</f>
        <v>konsulent</v>
      </c>
    </row>
    <row r="3" spans="1:8">
      <c r="A3" t="str">
        <v>"in-house: offentlig/kommunal sektor"</v>
      </c>
      <c r="B3" cm="1">
        <f t="array" ref="B3">COUNT(
IF(
    ('data input'!$F$2:$F$2683= fylke) *
    ('data input'!$K$2:$K$2683 &lt;&gt;0) *
    ('data input'!$H$2:$H$2683 = title)*
    ('data input'!$L$2:$L$2683= experience)*
    ('data input'!G:G = 'job type'!A3),
'data input'!$K$2:$K$2683))</f>
        <v>6</v>
      </c>
      <c r="D3" t="str">
        <v>"in-house: privat sektor"</v>
      </c>
      <c r="E3">
        <v>18</v>
      </c>
      <c r="F3" t="str">
        <f t="shared" ref="F3:F5" si="0">(SUBSTITUTE(D3,"""",""))</f>
        <v>in-house: privat sektor</v>
      </c>
    </row>
    <row r="4" spans="1:8">
      <c r="A4" t="str">
        <v>konsulent</v>
      </c>
      <c r="B4" cm="1">
        <f t="array" ref="B4">COUNT(
IF(
    ('data input'!$F$2:$F$2683= fylke) *
    ('data input'!$K$2:$K$2683 &lt;&gt;0) *
    ('data input'!$H$2:$H$2683 = title)*
    ('data input'!$L$2:$L$2683= experience)*
    ('data input'!G:G = 'job type'!A4),
'data input'!$K$2:$K$2683))</f>
        <v>34</v>
      </c>
      <c r="D4" t="str">
        <v>"in-house: offentlig/kommunal sektor"</v>
      </c>
      <c r="E4">
        <v>6</v>
      </c>
      <c r="F4" t="str">
        <f t="shared" si="0"/>
        <v>in-house: offentlig/kommunal sektor</v>
      </c>
    </row>
    <row r="5" spans="1:8">
      <c r="A5" t="str">
        <v>frilans / selvstendig næringsdrivende</v>
      </c>
      <c r="B5" cm="1">
        <f t="array" ref="B5">COUNT(
IF(
    ('data input'!$F$2:$F$2683= fylke) *
    ('data input'!$K$2:$K$2683 &lt;&gt;0) *
    ('data input'!$H$2:$H$2683 = title)*
    ('data input'!$L$2:$L$2683= experience)*
    ('data input'!G:G = 'job type'!A5),
'data input'!$K$2:$K$2683))</f>
        <v>5</v>
      </c>
      <c r="D5" t="str">
        <v>frilans / selvstendig næringsdrivende</v>
      </c>
      <c r="E5">
        <v>5</v>
      </c>
      <c r="F5" t="str">
        <f t="shared" si="0"/>
        <v>frilans / selvstendig næringsdrivende</v>
      </c>
    </row>
    <row r="7" spans="1:8">
      <c r="B7">
        <f>SUM(B2:B5)</f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data input</vt:lpstr>
      <vt:lpstr>average salary country level</vt:lpstr>
      <vt:lpstr>per profession and gender</vt:lpstr>
      <vt:lpstr>Developers salary</vt:lpstr>
      <vt:lpstr>data validation</vt:lpstr>
      <vt:lpstr>title</vt:lpstr>
      <vt:lpstr>fylke</vt:lpstr>
      <vt:lpstr>experience</vt:lpstr>
      <vt:lpstr>job type</vt:lpstr>
      <vt:lpstr>'data input'!Developer_Salaries___Norway_2024</vt:lpstr>
      <vt:lpstr>experience</vt:lpstr>
      <vt:lpstr>fylke</vt:lpstr>
      <vt:lpstr>title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Natallia Danilchanka</dc:creator>
  <cp:lastModifiedBy>Natallia Danilchanka</cp:lastModifiedBy>
  <dcterms:created xsi:type="dcterms:W3CDTF">2025-07-23T15:54:05Z</dcterms:created>
  <dcterms:modified xsi:type="dcterms:W3CDTF">2025-10-18T08:35:09Z</dcterms:modified>
</cp:coreProperties>
</file>